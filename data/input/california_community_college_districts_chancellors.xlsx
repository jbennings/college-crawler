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cfeeac96bcc6d619/Desktop/High Q Leadership Institute/"/>
    </mc:Choice>
  </mc:AlternateContent>
  <xr:revisionPtr revIDLastSave="2659" documentId="13_ncr:1_{55380AE2-10F2-4E7A-A59C-4F9627F6FA14}" xr6:coauthVersionLast="47" xr6:coauthVersionMax="47" xr10:uidLastSave="{FE9DA528-0738-4063-8E8A-0F834BB89A5B}"/>
  <bookViews>
    <workbookView xWindow="28680" yWindow="45" windowWidth="29040" windowHeight="15720" firstSheet="1" activeTab="1" xr2:uid="{00000000-000D-0000-FFFF-FFFF00000000}"/>
  </bookViews>
  <sheets>
    <sheet name="Dashboard" sheetId="1" r:id="rId1"/>
    <sheet name="Community Colleges " sheetId="2" r:id="rId2"/>
    <sheet name="College Associations" sheetId="15" r:id="rId3"/>
    <sheet name="Contacts" sheetId="3" r:id="rId4"/>
    <sheet name="Opportunities" sheetId="4" r:id="rId5"/>
    <sheet name="Outreach Activities" sheetId="5" r:id="rId6"/>
    <sheet name="Proposals" sheetId="6" r:id="rId7"/>
    <sheet name="Engagements" sheetId="7" r:id="rId8"/>
    <sheet name="Revenue" sheetId="8" r:id="rId9"/>
    <sheet name="Speaking" sheetId="9" r:id="rId10"/>
    <sheet name="Referrals" sheetId="10" r:id="rId11"/>
    <sheet name="Content Marketing" sheetId="11" r:id="rId12"/>
    <sheet name="Lists" sheetId="12" r:id="rId13"/>
    <sheet name="How to Use" sheetId="13"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6" l="1"/>
  <c r="N2" i="4"/>
  <c r="G2" i="4"/>
  <c r="C28" i="1"/>
  <c r="B28" i="1"/>
  <c r="C27" i="1"/>
  <c r="B27" i="1"/>
  <c r="C26" i="1"/>
  <c r="B26" i="1"/>
  <c r="C25" i="1"/>
  <c r="B25" i="1"/>
  <c r="C24" i="1"/>
  <c r="B24" i="1"/>
  <c r="C23" i="1"/>
  <c r="B23" i="1"/>
  <c r="C22" i="1"/>
  <c r="B22" i="1"/>
  <c r="C21" i="1"/>
  <c r="B21" i="1"/>
  <c r="C20" i="1"/>
  <c r="B20" i="1"/>
  <c r="C19" i="1"/>
  <c r="B19" i="1"/>
  <c r="C18" i="1"/>
  <c r="B18" i="1"/>
  <c r="C17" i="1"/>
  <c r="B17" i="1"/>
  <c r="C16" i="1"/>
  <c r="B16" i="1"/>
  <c r="C15" i="1"/>
  <c r="B15" i="1"/>
  <c r="B12" i="1"/>
  <c r="B11" i="1"/>
  <c r="B10" i="1"/>
  <c r="B9" i="1"/>
  <c r="B8" i="1"/>
  <c r="B7" i="1"/>
  <c r="B6" i="1"/>
  <c r="B5" i="1"/>
  <c r="B4" i="1"/>
</calcChain>
</file>

<file path=xl/sharedStrings.xml><?xml version="1.0" encoding="utf-8"?>
<sst xmlns="http://schemas.openxmlformats.org/spreadsheetml/2006/main" count="4462" uniqueCount="3203">
  <si>
    <t>Executive Opportunity Pipeline Dashboard</t>
  </si>
  <si>
    <t>Metric</t>
  </si>
  <si>
    <t>Value</t>
  </si>
  <si>
    <t>Total Organizations</t>
  </si>
  <si>
    <t>High Priority Organizations</t>
  </si>
  <si>
    <t>Follow-ups Due This Week</t>
  </si>
  <si>
    <t>Overdue Follow-ups</t>
  </si>
  <si>
    <t>Active Opportunities</t>
  </si>
  <si>
    <t>Proposals Pending</t>
  </si>
  <si>
    <t>Contracts Signed</t>
  </si>
  <si>
    <t>Revenue Won</t>
  </si>
  <si>
    <t>Weighted Pipeline</t>
  </si>
  <si>
    <t>Pipeline Stage</t>
  </si>
  <si>
    <t>Count</t>
  </si>
  <si>
    <t>Weighted Value</t>
  </si>
  <si>
    <t>Notes</t>
  </si>
  <si>
    <t>Prospect Identified</t>
  </si>
  <si>
    <t>Research Complete</t>
  </si>
  <si>
    <t>Executive Packet Sent</t>
  </si>
  <si>
    <t>Discovery Call Scheduled</t>
  </si>
  <si>
    <t>Discovery Call Completed</t>
  </si>
  <si>
    <t>Proposal Sent</t>
  </si>
  <si>
    <t>Negotiation</t>
  </si>
  <si>
    <t>Contract Signed</t>
  </si>
  <si>
    <t>Retreat/Engagement Scheduled</t>
  </si>
  <si>
    <t>Engagement Complete</t>
  </si>
  <si>
    <t>Follow-up Services</t>
  </si>
  <si>
    <t>Annual Advisory Relationship</t>
  </si>
  <si>
    <t>Closed Won</t>
  </si>
  <si>
    <t>Closed Lost</t>
  </si>
  <si>
    <t>Org ID</t>
  </si>
  <si>
    <t>Organization</t>
  </si>
  <si>
    <t>Institution Type</t>
  </si>
  <si>
    <t>State</t>
  </si>
  <si>
    <t>Region</t>
  </si>
  <si>
    <t>Website</t>
  </si>
  <si>
    <t>President/CEO</t>
  </si>
  <si>
    <t>Board Chair</t>
  </si>
  <si>
    <t>Board Vice Chair</t>
  </si>
  <si>
    <t>Board Coordinator</t>
  </si>
  <si>
    <t>Executive Assistant</t>
  </si>
  <si>
    <t>Primary Email</t>
  </si>
  <si>
    <t>Primary Phone</t>
  </si>
  <si>
    <t>Strategic Priorities</t>
  </si>
  <si>
    <t>Current Initiatives</t>
  </si>
  <si>
    <t>Accreditation Cycle</t>
  </si>
  <si>
    <t>Recent News/Governance Notes</t>
  </si>
  <si>
    <t>Date Identified</t>
  </si>
  <si>
    <t>Last Contact</t>
  </si>
  <si>
    <t>Next Follow-up</t>
  </si>
  <si>
    <t>Relationship Status</t>
  </si>
  <si>
    <t>Priority</t>
  </si>
  <si>
    <t>Fit Score</t>
  </si>
  <si>
    <t>Packet Sent?</t>
  </si>
  <si>
    <t>Example Community College</t>
  </si>
  <si>
    <t>Community College</t>
  </si>
  <si>
    <t>West</t>
  </si>
  <si>
    <t>President Name</t>
  </si>
  <si>
    <t>Board Chair Name</t>
  </si>
  <si>
    <t>Vice Chair Name</t>
  </si>
  <si>
    <t>Board Coordinator Name</t>
  </si>
  <si>
    <t>Strategic enrollment, governance alignment, workforce partnerships</t>
  </si>
  <si>
    <t>Strategic plan refresh; board retreat cycle</t>
  </si>
  <si>
    <t>2027</t>
  </si>
  <si>
    <t>Recent board priority discussion</t>
  </si>
  <si>
    <t>Warm Prospect</t>
  </si>
  <si>
    <t>High</t>
  </si>
  <si>
    <t>No</t>
  </si>
  <si>
    <t>Replace this sample row with your first prospect.</t>
  </si>
  <si>
    <t>Contact ID</t>
  </si>
  <si>
    <t>First Name</t>
  </si>
  <si>
    <t>Last Name</t>
  </si>
  <si>
    <t>Title</t>
  </si>
  <si>
    <t>Role Type</t>
  </si>
  <si>
    <t>Email</t>
  </si>
  <si>
    <t>Phone</t>
  </si>
  <si>
    <t>LinkedIn</t>
  </si>
  <si>
    <t>Preferred Contact</t>
  </si>
  <si>
    <t>Influence Level</t>
  </si>
  <si>
    <t>Relationship Strength</t>
  </si>
  <si>
    <t>CON-001</t>
  </si>
  <si>
    <t>First</t>
  </si>
  <si>
    <t>Last</t>
  </si>
  <si>
    <t>chair@example.edu</t>
  </si>
  <si>
    <t>555-555-0101</t>
  </si>
  <si>
    <t>https://linkedin.com/in/example</t>
  </si>
  <si>
    <t>New</t>
  </si>
  <si>
    <t>Sample contact.</t>
  </si>
  <si>
    <t>Opportunity ID</t>
  </si>
  <si>
    <t>Opportunity Name</t>
  </si>
  <si>
    <t>Service Type</t>
  </si>
  <si>
    <t>Estimated Value</t>
  </si>
  <si>
    <t>Probability %</t>
  </si>
  <si>
    <t>Stage</t>
  </si>
  <si>
    <t>Expected Close</t>
  </si>
  <si>
    <t>Lead Source</t>
  </si>
  <si>
    <t>Last Activity</t>
  </si>
  <si>
    <t>Days Since Last Activity</t>
  </si>
  <si>
    <t>Status</t>
  </si>
  <si>
    <t>OPP-001</t>
  </si>
  <si>
    <t>Board Alignment &amp; Strategy Retreat</t>
  </si>
  <si>
    <t>Board Retreat</t>
  </si>
  <si>
    <t>Direct Outreach</t>
  </si>
  <si>
    <t>Open</t>
  </si>
  <si>
    <t>Sample opportunity.</t>
  </si>
  <si>
    <t>Activity ID</t>
  </si>
  <si>
    <t>Date</t>
  </si>
  <si>
    <t>Contact</t>
  </si>
  <si>
    <t>Activity Type</t>
  </si>
  <si>
    <t>Channel</t>
  </si>
  <si>
    <t>Summary</t>
  </si>
  <si>
    <t>Outcome</t>
  </si>
  <si>
    <t>Next Action</t>
  </si>
  <si>
    <t>Completed?</t>
  </si>
  <si>
    <t>Related Opportunity</t>
  </si>
  <si>
    <t>ACT-001</t>
  </si>
  <si>
    <t>First Last</t>
  </si>
  <si>
    <t>Mailed Packet</t>
  </si>
  <si>
    <t>Mail</t>
  </si>
  <si>
    <t>Initial Board Chair Executive Packet mailed.</t>
  </si>
  <si>
    <t>Packet sent</t>
  </si>
  <si>
    <t>Email follow-up</t>
  </si>
  <si>
    <t>Proposal ID</t>
  </si>
  <si>
    <t>Opportunity</t>
  </si>
  <si>
    <t>Date Sent</t>
  </si>
  <si>
    <t>Services Offered</t>
  </si>
  <si>
    <t>Amount</t>
  </si>
  <si>
    <t>Decision Date</t>
  </si>
  <si>
    <t>Days Pending</t>
  </si>
  <si>
    <t>Follow-up Date</t>
  </si>
  <si>
    <t>PROP-001</t>
  </si>
  <si>
    <t>Full-day retreat + readiness assessment</t>
  </si>
  <si>
    <t>Drafting</t>
  </si>
  <si>
    <t>Sample proposal tracker.</t>
  </si>
  <si>
    <t>Engagement ID</t>
  </si>
  <si>
    <t>Engagement Type</t>
  </si>
  <si>
    <t>Start Date</t>
  </si>
  <si>
    <t>End Date</t>
  </si>
  <si>
    <t>Travel Required?</t>
  </si>
  <si>
    <t>Lead Consultant</t>
  </si>
  <si>
    <t>Contract Value</t>
  </si>
  <si>
    <t>Follow-up Service Opportunity</t>
  </si>
  <si>
    <t>ENG-001</t>
  </si>
  <si>
    <t>Scheduled</t>
  </si>
  <si>
    <t>Yes</t>
  </si>
  <si>
    <t>Dr. Adrien L. Bennings</t>
  </si>
  <si>
    <t>Executive coaching follow-up</t>
  </si>
  <si>
    <t>Sample engagement.</t>
  </si>
  <si>
    <t>Revenue ID</t>
  </si>
  <si>
    <t>Estimated Revenue</t>
  </si>
  <si>
    <t>Contracted Revenue</t>
  </si>
  <si>
    <t>Invoice Date</t>
  </si>
  <si>
    <t>Payment Received</t>
  </si>
  <si>
    <t>Payment Status</t>
  </si>
  <si>
    <t>Travel Reimbursed</t>
  </si>
  <si>
    <t>Profitability Notes</t>
  </si>
  <si>
    <t>REV-001</t>
  </si>
  <si>
    <t>Invoice Sent</t>
  </si>
  <si>
    <t>Sample revenue tracker.</t>
  </si>
  <si>
    <t>Event ID</t>
  </si>
  <si>
    <t>Event</t>
  </si>
  <si>
    <t>Organization/Host</t>
  </si>
  <si>
    <t>Location</t>
  </si>
  <si>
    <t>Audience</t>
  </si>
  <si>
    <t>Proposal Status</t>
  </si>
  <si>
    <t>Fee</t>
  </si>
  <si>
    <t>Attendees</t>
  </si>
  <si>
    <t>Leads Generated</t>
  </si>
  <si>
    <t>SPK-001</t>
  </si>
  <si>
    <t>State Board Conference</t>
  </si>
  <si>
    <t>Example Association</t>
  </si>
  <si>
    <t>TBD</t>
  </si>
  <si>
    <t>Board chairs and presidents</t>
  </si>
  <si>
    <t>Planning</t>
  </si>
  <si>
    <t>Sample speaking opportunity.</t>
  </si>
  <si>
    <t>Referral ID</t>
  </si>
  <si>
    <t>Referral Source</t>
  </si>
  <si>
    <t>Source Type</t>
  </si>
  <si>
    <t>Organization Referred</t>
  </si>
  <si>
    <t>REF-001</t>
  </si>
  <si>
    <t>Former President Name</t>
  </si>
  <si>
    <t>Former President</t>
  </si>
  <si>
    <t>Introduced</t>
  </si>
  <si>
    <t>Sample referral.</t>
  </si>
  <si>
    <t>Content ID</t>
  </si>
  <si>
    <t>Content Title</t>
  </si>
  <si>
    <t>Type</t>
  </si>
  <si>
    <t>Publish Date</t>
  </si>
  <si>
    <t>CTA</t>
  </si>
  <si>
    <t>Inquiries</t>
  </si>
  <si>
    <t>CNT-001</t>
  </si>
  <si>
    <t>Five Signs Your Board Retreat Needs More Than an Agenda</t>
  </si>
  <si>
    <t>Article</t>
  </si>
  <si>
    <t>Download readiness assessment</t>
  </si>
  <si>
    <t>Sample content marketing record.</t>
  </si>
  <si>
    <t>Engagement Status</t>
  </si>
  <si>
    <t>Yes/No</t>
  </si>
  <si>
    <t>Cold Prospect</t>
  </si>
  <si>
    <t>Not Started</t>
  </si>
  <si>
    <t>Not Invoiced</t>
  </si>
  <si>
    <t>Governance Assessment</t>
  </si>
  <si>
    <t>Medium</t>
  </si>
  <si>
    <t>Community College District</t>
  </si>
  <si>
    <t>Southwest</t>
  </si>
  <si>
    <t>Sent</t>
  </si>
  <si>
    <t>Developing</t>
  </si>
  <si>
    <t>Packet Sent</t>
  </si>
  <si>
    <t>Strategic Planning</t>
  </si>
  <si>
    <t>LinkedIn Connection</t>
  </si>
  <si>
    <t>Low</t>
  </si>
  <si>
    <t>State System</t>
  </si>
  <si>
    <t>Midwest</t>
  </si>
  <si>
    <t>Pending Decision</t>
  </si>
  <si>
    <t>In Progress</t>
  </si>
  <si>
    <t>Partial Payment</t>
  </si>
  <si>
    <t>Warm</t>
  </si>
  <si>
    <t>Follow-up Needed</t>
  </si>
  <si>
    <t>Email Follow-up</t>
  </si>
  <si>
    <t>Executive Coaching</t>
  </si>
  <si>
    <t>Phone Call</t>
  </si>
  <si>
    <t>University</t>
  </si>
  <si>
    <t>Revision Requested</t>
  </si>
  <si>
    <t>Completed</t>
  </si>
  <si>
    <t>Paid</t>
  </si>
  <si>
    <t>Trustee</t>
  </si>
  <si>
    <t>Strong</t>
  </si>
  <si>
    <t>Discovery Scheduled</t>
  </si>
  <si>
    <t>Phone Follow-up</t>
  </si>
  <si>
    <t>Leadership Development</t>
  </si>
  <si>
    <t>Discovery Meeting</t>
  </si>
  <si>
    <t>Foundation</t>
  </si>
  <si>
    <t>Northeast</t>
  </si>
  <si>
    <t>Accepted</t>
  </si>
  <si>
    <t>Follow-up Pending</t>
  </si>
  <si>
    <t>Overdue</t>
  </si>
  <si>
    <t>Strategic</t>
  </si>
  <si>
    <t>Active Opportunity</t>
  </si>
  <si>
    <t>Keynote Speaking</t>
  </si>
  <si>
    <t>Conference Interaction</t>
  </si>
  <si>
    <t>Association</t>
  </si>
  <si>
    <t>Pacific</t>
  </si>
  <si>
    <t>Declined</t>
  </si>
  <si>
    <t>Renewed</t>
  </si>
  <si>
    <t>Client</t>
  </si>
  <si>
    <t>Workshop</t>
  </si>
  <si>
    <t>Proposal Follow-up</t>
  </si>
  <si>
    <t>Nonprofit</t>
  </si>
  <si>
    <t>National</t>
  </si>
  <si>
    <t>Paused</t>
  </si>
  <si>
    <t>Foundation CEO</t>
  </si>
  <si>
    <t>Past Client</t>
  </si>
  <si>
    <t>Annual Advisory</t>
  </si>
  <si>
    <t>Thank You Note</t>
  </si>
  <si>
    <t>Other</t>
  </si>
  <si>
    <t>Cabinet Executive</t>
  </si>
  <si>
    <t>Dormant</t>
  </si>
  <si>
    <t>Fractional Executive Advisory</t>
  </si>
  <si>
    <t>Referral Follow-up</t>
  </si>
  <si>
    <t>Referral Partner</t>
  </si>
  <si>
    <t>Do Not Contact</t>
  </si>
  <si>
    <t>Readiness Assessment</t>
  </si>
  <si>
    <t>Newsletter Touch</t>
  </si>
  <si>
    <t>How to Use the Executive Opportunity Pipeline</t>
  </si>
  <si>
    <t>Step</t>
  </si>
  <si>
    <t>Action</t>
  </si>
  <si>
    <t>1</t>
  </si>
  <si>
    <t>Enter each institution in Organizations first.</t>
  </si>
  <si>
    <t>2</t>
  </si>
  <si>
    <t>Add presidents, board chairs, coordinators, and assistants in Contacts.</t>
  </si>
  <si>
    <t>3</t>
  </si>
  <si>
    <t>Create an Opportunity for each potential service: board retreat, strategic planning, governance assessment, executive coaching, speaking, or advisory.</t>
  </si>
  <si>
    <t>4</t>
  </si>
  <si>
    <t>Log every mailed packet, email, LinkedIn touch, call, and meeting in Outreach Activities.</t>
  </si>
  <si>
    <t>5</t>
  </si>
  <si>
    <t>Use Next Follow-up dates to drive your weekly business development rhythm.</t>
  </si>
  <si>
    <t>6</t>
  </si>
  <si>
    <t>Track proposal status and amount in Proposals.</t>
  </si>
  <si>
    <t>7</t>
  </si>
  <si>
    <t>Once contracted, move the work into Engagements and Revenue.</t>
  </si>
  <si>
    <t>8</t>
  </si>
  <si>
    <t>Use the Dashboard weekly to review pipeline, follow-ups, proposals, and weighted revenue.</t>
  </si>
  <si>
    <t>Design Note</t>
  </si>
  <si>
    <t>This system is intentionally framed as executive relationship management rather than a generic sales CRM.</t>
  </si>
  <si>
    <t>CON-002</t>
  </si>
  <si>
    <t>CON-003</t>
  </si>
  <si>
    <t>CON-004</t>
  </si>
  <si>
    <t>CON-005</t>
  </si>
  <si>
    <t>CON-006</t>
  </si>
  <si>
    <t>CON-007</t>
  </si>
  <si>
    <t>CON-008</t>
  </si>
  <si>
    <t>CON-009</t>
  </si>
  <si>
    <t>CON-010</t>
  </si>
  <si>
    <t>CON-011</t>
  </si>
  <si>
    <t>CON-012</t>
  </si>
  <si>
    <t>CON-013</t>
  </si>
  <si>
    <t>CON-014</t>
  </si>
  <si>
    <t>CON-015</t>
  </si>
  <si>
    <t>CON-016</t>
  </si>
  <si>
    <t>CON-017</t>
  </si>
  <si>
    <t>CON-018</t>
  </si>
  <si>
    <t>CON-019</t>
  </si>
  <si>
    <t>CON-020</t>
  </si>
  <si>
    <t>CON-021</t>
  </si>
  <si>
    <t>CON-022</t>
  </si>
  <si>
    <t>CON-023</t>
  </si>
  <si>
    <t>CON-024</t>
  </si>
  <si>
    <t>CON-025</t>
  </si>
  <si>
    <t>CON-026</t>
  </si>
  <si>
    <t>CON-027</t>
  </si>
  <si>
    <t>CON-028</t>
  </si>
  <si>
    <t>CON-029</t>
  </si>
  <si>
    <t>CON-030</t>
  </si>
  <si>
    <t>CON-031</t>
  </si>
  <si>
    <t>CON-032</t>
  </si>
  <si>
    <t>CON-033</t>
  </si>
  <si>
    <t>CON-034</t>
  </si>
  <si>
    <t>CON-035</t>
  </si>
  <si>
    <t>CON-036</t>
  </si>
  <si>
    <t>CON-037</t>
  </si>
  <si>
    <t>CON-038</t>
  </si>
  <si>
    <t>CON-039</t>
  </si>
  <si>
    <t>CON-040</t>
  </si>
  <si>
    <t>CON-041</t>
  </si>
  <si>
    <t>CON-042</t>
  </si>
  <si>
    <t>CON-043</t>
  </si>
  <si>
    <t>CON-044</t>
  </si>
  <si>
    <t>CON-045</t>
  </si>
  <si>
    <t>CON-046</t>
  </si>
  <si>
    <t>CON-047</t>
  </si>
  <si>
    <t>CON-048</t>
  </si>
  <si>
    <t>CON-049</t>
  </si>
  <si>
    <t>CON-050</t>
  </si>
  <si>
    <t>CON-051</t>
  </si>
  <si>
    <t>CON-052</t>
  </si>
  <si>
    <t>CON-053</t>
  </si>
  <si>
    <t>CON-054</t>
  </si>
  <si>
    <t>CON-055</t>
  </si>
  <si>
    <t>CON-056</t>
  </si>
  <si>
    <t>CON-057</t>
  </si>
  <si>
    <t>CON-058</t>
  </si>
  <si>
    <t>CON-059</t>
  </si>
  <si>
    <t>CON-060</t>
  </si>
  <si>
    <t>CON-061</t>
  </si>
  <si>
    <t>CON-062</t>
  </si>
  <si>
    <t>CON-063</t>
  </si>
  <si>
    <t>CON-064</t>
  </si>
  <si>
    <t>CON-065</t>
  </si>
  <si>
    <t>CON-066</t>
  </si>
  <si>
    <t>CON-067</t>
  </si>
  <si>
    <t>CON-068</t>
  </si>
  <si>
    <t>CON-069</t>
  </si>
  <si>
    <t>CON-070</t>
  </si>
  <si>
    <t>CON-071</t>
  </si>
  <si>
    <t>CON-072</t>
  </si>
  <si>
    <t>CON-073</t>
  </si>
  <si>
    <t>CON-074</t>
  </si>
  <si>
    <t>CON-075</t>
  </si>
  <si>
    <t>CON-076</t>
  </si>
  <si>
    <t>CON-077</t>
  </si>
  <si>
    <t>CON-078</t>
  </si>
  <si>
    <t>CON-079</t>
  </si>
  <si>
    <t>CON-080</t>
  </si>
  <si>
    <t>CON-081</t>
  </si>
  <si>
    <t>CON-082</t>
  </si>
  <si>
    <t>CON-083</t>
  </si>
  <si>
    <t>CON-084</t>
  </si>
  <si>
    <t>CON-085</t>
  </si>
  <si>
    <t>CON-086</t>
  </si>
  <si>
    <t>CON-087</t>
  </si>
  <si>
    <t>CON-088</t>
  </si>
  <si>
    <t>CON-089</t>
  </si>
  <si>
    <t>CON-090</t>
  </si>
  <si>
    <t>CON-091</t>
  </si>
  <si>
    <t>CON-092</t>
  </si>
  <si>
    <t>CON-093</t>
  </si>
  <si>
    <t>CON-094</t>
  </si>
  <si>
    <t>CON-095</t>
  </si>
  <si>
    <t>CON-096</t>
  </si>
  <si>
    <t>CON-097</t>
  </si>
  <si>
    <t>CON-098</t>
  </si>
  <si>
    <t>CON-099</t>
  </si>
  <si>
    <t>CON-100</t>
  </si>
  <si>
    <t>OPP-002</t>
  </si>
  <si>
    <t>OPP-003</t>
  </si>
  <si>
    <t>OPP-004</t>
  </si>
  <si>
    <t>OPP-005</t>
  </si>
  <si>
    <t>OPP-006</t>
  </si>
  <si>
    <t>OPP-007</t>
  </si>
  <si>
    <t>OPP-008</t>
  </si>
  <si>
    <t>OPP-009</t>
  </si>
  <si>
    <t>OPP-010</t>
  </si>
  <si>
    <t>OPP-011</t>
  </si>
  <si>
    <t>OPP-012</t>
  </si>
  <si>
    <t>OPP-013</t>
  </si>
  <si>
    <t>OPP-014</t>
  </si>
  <si>
    <t>OPP-015</t>
  </si>
  <si>
    <t>OPP-016</t>
  </si>
  <si>
    <t>OPP-017</t>
  </si>
  <si>
    <t>OPP-018</t>
  </si>
  <si>
    <t>OPP-019</t>
  </si>
  <si>
    <t>OPP-020</t>
  </si>
  <si>
    <t>OPP-021</t>
  </si>
  <si>
    <t>OPP-022</t>
  </si>
  <si>
    <t>OPP-023</t>
  </si>
  <si>
    <t>OPP-024</t>
  </si>
  <si>
    <t>OPP-025</t>
  </si>
  <si>
    <t>OPP-026</t>
  </si>
  <si>
    <t>OPP-027</t>
  </si>
  <si>
    <t>OPP-028</t>
  </si>
  <si>
    <t>OPP-029</t>
  </si>
  <si>
    <t>OPP-030</t>
  </si>
  <si>
    <t>OPP-031</t>
  </si>
  <si>
    <t>OPP-032</t>
  </si>
  <si>
    <t>OPP-033</t>
  </si>
  <si>
    <t>OPP-034</t>
  </si>
  <si>
    <t>OPP-035</t>
  </si>
  <si>
    <t>OPP-036</t>
  </si>
  <si>
    <t>OPP-037</t>
  </si>
  <si>
    <t>OPP-038</t>
  </si>
  <si>
    <t>OPP-039</t>
  </si>
  <si>
    <t>OPP-040</t>
  </si>
  <si>
    <t>OPP-041</t>
  </si>
  <si>
    <t>OPP-042</t>
  </si>
  <si>
    <t>OPP-043</t>
  </si>
  <si>
    <t>OPP-044</t>
  </si>
  <si>
    <t>OPP-045</t>
  </si>
  <si>
    <t>OPP-046</t>
  </si>
  <si>
    <t>OPP-047</t>
  </si>
  <si>
    <t>OPP-048</t>
  </si>
  <si>
    <t>OPP-049</t>
  </si>
  <si>
    <t>OPP-050</t>
  </si>
  <si>
    <t>OPP-051</t>
  </si>
  <si>
    <t>OPP-052</t>
  </si>
  <si>
    <t>OPP-053</t>
  </si>
  <si>
    <t>OPP-054</t>
  </si>
  <si>
    <t>OPP-055</t>
  </si>
  <si>
    <t>OPP-056</t>
  </si>
  <si>
    <t>OPP-057</t>
  </si>
  <si>
    <t>OPP-058</t>
  </si>
  <si>
    <t>OPP-059</t>
  </si>
  <si>
    <t>OPP-060</t>
  </si>
  <si>
    <t>OPP-061</t>
  </si>
  <si>
    <t>OPP-062</t>
  </si>
  <si>
    <t>OPP-063</t>
  </si>
  <si>
    <t>OPP-064</t>
  </si>
  <si>
    <t>OPP-065</t>
  </si>
  <si>
    <t>OPP-066</t>
  </si>
  <si>
    <t>OPP-067</t>
  </si>
  <si>
    <t>OPP-068</t>
  </si>
  <si>
    <t>OPP-069</t>
  </si>
  <si>
    <t>OPP-070</t>
  </si>
  <si>
    <t>OPP-071</t>
  </si>
  <si>
    <t>OPP-072</t>
  </si>
  <si>
    <t>OPP-073</t>
  </si>
  <si>
    <t>OPP-074</t>
  </si>
  <si>
    <t>OPP-075</t>
  </si>
  <si>
    <t>OPP-076</t>
  </si>
  <si>
    <t>OPP-077</t>
  </si>
  <si>
    <t>OPP-078</t>
  </si>
  <si>
    <t>OPP-079</t>
  </si>
  <si>
    <t>OPP-080</t>
  </si>
  <si>
    <t>OPP-081</t>
  </si>
  <si>
    <t>OPP-082</t>
  </si>
  <si>
    <t>OPP-083</t>
  </si>
  <si>
    <t>OPP-084</t>
  </si>
  <si>
    <t>OPP-085</t>
  </si>
  <si>
    <t>OPP-086</t>
  </si>
  <si>
    <t>OPP-087</t>
  </si>
  <si>
    <t>OPP-088</t>
  </si>
  <si>
    <t>OPP-089</t>
  </si>
  <si>
    <t>OPP-090</t>
  </si>
  <si>
    <t>OPP-091</t>
  </si>
  <si>
    <t>OPP-092</t>
  </si>
  <si>
    <t>OPP-093</t>
  </si>
  <si>
    <t>OPP-094</t>
  </si>
  <si>
    <t>OPP-095</t>
  </si>
  <si>
    <t>OPP-096</t>
  </si>
  <si>
    <t>OPP-097</t>
  </si>
  <si>
    <t>OPP-098</t>
  </si>
  <si>
    <t>OPP-099</t>
  </si>
  <si>
    <t>ACT-002</t>
  </si>
  <si>
    <t>ACT-003</t>
  </si>
  <si>
    <t>ACT-004</t>
  </si>
  <si>
    <t>ACT-005</t>
  </si>
  <si>
    <t>ACT-006</t>
  </si>
  <si>
    <t>ACT-007</t>
  </si>
  <si>
    <t>ACT-008</t>
  </si>
  <si>
    <t>ACT-009</t>
  </si>
  <si>
    <t>ACT-010</t>
  </si>
  <si>
    <t>ACT-011</t>
  </si>
  <si>
    <t>ACT-012</t>
  </si>
  <si>
    <t>ACT-013</t>
  </si>
  <si>
    <t>ACT-014</t>
  </si>
  <si>
    <t>ACT-015</t>
  </si>
  <si>
    <t>ACT-016</t>
  </si>
  <si>
    <t>ACT-017</t>
  </si>
  <si>
    <t>ACT-018</t>
  </si>
  <si>
    <t>ACT-019</t>
  </si>
  <si>
    <t>ACT-020</t>
  </si>
  <si>
    <t>ACT-021</t>
  </si>
  <si>
    <t>ACT-022</t>
  </si>
  <si>
    <t>ACT-023</t>
  </si>
  <si>
    <t>ACT-024</t>
  </si>
  <si>
    <t>ACT-025</t>
  </si>
  <si>
    <t>ACT-026</t>
  </si>
  <si>
    <t>ACT-027</t>
  </si>
  <si>
    <t>ACT-028</t>
  </si>
  <si>
    <t>ACT-029</t>
  </si>
  <si>
    <t>ACT-030</t>
  </si>
  <si>
    <t>ACT-031</t>
  </si>
  <si>
    <t>ACT-032</t>
  </si>
  <si>
    <t>ACT-033</t>
  </si>
  <si>
    <t>ACT-034</t>
  </si>
  <si>
    <t>ACT-035</t>
  </si>
  <si>
    <t>ACT-036</t>
  </si>
  <si>
    <t>ACT-037</t>
  </si>
  <si>
    <t>ACT-038</t>
  </si>
  <si>
    <t>ACT-039</t>
  </si>
  <si>
    <t>ACT-040</t>
  </si>
  <si>
    <t>ACT-041</t>
  </si>
  <si>
    <t>ACT-042</t>
  </si>
  <si>
    <t>ACT-043</t>
  </si>
  <si>
    <t>ACT-044</t>
  </si>
  <si>
    <t>ACT-045</t>
  </si>
  <si>
    <t>ACT-046</t>
  </si>
  <si>
    <t>ACT-047</t>
  </si>
  <si>
    <t>ACT-048</t>
  </si>
  <si>
    <t>ACT-049</t>
  </si>
  <si>
    <t>ACT-050</t>
  </si>
  <si>
    <t>ACT-051</t>
  </si>
  <si>
    <t>ACT-052</t>
  </si>
  <si>
    <t>ACT-053</t>
  </si>
  <si>
    <t>ACT-054</t>
  </si>
  <si>
    <t>ACT-055</t>
  </si>
  <si>
    <t>ACT-056</t>
  </si>
  <si>
    <t>ACT-057</t>
  </si>
  <si>
    <t>ACT-058</t>
  </si>
  <si>
    <t>ACT-059</t>
  </si>
  <si>
    <t>ACT-060</t>
  </si>
  <si>
    <t>ACT-061</t>
  </si>
  <si>
    <t>ACT-062</t>
  </si>
  <si>
    <t>ACT-063</t>
  </si>
  <si>
    <t>ACT-064</t>
  </si>
  <si>
    <t>ACT-065</t>
  </si>
  <si>
    <t>ACT-066</t>
  </si>
  <si>
    <t>ACT-067</t>
  </si>
  <si>
    <t>ACT-068</t>
  </si>
  <si>
    <t>ACT-069</t>
  </si>
  <si>
    <t>ACT-070</t>
  </si>
  <si>
    <t>ACT-071</t>
  </si>
  <si>
    <t>ACT-072</t>
  </si>
  <si>
    <t>ACT-073</t>
  </si>
  <si>
    <t>ACT-074</t>
  </si>
  <si>
    <t>ACT-075</t>
  </si>
  <si>
    <t>ACT-076</t>
  </si>
  <si>
    <t>ACT-077</t>
  </si>
  <si>
    <t>ACT-078</t>
  </si>
  <si>
    <t>ACT-079</t>
  </si>
  <si>
    <t>ACT-080</t>
  </si>
  <si>
    <t>ACT-081</t>
  </si>
  <si>
    <t>ACT-082</t>
  </si>
  <si>
    <t>ACT-083</t>
  </si>
  <si>
    <t>ACT-084</t>
  </si>
  <si>
    <t>ACT-085</t>
  </si>
  <si>
    <t>ACT-086</t>
  </si>
  <si>
    <t>ACT-087</t>
  </si>
  <si>
    <t>ACT-088</t>
  </si>
  <si>
    <t>ACT-089</t>
  </si>
  <si>
    <t>ACT-090</t>
  </si>
  <si>
    <t>ACT-091</t>
  </si>
  <si>
    <t>ACT-092</t>
  </si>
  <si>
    <t>ACT-093</t>
  </si>
  <si>
    <t>ACT-094</t>
  </si>
  <si>
    <t>ACT-095</t>
  </si>
  <si>
    <t>ACT-096</t>
  </si>
  <si>
    <t>ACT-097</t>
  </si>
  <si>
    <t>ACT-098</t>
  </si>
  <si>
    <t>ACT-099</t>
  </si>
  <si>
    <t>PROP-002</t>
  </si>
  <si>
    <t>PROP-003</t>
  </si>
  <si>
    <t>PROP-004</t>
  </si>
  <si>
    <t>PROP-005</t>
  </si>
  <si>
    <t>PROP-006</t>
  </si>
  <si>
    <t>PROP-007</t>
  </si>
  <si>
    <t>PROP-008</t>
  </si>
  <si>
    <t>PROP-009</t>
  </si>
  <si>
    <t>PROP-010</t>
  </si>
  <si>
    <t>PROP-011</t>
  </si>
  <si>
    <t>PROP-012</t>
  </si>
  <si>
    <t>PROP-013</t>
  </si>
  <si>
    <t>PROP-014</t>
  </si>
  <si>
    <t>PROP-015</t>
  </si>
  <si>
    <t>PROP-016</t>
  </si>
  <si>
    <t>PROP-017</t>
  </si>
  <si>
    <t>PROP-018</t>
  </si>
  <si>
    <t>PROP-019</t>
  </si>
  <si>
    <t>PROP-020</t>
  </si>
  <si>
    <t>PROP-021</t>
  </si>
  <si>
    <t>PROP-022</t>
  </si>
  <si>
    <t>PROP-023</t>
  </si>
  <si>
    <t>PROP-024</t>
  </si>
  <si>
    <t>PROP-025</t>
  </si>
  <si>
    <t>PROP-026</t>
  </si>
  <si>
    <t>PROP-027</t>
  </si>
  <si>
    <t>PROP-028</t>
  </si>
  <si>
    <t>PROP-029</t>
  </si>
  <si>
    <t>PROP-030</t>
  </si>
  <si>
    <t>PROP-031</t>
  </si>
  <si>
    <t>PROP-032</t>
  </si>
  <si>
    <t>PROP-033</t>
  </si>
  <si>
    <t>PROP-034</t>
  </si>
  <si>
    <t>PROP-035</t>
  </si>
  <si>
    <t>PROP-036</t>
  </si>
  <si>
    <t>PROP-037</t>
  </si>
  <si>
    <t>PROP-038</t>
  </si>
  <si>
    <t>PROP-039</t>
  </si>
  <si>
    <t>PROP-040</t>
  </si>
  <si>
    <t>PROP-041</t>
  </si>
  <si>
    <t>PROP-042</t>
  </si>
  <si>
    <t>PROP-043</t>
  </si>
  <si>
    <t>PROP-044</t>
  </si>
  <si>
    <t>PROP-045</t>
  </si>
  <si>
    <t>PROP-046</t>
  </si>
  <si>
    <t>PROP-047</t>
  </si>
  <si>
    <t>PROP-048</t>
  </si>
  <si>
    <t>PROP-049</t>
  </si>
  <si>
    <t>PROP-050</t>
  </si>
  <si>
    <t>PROP-051</t>
  </si>
  <si>
    <t>PROP-052</t>
  </si>
  <si>
    <t>PROP-053</t>
  </si>
  <si>
    <t>PROP-054</t>
  </si>
  <si>
    <t>PROP-055</t>
  </si>
  <si>
    <t>PROP-056</t>
  </si>
  <si>
    <t>PROP-057</t>
  </si>
  <si>
    <t>PROP-058</t>
  </si>
  <si>
    <t>PROP-059</t>
  </si>
  <si>
    <t>PROP-060</t>
  </si>
  <si>
    <t>PROP-061</t>
  </si>
  <si>
    <t>PROP-062</t>
  </si>
  <si>
    <t>PROP-063</t>
  </si>
  <si>
    <t>PROP-064</t>
  </si>
  <si>
    <t>PROP-065</t>
  </si>
  <si>
    <t>PROP-066</t>
  </si>
  <si>
    <t>PROP-067</t>
  </si>
  <si>
    <t>PROP-068</t>
  </si>
  <si>
    <t>PROP-069</t>
  </si>
  <si>
    <t>PROP-070</t>
  </si>
  <si>
    <t>PROP-071</t>
  </si>
  <si>
    <t>PROP-072</t>
  </si>
  <si>
    <t>PROP-073</t>
  </si>
  <si>
    <t>PROP-074</t>
  </si>
  <si>
    <t>PROP-075</t>
  </si>
  <si>
    <t>PROP-076</t>
  </si>
  <si>
    <t>PROP-077</t>
  </si>
  <si>
    <t>PROP-078</t>
  </si>
  <si>
    <t>PROP-079</t>
  </si>
  <si>
    <t>PROP-080</t>
  </si>
  <si>
    <t>PROP-081</t>
  </si>
  <si>
    <t>PROP-082</t>
  </si>
  <si>
    <t>PROP-083</t>
  </si>
  <si>
    <t>PROP-084</t>
  </si>
  <si>
    <t>PROP-085</t>
  </si>
  <si>
    <t>PROP-086</t>
  </si>
  <si>
    <t>PROP-087</t>
  </si>
  <si>
    <t>PROP-088</t>
  </si>
  <si>
    <t>PROP-089</t>
  </si>
  <si>
    <t>PROP-090</t>
  </si>
  <si>
    <t>PROP-091</t>
  </si>
  <si>
    <t>PROP-092</t>
  </si>
  <si>
    <t>PROP-093</t>
  </si>
  <si>
    <t>PROP-094</t>
  </si>
  <si>
    <t>PROP-095</t>
  </si>
  <si>
    <t>PROP-096</t>
  </si>
  <si>
    <t>PROP-097</t>
  </si>
  <si>
    <t>PROP-098</t>
  </si>
  <si>
    <t>PROP-099</t>
  </si>
  <si>
    <t>ENG-002</t>
  </si>
  <si>
    <t>ENG-003</t>
  </si>
  <si>
    <t>ENG-004</t>
  </si>
  <si>
    <t>ENG-005</t>
  </si>
  <si>
    <t>ENG-006</t>
  </si>
  <si>
    <t>ENG-007</t>
  </si>
  <si>
    <t>ENG-008</t>
  </si>
  <si>
    <t>ENG-009</t>
  </si>
  <si>
    <t>ENG-010</t>
  </si>
  <si>
    <t>ENG-011</t>
  </si>
  <si>
    <t>ENG-012</t>
  </si>
  <si>
    <t>ENG-013</t>
  </si>
  <si>
    <t>ENG-014</t>
  </si>
  <si>
    <t>ENG-015</t>
  </si>
  <si>
    <t>ENG-016</t>
  </si>
  <si>
    <t>ENG-017</t>
  </si>
  <si>
    <t>ENG-018</t>
  </si>
  <si>
    <t>ENG-019</t>
  </si>
  <si>
    <t>ENG-020</t>
  </si>
  <si>
    <t>ENG-021</t>
  </si>
  <si>
    <t>ENG-022</t>
  </si>
  <si>
    <t>ENG-023</t>
  </si>
  <si>
    <t>ENG-024</t>
  </si>
  <si>
    <t>ENG-025</t>
  </si>
  <si>
    <t>ENG-026</t>
  </si>
  <si>
    <t>ENG-027</t>
  </si>
  <si>
    <t>ENG-028</t>
  </si>
  <si>
    <t>ENG-029</t>
  </si>
  <si>
    <t>ENG-030</t>
  </si>
  <si>
    <t>ENG-031</t>
  </si>
  <si>
    <t>ENG-032</t>
  </si>
  <si>
    <t>ENG-033</t>
  </si>
  <si>
    <t>ENG-034</t>
  </si>
  <si>
    <t>ENG-035</t>
  </si>
  <si>
    <t>ENG-036</t>
  </si>
  <si>
    <t>ENG-037</t>
  </si>
  <si>
    <t>ENG-038</t>
  </si>
  <si>
    <t>ENG-039</t>
  </si>
  <si>
    <t>ENG-040</t>
  </si>
  <si>
    <t>ENG-041</t>
  </si>
  <si>
    <t>ENG-042</t>
  </si>
  <si>
    <t>ENG-043</t>
  </si>
  <si>
    <t>ENG-044</t>
  </si>
  <si>
    <t>ENG-045</t>
  </si>
  <si>
    <t>ENG-046</t>
  </si>
  <si>
    <t>ENG-047</t>
  </si>
  <si>
    <t>ENG-048</t>
  </si>
  <si>
    <t>ENG-049</t>
  </si>
  <si>
    <t>ENG-050</t>
  </si>
  <si>
    <t>ENG-051</t>
  </si>
  <si>
    <t>ENG-052</t>
  </si>
  <si>
    <t>ENG-053</t>
  </si>
  <si>
    <t>ENG-054</t>
  </si>
  <si>
    <t>ENG-055</t>
  </si>
  <si>
    <t>ENG-056</t>
  </si>
  <si>
    <t>ENG-057</t>
  </si>
  <si>
    <t>ENG-058</t>
  </si>
  <si>
    <t>ENG-059</t>
  </si>
  <si>
    <t>ENG-060</t>
  </si>
  <si>
    <t>ENG-061</t>
  </si>
  <si>
    <t>ENG-062</t>
  </si>
  <si>
    <t>ENG-063</t>
  </si>
  <si>
    <t>ENG-064</t>
  </si>
  <si>
    <t>ENG-065</t>
  </si>
  <si>
    <t>ENG-066</t>
  </si>
  <si>
    <t>ENG-067</t>
  </si>
  <si>
    <t>ENG-068</t>
  </si>
  <si>
    <t>ENG-069</t>
  </si>
  <si>
    <t>ENG-070</t>
  </si>
  <si>
    <t>ENG-071</t>
  </si>
  <si>
    <t>ENG-072</t>
  </si>
  <si>
    <t>ENG-073</t>
  </si>
  <si>
    <t>ENG-074</t>
  </si>
  <si>
    <t>ENG-075</t>
  </si>
  <si>
    <t>ENG-076</t>
  </si>
  <si>
    <t>ENG-077</t>
  </si>
  <si>
    <t>ENG-078</t>
  </si>
  <si>
    <t>ENG-079</t>
  </si>
  <si>
    <t>ENG-080</t>
  </si>
  <si>
    <t>ENG-081</t>
  </si>
  <si>
    <t>ENG-082</t>
  </si>
  <si>
    <t>ENG-083</t>
  </si>
  <si>
    <t>ENG-084</t>
  </si>
  <si>
    <t>ENG-085</t>
  </si>
  <si>
    <t>ENG-086</t>
  </si>
  <si>
    <t>ENG-087</t>
  </si>
  <si>
    <t>ENG-088</t>
  </si>
  <si>
    <t>ENG-089</t>
  </si>
  <si>
    <t>ENG-090</t>
  </si>
  <si>
    <t>ENG-091</t>
  </si>
  <si>
    <t>ENG-092</t>
  </si>
  <si>
    <t>ENG-093</t>
  </si>
  <si>
    <t>ENG-094</t>
  </si>
  <si>
    <t>ENG-095</t>
  </si>
  <si>
    <t>ENG-096</t>
  </si>
  <si>
    <t>ENG-097</t>
  </si>
  <si>
    <t>ENG-098</t>
  </si>
  <si>
    <t>ENG-099</t>
  </si>
  <si>
    <t>REV-002</t>
  </si>
  <si>
    <t>REV-003</t>
  </si>
  <si>
    <t>REV-004</t>
  </si>
  <si>
    <t>REV-005</t>
  </si>
  <si>
    <t>REV-006</t>
  </si>
  <si>
    <t>REV-007</t>
  </si>
  <si>
    <t>REV-008</t>
  </si>
  <si>
    <t>REV-009</t>
  </si>
  <si>
    <t>REV-010</t>
  </si>
  <si>
    <t>REV-011</t>
  </si>
  <si>
    <t>REV-012</t>
  </si>
  <si>
    <t>REV-013</t>
  </si>
  <si>
    <t>REV-014</t>
  </si>
  <si>
    <t>REV-015</t>
  </si>
  <si>
    <t>REV-016</t>
  </si>
  <si>
    <t>REV-017</t>
  </si>
  <si>
    <t>REV-018</t>
  </si>
  <si>
    <t>REV-019</t>
  </si>
  <si>
    <t>REV-020</t>
  </si>
  <si>
    <t>REV-021</t>
  </si>
  <si>
    <t>REV-022</t>
  </si>
  <si>
    <t>REV-023</t>
  </si>
  <si>
    <t>REV-024</t>
  </si>
  <si>
    <t>REV-025</t>
  </si>
  <si>
    <t>REV-026</t>
  </si>
  <si>
    <t>REV-027</t>
  </si>
  <si>
    <t>REV-028</t>
  </si>
  <si>
    <t>REV-029</t>
  </si>
  <si>
    <t>REV-030</t>
  </si>
  <si>
    <t>REV-031</t>
  </si>
  <si>
    <t>REV-032</t>
  </si>
  <si>
    <t>REV-033</t>
  </si>
  <si>
    <t>REV-034</t>
  </si>
  <si>
    <t>REV-035</t>
  </si>
  <si>
    <t>REV-036</t>
  </si>
  <si>
    <t>REV-037</t>
  </si>
  <si>
    <t>REV-038</t>
  </si>
  <si>
    <t>REV-039</t>
  </si>
  <si>
    <t>REV-040</t>
  </si>
  <si>
    <t>REV-041</t>
  </si>
  <si>
    <t>REV-042</t>
  </si>
  <si>
    <t>REV-043</t>
  </si>
  <si>
    <t>REV-044</t>
  </si>
  <si>
    <t>REV-045</t>
  </si>
  <si>
    <t>REV-046</t>
  </si>
  <si>
    <t>REV-047</t>
  </si>
  <si>
    <t>REV-048</t>
  </si>
  <si>
    <t>REV-049</t>
  </si>
  <si>
    <t>REV-050</t>
  </si>
  <si>
    <t>REV-051</t>
  </si>
  <si>
    <t>REV-052</t>
  </si>
  <si>
    <t>REV-053</t>
  </si>
  <si>
    <t>REV-054</t>
  </si>
  <si>
    <t>REV-055</t>
  </si>
  <si>
    <t>REV-056</t>
  </si>
  <si>
    <t>REV-057</t>
  </si>
  <si>
    <t>REV-058</t>
  </si>
  <si>
    <t>REV-059</t>
  </si>
  <si>
    <t>REV-060</t>
  </si>
  <si>
    <t>REV-061</t>
  </si>
  <si>
    <t>REV-062</t>
  </si>
  <si>
    <t>REV-063</t>
  </si>
  <si>
    <t>REV-064</t>
  </si>
  <si>
    <t>REV-065</t>
  </si>
  <si>
    <t>REV-066</t>
  </si>
  <si>
    <t>REV-067</t>
  </si>
  <si>
    <t>REV-068</t>
  </si>
  <si>
    <t>REV-069</t>
  </si>
  <si>
    <t>REV-070</t>
  </si>
  <si>
    <t>REV-071</t>
  </si>
  <si>
    <t>REV-072</t>
  </si>
  <si>
    <t>REV-073</t>
  </si>
  <si>
    <t>REV-074</t>
  </si>
  <si>
    <t>REV-075</t>
  </si>
  <si>
    <t>REV-076</t>
  </si>
  <si>
    <t>REV-077</t>
  </si>
  <si>
    <t>REV-078</t>
  </si>
  <si>
    <t>REV-079</t>
  </si>
  <si>
    <t>REV-080</t>
  </si>
  <si>
    <t>REV-081</t>
  </si>
  <si>
    <t>REV-082</t>
  </si>
  <si>
    <t>REV-083</t>
  </si>
  <si>
    <t>REV-084</t>
  </si>
  <si>
    <t>REV-085</t>
  </si>
  <si>
    <t>REV-086</t>
  </si>
  <si>
    <t>REV-087</t>
  </si>
  <si>
    <t>REV-088</t>
  </si>
  <si>
    <t>REV-089</t>
  </si>
  <si>
    <t>REV-090</t>
  </si>
  <si>
    <t>REV-091</t>
  </si>
  <si>
    <t>REV-092</t>
  </si>
  <si>
    <t>REV-093</t>
  </si>
  <si>
    <t>REV-094</t>
  </si>
  <si>
    <t>REV-095</t>
  </si>
  <si>
    <t>REV-096</t>
  </si>
  <si>
    <t>REV-097</t>
  </si>
  <si>
    <t>REV-098</t>
  </si>
  <si>
    <t>REV-099</t>
  </si>
  <si>
    <t>SPK-002</t>
  </si>
  <si>
    <t>SPK-003</t>
  </si>
  <si>
    <t>SPK-004</t>
  </si>
  <si>
    <t>SPK-005</t>
  </si>
  <si>
    <t>SPK-006</t>
  </si>
  <si>
    <t>SPK-007</t>
  </si>
  <si>
    <t>SPK-008</t>
  </si>
  <si>
    <t>SPK-009</t>
  </si>
  <si>
    <t>SPK-010</t>
  </si>
  <si>
    <t>SPK-011</t>
  </si>
  <si>
    <t>SPK-012</t>
  </si>
  <si>
    <t>SPK-013</t>
  </si>
  <si>
    <t>SPK-014</t>
  </si>
  <si>
    <t>SPK-015</t>
  </si>
  <si>
    <t>SPK-016</t>
  </si>
  <si>
    <t>SPK-017</t>
  </si>
  <si>
    <t>SPK-018</t>
  </si>
  <si>
    <t>SPK-019</t>
  </si>
  <si>
    <t>SPK-020</t>
  </si>
  <si>
    <t>SPK-021</t>
  </si>
  <si>
    <t>SPK-022</t>
  </si>
  <si>
    <t>SPK-023</t>
  </si>
  <si>
    <t>SPK-024</t>
  </si>
  <si>
    <t>SPK-025</t>
  </si>
  <si>
    <t>SPK-026</t>
  </si>
  <si>
    <t>SPK-027</t>
  </si>
  <si>
    <t>SPK-028</t>
  </si>
  <si>
    <t>SPK-029</t>
  </si>
  <si>
    <t>SPK-030</t>
  </si>
  <si>
    <t>SPK-031</t>
  </si>
  <si>
    <t>SPK-032</t>
  </si>
  <si>
    <t>SPK-033</t>
  </si>
  <si>
    <t>SPK-034</t>
  </si>
  <si>
    <t>SPK-035</t>
  </si>
  <si>
    <t>SPK-036</t>
  </si>
  <si>
    <t>SPK-037</t>
  </si>
  <si>
    <t>SPK-038</t>
  </si>
  <si>
    <t>SPK-039</t>
  </si>
  <si>
    <t>SPK-040</t>
  </si>
  <si>
    <t>SPK-041</t>
  </si>
  <si>
    <t>SPK-042</t>
  </si>
  <si>
    <t>SPK-043</t>
  </si>
  <si>
    <t>SPK-044</t>
  </si>
  <si>
    <t>SPK-045</t>
  </si>
  <si>
    <t>SPK-046</t>
  </si>
  <si>
    <t>SPK-047</t>
  </si>
  <si>
    <t>SPK-048</t>
  </si>
  <si>
    <t>SPK-049</t>
  </si>
  <si>
    <t>SPK-050</t>
  </si>
  <si>
    <t>SPK-051</t>
  </si>
  <si>
    <t>SPK-052</t>
  </si>
  <si>
    <t>SPK-053</t>
  </si>
  <si>
    <t>SPK-054</t>
  </si>
  <si>
    <t>SPK-055</t>
  </si>
  <si>
    <t>SPK-056</t>
  </si>
  <si>
    <t>SPK-057</t>
  </si>
  <si>
    <t>SPK-058</t>
  </si>
  <si>
    <t>SPK-059</t>
  </si>
  <si>
    <t>SPK-060</t>
  </si>
  <si>
    <t>SPK-061</t>
  </si>
  <si>
    <t>SPK-062</t>
  </si>
  <si>
    <t>SPK-063</t>
  </si>
  <si>
    <t>SPK-064</t>
  </si>
  <si>
    <t>SPK-065</t>
  </si>
  <si>
    <t>SPK-066</t>
  </si>
  <si>
    <t>SPK-067</t>
  </si>
  <si>
    <t>SPK-068</t>
  </si>
  <si>
    <t>SPK-069</t>
  </si>
  <si>
    <t>SPK-070</t>
  </si>
  <si>
    <t>SPK-071</t>
  </si>
  <si>
    <t>SPK-072</t>
  </si>
  <si>
    <t>SPK-073</t>
  </si>
  <si>
    <t>SPK-074</t>
  </si>
  <si>
    <t>SPK-075</t>
  </si>
  <si>
    <t>SPK-076</t>
  </si>
  <si>
    <t>SPK-077</t>
  </si>
  <si>
    <t>SPK-078</t>
  </si>
  <si>
    <t>SPK-079</t>
  </si>
  <si>
    <t>SPK-080</t>
  </si>
  <si>
    <t>SPK-081</t>
  </si>
  <si>
    <t>SPK-082</t>
  </si>
  <si>
    <t>SPK-083</t>
  </si>
  <si>
    <t>SPK-084</t>
  </si>
  <si>
    <t>SPK-085</t>
  </si>
  <si>
    <t>SPK-086</t>
  </si>
  <si>
    <t>SPK-087</t>
  </si>
  <si>
    <t>SPK-088</t>
  </si>
  <si>
    <t>SPK-089</t>
  </si>
  <si>
    <t>SPK-090</t>
  </si>
  <si>
    <t>SPK-091</t>
  </si>
  <si>
    <t>SPK-092</t>
  </si>
  <si>
    <t>SPK-093</t>
  </si>
  <si>
    <t>SPK-094</t>
  </si>
  <si>
    <t>SPK-095</t>
  </si>
  <si>
    <t>SPK-096</t>
  </si>
  <si>
    <t>SPK-097</t>
  </si>
  <si>
    <t>SPK-098</t>
  </si>
  <si>
    <t>SPK-099</t>
  </si>
  <si>
    <t>REF-002</t>
  </si>
  <si>
    <t>REF-003</t>
  </si>
  <si>
    <t>REF-004</t>
  </si>
  <si>
    <t>REF-005</t>
  </si>
  <si>
    <t>REF-006</t>
  </si>
  <si>
    <t>REF-007</t>
  </si>
  <si>
    <t>REF-008</t>
  </si>
  <si>
    <t>REF-009</t>
  </si>
  <si>
    <t>REF-010</t>
  </si>
  <si>
    <t>REF-011</t>
  </si>
  <si>
    <t>REF-012</t>
  </si>
  <si>
    <t>REF-013</t>
  </si>
  <si>
    <t>REF-014</t>
  </si>
  <si>
    <t>REF-015</t>
  </si>
  <si>
    <t>REF-016</t>
  </si>
  <si>
    <t>REF-017</t>
  </si>
  <si>
    <t>REF-018</t>
  </si>
  <si>
    <t>REF-019</t>
  </si>
  <si>
    <t>REF-020</t>
  </si>
  <si>
    <t>REF-021</t>
  </si>
  <si>
    <t>REF-022</t>
  </si>
  <si>
    <t>REF-023</t>
  </si>
  <si>
    <t>REF-024</t>
  </si>
  <si>
    <t>REF-025</t>
  </si>
  <si>
    <t>REF-026</t>
  </si>
  <si>
    <t>REF-027</t>
  </si>
  <si>
    <t>REF-028</t>
  </si>
  <si>
    <t>REF-029</t>
  </si>
  <si>
    <t>REF-030</t>
  </si>
  <si>
    <t>REF-031</t>
  </si>
  <si>
    <t>REF-032</t>
  </si>
  <si>
    <t>REF-033</t>
  </si>
  <si>
    <t>REF-034</t>
  </si>
  <si>
    <t>REF-035</t>
  </si>
  <si>
    <t>REF-036</t>
  </si>
  <si>
    <t>REF-037</t>
  </si>
  <si>
    <t>REF-038</t>
  </si>
  <si>
    <t>REF-039</t>
  </si>
  <si>
    <t>REF-040</t>
  </si>
  <si>
    <t>REF-041</t>
  </si>
  <si>
    <t>REF-042</t>
  </si>
  <si>
    <t>REF-043</t>
  </si>
  <si>
    <t>REF-044</t>
  </si>
  <si>
    <t>REF-045</t>
  </si>
  <si>
    <t>REF-046</t>
  </si>
  <si>
    <t>REF-047</t>
  </si>
  <si>
    <t>REF-048</t>
  </si>
  <si>
    <t>REF-049</t>
  </si>
  <si>
    <t>REF-050</t>
  </si>
  <si>
    <t>REF-051</t>
  </si>
  <si>
    <t>REF-052</t>
  </si>
  <si>
    <t>REF-053</t>
  </si>
  <si>
    <t>REF-054</t>
  </si>
  <si>
    <t>REF-055</t>
  </si>
  <si>
    <t>REF-056</t>
  </si>
  <si>
    <t>REF-057</t>
  </si>
  <si>
    <t>REF-058</t>
  </si>
  <si>
    <t>REF-059</t>
  </si>
  <si>
    <t>REF-060</t>
  </si>
  <si>
    <t>REF-061</t>
  </si>
  <si>
    <t>REF-062</t>
  </si>
  <si>
    <t>REF-063</t>
  </si>
  <si>
    <t>REF-064</t>
  </si>
  <si>
    <t>REF-065</t>
  </si>
  <si>
    <t>REF-066</t>
  </si>
  <si>
    <t>REF-067</t>
  </si>
  <si>
    <t>REF-068</t>
  </si>
  <si>
    <t>REF-069</t>
  </si>
  <si>
    <t>REF-070</t>
  </si>
  <si>
    <t>REF-071</t>
  </si>
  <si>
    <t>REF-072</t>
  </si>
  <si>
    <t>REF-073</t>
  </si>
  <si>
    <t>REF-074</t>
  </si>
  <si>
    <t>REF-075</t>
  </si>
  <si>
    <t>REF-076</t>
  </si>
  <si>
    <t>REF-077</t>
  </si>
  <si>
    <t>REF-078</t>
  </si>
  <si>
    <t>REF-079</t>
  </si>
  <si>
    <t>REF-080</t>
  </si>
  <si>
    <t>REF-081</t>
  </si>
  <si>
    <t>REF-082</t>
  </si>
  <si>
    <t>REF-083</t>
  </si>
  <si>
    <t>REF-084</t>
  </si>
  <si>
    <t>REF-085</t>
  </si>
  <si>
    <t>REF-086</t>
  </si>
  <si>
    <t>REF-087</t>
  </si>
  <si>
    <t>REF-088</t>
  </si>
  <si>
    <t>REF-089</t>
  </si>
  <si>
    <t>REF-090</t>
  </si>
  <si>
    <t>REF-091</t>
  </si>
  <si>
    <t>REF-092</t>
  </si>
  <si>
    <t>REF-093</t>
  </si>
  <si>
    <t>REF-094</t>
  </si>
  <si>
    <t>REF-095</t>
  </si>
  <si>
    <t>REF-096</t>
  </si>
  <si>
    <t>REF-097</t>
  </si>
  <si>
    <t>REF-098</t>
  </si>
  <si>
    <t>REF-099</t>
  </si>
  <si>
    <t>CNT-002</t>
  </si>
  <si>
    <t>CNT-003</t>
  </si>
  <si>
    <t>CNT-004</t>
  </si>
  <si>
    <t>CNT-005</t>
  </si>
  <si>
    <t>CNT-006</t>
  </si>
  <si>
    <t>CNT-007</t>
  </si>
  <si>
    <t>CNT-008</t>
  </si>
  <si>
    <t>CNT-009</t>
  </si>
  <si>
    <t>CNT-010</t>
  </si>
  <si>
    <t>CNT-011</t>
  </si>
  <si>
    <t>CNT-012</t>
  </si>
  <si>
    <t>CNT-013</t>
  </si>
  <si>
    <t>CNT-014</t>
  </si>
  <si>
    <t>CNT-015</t>
  </si>
  <si>
    <t>CNT-016</t>
  </si>
  <si>
    <t>CNT-017</t>
  </si>
  <si>
    <t>CNT-018</t>
  </si>
  <si>
    <t>CNT-019</t>
  </si>
  <si>
    <t>CNT-020</t>
  </si>
  <si>
    <t>CNT-021</t>
  </si>
  <si>
    <t>CNT-022</t>
  </si>
  <si>
    <t>CNT-023</t>
  </si>
  <si>
    <t>CNT-024</t>
  </si>
  <si>
    <t>CNT-025</t>
  </si>
  <si>
    <t>CNT-026</t>
  </si>
  <si>
    <t>CNT-027</t>
  </si>
  <si>
    <t>CNT-028</t>
  </si>
  <si>
    <t>CNT-029</t>
  </si>
  <si>
    <t>CNT-030</t>
  </si>
  <si>
    <t>CNT-031</t>
  </si>
  <si>
    <t>CNT-032</t>
  </si>
  <si>
    <t>CNT-033</t>
  </si>
  <si>
    <t>CNT-034</t>
  </si>
  <si>
    <t>CNT-035</t>
  </si>
  <si>
    <t>CNT-036</t>
  </si>
  <si>
    <t>CNT-037</t>
  </si>
  <si>
    <t>CNT-038</t>
  </si>
  <si>
    <t>CNT-039</t>
  </si>
  <si>
    <t>CNT-040</t>
  </si>
  <si>
    <t>CNT-041</t>
  </si>
  <si>
    <t>CNT-042</t>
  </si>
  <si>
    <t>CNT-043</t>
  </si>
  <si>
    <t>CNT-044</t>
  </si>
  <si>
    <t>CNT-045</t>
  </si>
  <si>
    <t>CNT-046</t>
  </si>
  <si>
    <t>CNT-047</t>
  </si>
  <si>
    <t>CNT-048</t>
  </si>
  <si>
    <t>CNT-049</t>
  </si>
  <si>
    <t>CNT-050</t>
  </si>
  <si>
    <t>CNT-051</t>
  </si>
  <si>
    <t>CNT-052</t>
  </si>
  <si>
    <t>CNT-053</t>
  </si>
  <si>
    <t>CNT-054</t>
  </si>
  <si>
    <t>CNT-055</t>
  </si>
  <si>
    <t>CNT-056</t>
  </si>
  <si>
    <t>CNT-057</t>
  </si>
  <si>
    <t>CNT-058</t>
  </si>
  <si>
    <t>CNT-059</t>
  </si>
  <si>
    <t>CNT-060</t>
  </si>
  <si>
    <t>CNT-061</t>
  </si>
  <si>
    <t>CNT-062</t>
  </si>
  <si>
    <t>CNT-063</t>
  </si>
  <si>
    <t>CNT-064</t>
  </si>
  <si>
    <t>CNT-065</t>
  </si>
  <si>
    <t>CNT-066</t>
  </si>
  <si>
    <t>CNT-067</t>
  </si>
  <si>
    <t>CNT-068</t>
  </si>
  <si>
    <t>CNT-069</t>
  </si>
  <si>
    <t>CNT-070</t>
  </si>
  <si>
    <t>CNT-071</t>
  </si>
  <si>
    <t>CNT-072</t>
  </si>
  <si>
    <t>CNT-073</t>
  </si>
  <si>
    <t>CNT-074</t>
  </si>
  <si>
    <t>CNT-075</t>
  </si>
  <si>
    <t>CNT-076</t>
  </si>
  <si>
    <t>CNT-077</t>
  </si>
  <si>
    <t>CNT-078</t>
  </si>
  <si>
    <t>CNT-079</t>
  </si>
  <si>
    <t>CNT-080</t>
  </si>
  <si>
    <t>CNT-081</t>
  </si>
  <si>
    <t>CNT-082</t>
  </si>
  <si>
    <t>CNT-083</t>
  </si>
  <si>
    <t>CNT-084</t>
  </si>
  <si>
    <t>CNT-085</t>
  </si>
  <si>
    <t>CNT-086</t>
  </si>
  <si>
    <t>CNT-087</t>
  </si>
  <si>
    <t>CNT-088</t>
  </si>
  <si>
    <t>CNT-089</t>
  </si>
  <si>
    <t>CNT-090</t>
  </si>
  <si>
    <t>CNT-091</t>
  </si>
  <si>
    <t>CNT-092</t>
  </si>
  <si>
    <t>CNT-093</t>
  </si>
  <si>
    <t>CNT-094</t>
  </si>
  <si>
    <t>CNT-095</t>
  </si>
  <si>
    <t>CNT-096</t>
  </si>
  <si>
    <t>CNT-097</t>
  </si>
  <si>
    <t>CNT-098</t>
  </si>
  <si>
    <t>CNT-099</t>
  </si>
  <si>
    <t>Pacific Northwest</t>
  </si>
  <si>
    <t>Mountain West</t>
  </si>
  <si>
    <t>Great Plains</t>
  </si>
  <si>
    <t>Southeast</t>
  </si>
  <si>
    <t>Mid-Atlantic</t>
  </si>
  <si>
    <t>International</t>
  </si>
  <si>
    <t>Washington</t>
  </si>
  <si>
    <t>California</t>
  </si>
  <si>
    <t>Arizona</t>
  </si>
  <si>
    <t>Colorado</t>
  </si>
  <si>
    <t>Nevada</t>
  </si>
  <si>
    <t>Texas</t>
  </si>
  <si>
    <t>Bates Technical College</t>
  </si>
  <si>
    <t>Bellevue College</t>
  </si>
  <si>
    <t>Bellingham Technical College</t>
  </si>
  <si>
    <t>Big Bend Community College</t>
  </si>
  <si>
    <t>Cascadia College</t>
  </si>
  <si>
    <t>Centralia College</t>
  </si>
  <si>
    <t>Clark College</t>
  </si>
  <si>
    <t>Clover Park Technical College</t>
  </si>
  <si>
    <t>Columbia Basin College</t>
  </si>
  <si>
    <t>Edmonds College</t>
  </si>
  <si>
    <t>Everett Community College</t>
  </si>
  <si>
    <t>Grays Harbor College</t>
  </si>
  <si>
    <t>Green River College</t>
  </si>
  <si>
    <t>Highline College</t>
  </si>
  <si>
    <t>Lake Washington Institute of Technology</t>
  </si>
  <si>
    <t>Lower Columbia College</t>
  </si>
  <si>
    <t>North Seattle College</t>
  </si>
  <si>
    <t>Olympic College</t>
  </si>
  <si>
    <t>Peninsula College</t>
  </si>
  <si>
    <t>Pierce College Fort Steilacoom</t>
  </si>
  <si>
    <t>Pierce College Puyallup</t>
  </si>
  <si>
    <t>Renton Technical College</t>
  </si>
  <si>
    <t>Seattle Central College</t>
  </si>
  <si>
    <t>Shoreline College</t>
  </si>
  <si>
    <t>Skagit Valley College</t>
  </si>
  <si>
    <t>South Puget Sound Community College</t>
  </si>
  <si>
    <t>South Seattle College</t>
  </si>
  <si>
    <t>Spokane Community College</t>
  </si>
  <si>
    <t>Spokane Falls Community College</t>
  </si>
  <si>
    <t>Tacoma Community College</t>
  </si>
  <si>
    <t>Walla Walla Community College</t>
  </si>
  <si>
    <t>Wenatchee Valley College</t>
  </si>
  <si>
    <t>Whatcom Community College</t>
  </si>
  <si>
    <t>Yakima Valley College</t>
  </si>
  <si>
    <t>Allan Hancock College</t>
  </si>
  <si>
    <t>American River College</t>
  </si>
  <si>
    <t>Antelope Valley College</t>
  </si>
  <si>
    <t>Bakersfield College</t>
  </si>
  <si>
    <t>Barstow Community College</t>
  </si>
  <si>
    <t>Berkeley City College</t>
  </si>
  <si>
    <t>Butte College</t>
  </si>
  <si>
    <t>Cabrillo College</t>
  </si>
  <si>
    <t>Calbright College</t>
  </si>
  <si>
    <t>Cañada College</t>
  </si>
  <si>
    <t>Cerritos College</t>
  </si>
  <si>
    <t>Cerro Coso Community College</t>
  </si>
  <si>
    <t>Chabot College</t>
  </si>
  <si>
    <t>Chaffey College</t>
  </si>
  <si>
    <t>Citrus College</t>
  </si>
  <si>
    <t>City College of San Francisco</t>
  </si>
  <si>
    <t>Clovis Community College</t>
  </si>
  <si>
    <t>Coalinga College</t>
  </si>
  <si>
    <t>Coastline College</t>
  </si>
  <si>
    <t>College of Alameda</t>
  </si>
  <si>
    <t>College of Marin</t>
  </si>
  <si>
    <t>College of San Mateo</t>
  </si>
  <si>
    <t>College of the Canyons</t>
  </si>
  <si>
    <t>College of the Desert</t>
  </si>
  <si>
    <t>College of the Redwoods</t>
  </si>
  <si>
    <t>College of the Sequoias</t>
  </si>
  <si>
    <t>College of the Siskiyous</t>
  </si>
  <si>
    <t>Columbia College</t>
  </si>
  <si>
    <t>Compton College</t>
  </si>
  <si>
    <t>Contra Costa College</t>
  </si>
  <si>
    <t>Copper Mountain College</t>
  </si>
  <si>
    <t>Cosumnes River College</t>
  </si>
  <si>
    <t>Crafton Hills College</t>
  </si>
  <si>
    <t>Cuesta College</t>
  </si>
  <si>
    <t>Cuyamaca College</t>
  </si>
  <si>
    <t>Cypress College</t>
  </si>
  <si>
    <t>De Anza College</t>
  </si>
  <si>
    <t>Diablo Valley College</t>
  </si>
  <si>
    <t>East Los Angeles College</t>
  </si>
  <si>
    <t>El Camino College</t>
  </si>
  <si>
    <t>Evergreen Valley College</t>
  </si>
  <si>
    <t>Feather River College</t>
  </si>
  <si>
    <t>Folsom Lake College</t>
  </si>
  <si>
    <t>Foothill College</t>
  </si>
  <si>
    <t>Fresno City College</t>
  </si>
  <si>
    <t>Fullerton College</t>
  </si>
  <si>
    <t>Gavilan College</t>
  </si>
  <si>
    <t>Glendale Community College</t>
  </si>
  <si>
    <t>Golden West College</t>
  </si>
  <si>
    <t>Grossmont College</t>
  </si>
  <si>
    <t>Hartnell College</t>
  </si>
  <si>
    <t>Imperial Valley College</t>
  </si>
  <si>
    <t>Irvine Valley College</t>
  </si>
  <si>
    <t>Lake Tahoe Community College</t>
  </si>
  <si>
    <t>Laney College</t>
  </si>
  <si>
    <t>Las Positas College</t>
  </si>
  <si>
    <t>Lassen College</t>
  </si>
  <si>
    <t>Lemoore College</t>
  </si>
  <si>
    <t>Long Beach City College</t>
  </si>
  <si>
    <t>Los Angeles City College</t>
  </si>
  <si>
    <t>Los Angeles Harbor College</t>
  </si>
  <si>
    <t>Los Angeles Mission College</t>
  </si>
  <si>
    <t>Los Angeles Pierce College</t>
  </si>
  <si>
    <t>Los Angeles Southwest College</t>
  </si>
  <si>
    <t>Los Angeles Trade-Technical College</t>
  </si>
  <si>
    <t>Los Angeles Valley College</t>
  </si>
  <si>
    <t>Los Medanos College</t>
  </si>
  <si>
    <t>Madera Community College</t>
  </si>
  <si>
    <t>Mendocino College</t>
  </si>
  <si>
    <t>Merced College</t>
  </si>
  <si>
    <t>Merritt College</t>
  </si>
  <si>
    <t>MiraCosta College</t>
  </si>
  <si>
    <t>Mission College</t>
  </si>
  <si>
    <t>Modesto Junior College</t>
  </si>
  <si>
    <t>Monterey Peninsula College</t>
  </si>
  <si>
    <t>Moorpark College</t>
  </si>
  <si>
    <t>Moreno Valley College</t>
  </si>
  <si>
    <t>Mt. San Antonio College</t>
  </si>
  <si>
    <t>Mt. San Jacinto College</t>
  </si>
  <si>
    <t>Napa Valley College</t>
  </si>
  <si>
    <t>Norco College</t>
  </si>
  <si>
    <t>North Orange Continuing Education</t>
  </si>
  <si>
    <t>Ohlone College</t>
  </si>
  <si>
    <t>Orange Coast College</t>
  </si>
  <si>
    <t>Oxnard College</t>
  </si>
  <si>
    <t>Palo Verde College</t>
  </si>
  <si>
    <t>Palomar College</t>
  </si>
  <si>
    <t>Pasadena City College</t>
  </si>
  <si>
    <t>Porterville College</t>
  </si>
  <si>
    <t>Reedley College</t>
  </si>
  <si>
    <t>Rio Hondo College</t>
  </si>
  <si>
    <t>Riverside City College</t>
  </si>
  <si>
    <t>Sacramento City College</t>
  </si>
  <si>
    <t>Saddleback College</t>
  </si>
  <si>
    <t>San Bernardino Valley College</t>
  </si>
  <si>
    <t>San Diego City College</t>
  </si>
  <si>
    <t>San Diego College of Continuing Education</t>
  </si>
  <si>
    <t>San Diego Mesa College</t>
  </si>
  <si>
    <t>San Diego Miramar College</t>
  </si>
  <si>
    <t>San Joaquin Delta College</t>
  </si>
  <si>
    <t>San Jose City College</t>
  </si>
  <si>
    <t>Santa Ana College</t>
  </si>
  <si>
    <t>Santa Barbara City College</t>
  </si>
  <si>
    <t>Santa Monica College</t>
  </si>
  <si>
    <t>Santa Rosa Junior College</t>
  </si>
  <si>
    <t>Santiago Canyon College</t>
  </si>
  <si>
    <t>Shasta College</t>
  </si>
  <si>
    <t>Sierra College</t>
  </si>
  <si>
    <t>Skyline College</t>
  </si>
  <si>
    <t>Solano Community College</t>
  </si>
  <si>
    <t>Southwestern College</t>
  </si>
  <si>
    <t>Taft College</t>
  </si>
  <si>
    <t>Ventura College</t>
  </si>
  <si>
    <t>Victor Valley College</t>
  </si>
  <si>
    <t>West Los Angeles College</t>
  </si>
  <si>
    <t>West Valley College</t>
  </si>
  <si>
    <t>Woodland Community College</t>
  </si>
  <si>
    <t>Yuba College</t>
  </si>
  <si>
    <t>Arizona Western College</t>
  </si>
  <si>
    <t>Central Arizona College</t>
  </si>
  <si>
    <t>Chandler-Gilbert Community College</t>
  </si>
  <si>
    <t>Cochise College</t>
  </si>
  <si>
    <t>Coconino Community College</t>
  </si>
  <si>
    <t>Eastern Arizona College</t>
  </si>
  <si>
    <t>Estrella Mountain Community College</t>
  </si>
  <si>
    <t>GateWay Community College</t>
  </si>
  <si>
    <t>Mesa Community College</t>
  </si>
  <si>
    <t>Mohave Community College</t>
  </si>
  <si>
    <t>Northland Pioneer College</t>
  </si>
  <si>
    <t>Paradise Valley Community College</t>
  </si>
  <si>
    <t>Phoenix College</t>
  </si>
  <si>
    <t>Pima Community College</t>
  </si>
  <si>
    <t>Rio Salado College</t>
  </si>
  <si>
    <t>Scottsdale Community College</t>
  </si>
  <si>
    <t>South Mountain Community College</t>
  </si>
  <si>
    <t>Yavapai College</t>
  </si>
  <si>
    <t>Aims Community College</t>
  </si>
  <si>
    <t>Arapahoe Community College</t>
  </si>
  <si>
    <t>Colorado Mountain College</t>
  </si>
  <si>
    <t>Colorado Northwestern Community College</t>
  </si>
  <si>
    <t>Community College of Aurora</t>
  </si>
  <si>
    <t>Community College of Denver</t>
  </si>
  <si>
    <t>Front Range Community College</t>
  </si>
  <si>
    <t>Lamar Community College</t>
  </si>
  <si>
    <t>Morgan Community College</t>
  </si>
  <si>
    <t>Northeastern Junior College</t>
  </si>
  <si>
    <t>Otero College</t>
  </si>
  <si>
    <t>Pikes Peak State College</t>
  </si>
  <si>
    <t>Pueblo Community College</t>
  </si>
  <si>
    <t>Red Rocks Community College</t>
  </si>
  <si>
    <t>Trinidad State College</t>
  </si>
  <si>
    <t>College of Southern Nevada</t>
  </si>
  <si>
    <t>Great Basin College</t>
  </si>
  <si>
    <t>Truckee Meadows Community College</t>
  </si>
  <si>
    <t>Western Nevada College</t>
  </si>
  <si>
    <t>Alamo Colleges District</t>
  </si>
  <si>
    <t>Alvin Community College</t>
  </si>
  <si>
    <t>Amarillo College</t>
  </si>
  <si>
    <t>Angelina College</t>
  </si>
  <si>
    <t>Austin Community College District</t>
  </si>
  <si>
    <t>Blinn College District</t>
  </si>
  <si>
    <t>Brazosport College</t>
  </si>
  <si>
    <t>Central Texas College</t>
  </si>
  <si>
    <t>Cisco College</t>
  </si>
  <si>
    <t>Clarendon College</t>
  </si>
  <si>
    <t>Coastal Bend College</t>
  </si>
  <si>
    <t>College of the Mainland</t>
  </si>
  <si>
    <t>Collin College</t>
  </si>
  <si>
    <t>Dallas College</t>
  </si>
  <si>
    <t>Del Mar College</t>
  </si>
  <si>
    <t>El Paso Community College</t>
  </si>
  <si>
    <t>Frank Phillips College</t>
  </si>
  <si>
    <t>Galveston College</t>
  </si>
  <si>
    <t>Grayson College</t>
  </si>
  <si>
    <t>Hill College</t>
  </si>
  <si>
    <t>Houston Community College</t>
  </si>
  <si>
    <t>Howard College</t>
  </si>
  <si>
    <t>Kilgore College</t>
  </si>
  <si>
    <t>Lamar Institute of Technology</t>
  </si>
  <si>
    <t>Lamar State College Orange</t>
  </si>
  <si>
    <t>Lamar State College Port Arthur</t>
  </si>
  <si>
    <t>Laredo College</t>
  </si>
  <si>
    <t>Lee College</t>
  </si>
  <si>
    <t>Lone Star College</t>
  </si>
  <si>
    <t>McLennan Community College</t>
  </si>
  <si>
    <t>Midland College</t>
  </si>
  <si>
    <t>Navarro College</t>
  </si>
  <si>
    <t>North Central Texas College</t>
  </si>
  <si>
    <t>Northeast Texas Community College</t>
  </si>
  <si>
    <t>Odessa College</t>
  </si>
  <si>
    <t>Panola College</t>
  </si>
  <si>
    <t>Paris Junior College</t>
  </si>
  <si>
    <t>Ranger College</t>
  </si>
  <si>
    <t>San Jacinto College</t>
  </si>
  <si>
    <t>South Plains College</t>
  </si>
  <si>
    <t>South Texas College</t>
  </si>
  <si>
    <t>Southwest Texas Junior College</t>
  </si>
  <si>
    <t>Tarrant County College</t>
  </si>
  <si>
    <t>Temple College</t>
  </si>
  <si>
    <t>Texarkana College</t>
  </si>
  <si>
    <t>Texas Southmost College</t>
  </si>
  <si>
    <t>Texas State Technical College</t>
  </si>
  <si>
    <t>Trinity Valley Community College</t>
  </si>
  <si>
    <t>Tyler Junior College</t>
  </si>
  <si>
    <t>Vernon College</t>
  </si>
  <si>
    <t>Victoria College</t>
  </si>
  <si>
    <t>Weatherford College</t>
  </si>
  <si>
    <t>Western Texas College</t>
  </si>
  <si>
    <t>Wharton County Junior College</t>
  </si>
  <si>
    <t>https://www.batestech.edu</t>
  </si>
  <si>
    <t>https://www.bellevuecollege.edu</t>
  </si>
  <si>
    <t>https://www.btc.edu</t>
  </si>
  <si>
    <t>https://www.bigbend.edu</t>
  </si>
  <si>
    <t>https://www.cascadia.edu</t>
  </si>
  <si>
    <t>https://www.centralia.edu</t>
  </si>
  <si>
    <t>https://www.clark.edu</t>
  </si>
  <si>
    <t>https://www.cptc.edu</t>
  </si>
  <si>
    <t>https://www.columbiabasin.edu</t>
  </si>
  <si>
    <t>https://www.edmonds.edu</t>
  </si>
  <si>
    <t>https://www.everettcc.edu</t>
  </si>
  <si>
    <t>https://www.ghc.edu</t>
  </si>
  <si>
    <t>https://www.greenriver.edu</t>
  </si>
  <si>
    <t>https://www.highline.edu</t>
  </si>
  <si>
    <t>https://www.lwtech.edu</t>
  </si>
  <si>
    <t>https://www.lowercolumbia.edu</t>
  </si>
  <si>
    <t>https://northseattle.edu</t>
  </si>
  <si>
    <t>https://www.olympic.edu</t>
  </si>
  <si>
    <t>https://pencol.edu</t>
  </si>
  <si>
    <t>https://www.pierce.ctc.edu</t>
  </si>
  <si>
    <t>https://rtc.edu</t>
  </si>
  <si>
    <t>https://seattlecentral.edu</t>
  </si>
  <si>
    <t>https://www.shoreline.edu</t>
  </si>
  <si>
    <t>https://www.skagit.edu</t>
  </si>
  <si>
    <t>https://spscc.edu</t>
  </si>
  <si>
    <t>https://southseattle.edu</t>
  </si>
  <si>
    <t>https://scc.spokane.edu</t>
  </si>
  <si>
    <t>https://sfcc.spokane.edu</t>
  </si>
  <si>
    <t>https://www.tacomacc.edu</t>
  </si>
  <si>
    <t>https://www.wwcc.edu</t>
  </si>
  <si>
    <t>https://www.wvc.edu</t>
  </si>
  <si>
    <t>https://www.whatcom.edu</t>
  </si>
  <si>
    <t>https://www.yvcc.edu</t>
  </si>
  <si>
    <t>https://www.hancockcollege.edu</t>
  </si>
  <si>
    <t>https://arc.losrios.edu</t>
  </si>
  <si>
    <t>https://www.avc.edu</t>
  </si>
  <si>
    <t>https://www.bakersfieldcollege.edu</t>
  </si>
  <si>
    <t>https://www.barstow.edu</t>
  </si>
  <si>
    <t>https://www.berkeleycitycollege.edu</t>
  </si>
  <si>
    <t>https://www.butte.edu</t>
  </si>
  <si>
    <t>https://www.cabrillo.edu</t>
  </si>
  <si>
    <t>https://www.calbright.org</t>
  </si>
  <si>
    <t>https://www.canadacollege.edu</t>
  </si>
  <si>
    <t>https://www.cerritos.edu</t>
  </si>
  <si>
    <t>https://www.cerrocoso.edu</t>
  </si>
  <si>
    <t>https://www.chabotcollege.edu</t>
  </si>
  <si>
    <t>https://www.chaffey.edu</t>
  </si>
  <si>
    <t>https://www.citruscollege.edu</t>
  </si>
  <si>
    <t>https://www.ccsf.edu</t>
  </si>
  <si>
    <t>https://www.cloviscollege.edu</t>
  </si>
  <si>
    <t>https://www.westhillscollege.com/coalinga</t>
  </si>
  <si>
    <t>https://www.coastline.edu</t>
  </si>
  <si>
    <t>https://www.alameda.edu</t>
  </si>
  <si>
    <t>https://www.marin.edu</t>
  </si>
  <si>
    <t>https://collegeofsanmateo.edu</t>
  </si>
  <si>
    <t>https://www.canyons.edu</t>
  </si>
  <si>
    <t>https://www.collegeofthedesert.edu</t>
  </si>
  <si>
    <t>https://www.redwoods.edu</t>
  </si>
  <si>
    <t>https://www.cos.edu</t>
  </si>
  <si>
    <t>https://www.siskiyous.edu</t>
  </si>
  <si>
    <t>https://www.gocolumbia.edu</t>
  </si>
  <si>
    <t>https://www.compton.edu</t>
  </si>
  <si>
    <t>https://www.contracosta.edu</t>
  </si>
  <si>
    <t>https://www.cmccd.edu</t>
  </si>
  <si>
    <t>https://crc.losrios.edu</t>
  </si>
  <si>
    <t>https://www.craftonhills.edu</t>
  </si>
  <si>
    <t>https://www.cuesta.edu</t>
  </si>
  <si>
    <t>https://www.cuyamaca.edu</t>
  </si>
  <si>
    <t>https://www.cypresscollege.edu</t>
  </si>
  <si>
    <t>https://www.deanza.edu</t>
  </si>
  <si>
    <t>https://www.dvc.edu</t>
  </si>
  <si>
    <t>https://www.elac.edu</t>
  </si>
  <si>
    <t>https://www.elcamino.edu</t>
  </si>
  <si>
    <t>https://www.evc.edu</t>
  </si>
  <si>
    <t>https://www.frc.edu</t>
  </si>
  <si>
    <t>https://flc.losrios.edu</t>
  </si>
  <si>
    <t>https://foothill.edu</t>
  </si>
  <si>
    <t>https://www.fresnocitycollege.edu</t>
  </si>
  <si>
    <t>https://www.fullcoll.edu</t>
  </si>
  <si>
    <t>https://www.gavilan.edu</t>
  </si>
  <si>
    <t>https://www.glendale.edu</t>
  </si>
  <si>
    <t>https://www.goldenwestcollege.edu</t>
  </si>
  <si>
    <t>https://www.grossmont.edu</t>
  </si>
  <si>
    <t>https://www.hartnell.edu</t>
  </si>
  <si>
    <t>https://www.imperial.edu</t>
  </si>
  <si>
    <t>https://www.ivc.edu</t>
  </si>
  <si>
    <t>https://www.ltcc.edu</t>
  </si>
  <si>
    <t>https://www.laney.edu</t>
  </si>
  <si>
    <t>https://www.laspositascollege.edu</t>
  </si>
  <si>
    <t>https://www.lassencollege.edu</t>
  </si>
  <si>
    <t>https://www.westhillscollege.com/lemoore</t>
  </si>
  <si>
    <t>https://www.lbcc.edu</t>
  </si>
  <si>
    <t>https://www.lacitycollege.edu</t>
  </si>
  <si>
    <t>https://www.lahc.edu</t>
  </si>
  <si>
    <t>https://www.lamission.edu</t>
  </si>
  <si>
    <t>https://www.piercecollege.edu</t>
  </si>
  <si>
    <t>https://www.lasc.edu</t>
  </si>
  <si>
    <t>https://www.lattc.edu</t>
  </si>
  <si>
    <t>https://www.lavc.edu</t>
  </si>
  <si>
    <t>https://www.losmedanos.edu</t>
  </si>
  <si>
    <t>https://www.maderacollege.edu</t>
  </si>
  <si>
    <t>https://www.mendocino.edu</t>
  </si>
  <si>
    <t>https://www.mccd.edu</t>
  </si>
  <si>
    <t>https://www.merritt.edu</t>
  </si>
  <si>
    <t>https://www.miracosta.edu</t>
  </si>
  <si>
    <t>https://www.missioncollege.edu</t>
  </si>
  <si>
    <t>https://www.mjc.edu</t>
  </si>
  <si>
    <t>https://www.mpc.edu</t>
  </si>
  <si>
    <t>https://www.moorparkcollege.edu</t>
  </si>
  <si>
    <t>https://www.mvc.edu</t>
  </si>
  <si>
    <t>https://www.mtsac.edu</t>
  </si>
  <si>
    <t>https://www.msjc.edu</t>
  </si>
  <si>
    <t>https://www.napavalley.edu</t>
  </si>
  <si>
    <t>https://www.norcocollege.edu</t>
  </si>
  <si>
    <t>https://www.noce.edu</t>
  </si>
  <si>
    <t>https://www.ohlone.edu</t>
  </si>
  <si>
    <t>https://www.orangecoastcollege.edu</t>
  </si>
  <si>
    <t>https://www.oxnardcollege.edu</t>
  </si>
  <si>
    <t>https://www.paloverde.edu</t>
  </si>
  <si>
    <t>https://www.palomar.edu</t>
  </si>
  <si>
    <t>https://www.pasadena.edu</t>
  </si>
  <si>
    <t>https://www.portervillecollege.edu</t>
  </si>
  <si>
    <t>https://www.reedleycollege.edu</t>
  </si>
  <si>
    <t>https://www.riohondo.edu</t>
  </si>
  <si>
    <t>https://www.rcc.edu</t>
  </si>
  <si>
    <t>https://scc.losrios.edu</t>
  </si>
  <si>
    <t>https://www.saddleback.edu</t>
  </si>
  <si>
    <t>https://www.valleycollege.edu</t>
  </si>
  <si>
    <t>https://www.sdcity.edu</t>
  </si>
  <si>
    <t>https://sdcce.edu</t>
  </si>
  <si>
    <t>https://www.sdmesa.edu</t>
  </si>
  <si>
    <t>https://www.sdmiramar.edu</t>
  </si>
  <si>
    <t>https://www.deltacollege.edu</t>
  </si>
  <si>
    <t>https://www.sjcc.edu</t>
  </si>
  <si>
    <t>https://www.sac.edu</t>
  </si>
  <si>
    <t>https://www.sbcc.edu</t>
  </si>
  <si>
    <t>https://www.smc.edu</t>
  </si>
  <si>
    <t>https://www.santarosa.edu</t>
  </si>
  <si>
    <t>https://www.sccollege.edu</t>
  </si>
  <si>
    <t>https://www.shastacollege.edu</t>
  </si>
  <si>
    <t>https://www.sierracollege.edu</t>
  </si>
  <si>
    <t>https://skylinecollege.edu</t>
  </si>
  <si>
    <t>https://www.solano.edu</t>
  </si>
  <si>
    <t>https://www.swccd.edu</t>
  </si>
  <si>
    <t>https://www.taftcollege.edu</t>
  </si>
  <si>
    <t>https://www.venturacollege.edu</t>
  </si>
  <si>
    <t>https://www.vvc.edu</t>
  </si>
  <si>
    <t>https://www.wlac.edu</t>
  </si>
  <si>
    <t>https://www.westvalley.edu</t>
  </si>
  <si>
    <t>https://wcc.yccd.edu</t>
  </si>
  <si>
    <t>https://yc.yccd.edu</t>
  </si>
  <si>
    <t>https://www.azwestern.edu</t>
  </si>
  <si>
    <t>https://centralaz.edu</t>
  </si>
  <si>
    <t>https://www.cgc.edu</t>
  </si>
  <si>
    <t>https://www.cochise.edu</t>
  </si>
  <si>
    <t>https://www.coconino.edu</t>
  </si>
  <si>
    <t>https://www.eac.edu</t>
  </si>
  <si>
    <t>https://www.estrellamountain.edu</t>
  </si>
  <si>
    <t>https://www.gatewaycc.edu</t>
  </si>
  <si>
    <t>https://www.gccaz.edu</t>
  </si>
  <si>
    <t>https://www.mesacc.edu</t>
  </si>
  <si>
    <t>https://www.mohave.edu</t>
  </si>
  <si>
    <t>https://www.npc.edu</t>
  </si>
  <si>
    <t>https://www.paradisevalley.edu</t>
  </si>
  <si>
    <t>https://www.phoenixcollege.edu</t>
  </si>
  <si>
    <t>https://www.pima.edu</t>
  </si>
  <si>
    <t>https://www.riosalado.edu</t>
  </si>
  <si>
    <t>https://www.scottsdalecc.edu</t>
  </si>
  <si>
    <t>https://www.southmountaincc.edu</t>
  </si>
  <si>
    <t>https://www.yc.edu</t>
  </si>
  <si>
    <t>https://www.aims.edu</t>
  </si>
  <si>
    <t>https://www.arapahoe.edu</t>
  </si>
  <si>
    <t>https://coloradomtn.edu</t>
  </si>
  <si>
    <t>https://www.cncc.edu</t>
  </si>
  <si>
    <t>https://www.ccaurora.edu</t>
  </si>
  <si>
    <t>https://www.ccd.edu</t>
  </si>
  <si>
    <t>https://www.frontrange.edu</t>
  </si>
  <si>
    <t>https://lamarcc.edu</t>
  </si>
  <si>
    <t>https://www.morgancc.edu</t>
  </si>
  <si>
    <t>https://www.njc.edu</t>
  </si>
  <si>
    <t>https://www.otero.edu</t>
  </si>
  <si>
    <t>https://www.pikespeak.edu</t>
  </si>
  <si>
    <t>https://www.pueblocc.edu</t>
  </si>
  <si>
    <t>https://www.rrcc.edu</t>
  </si>
  <si>
    <t>https://trinidadstate.edu</t>
  </si>
  <si>
    <t>https://www.csn.edu</t>
  </si>
  <si>
    <t>https://www.gbcnv.edu</t>
  </si>
  <si>
    <t>https://www.tmcc.edu</t>
  </si>
  <si>
    <t>https://www.wnc.edu</t>
  </si>
  <si>
    <t>https://www.alamo.edu</t>
  </si>
  <si>
    <t>https://www.alvincollege.edu</t>
  </si>
  <si>
    <t>https://www.actx.edu</t>
  </si>
  <si>
    <t>https://www.angelina.edu</t>
  </si>
  <si>
    <t>https://www.austincc.edu</t>
  </si>
  <si>
    <t>https://www.blinn.edu</t>
  </si>
  <si>
    <t>https://www.brazosport.edu</t>
  </si>
  <si>
    <t>https://www.ctcd.edu</t>
  </si>
  <si>
    <t>https://www.cisco.edu</t>
  </si>
  <si>
    <t>https://www.clarendoncollege.edu</t>
  </si>
  <si>
    <t>https://www.coastalbend.edu</t>
  </si>
  <si>
    <t>https://www.com.edu</t>
  </si>
  <si>
    <t>https://www.collin.edu</t>
  </si>
  <si>
    <t>https://www.dallascollege.edu</t>
  </si>
  <si>
    <t>https://www.delmar.edu</t>
  </si>
  <si>
    <t>https://www.epcc.edu</t>
  </si>
  <si>
    <t>https://www.fpctx.edu</t>
  </si>
  <si>
    <t>https://www.gc.edu</t>
  </si>
  <si>
    <t>https://www.grayson.edu</t>
  </si>
  <si>
    <t>https://www.hillcollege.edu</t>
  </si>
  <si>
    <t>https://www.hccs.edu</t>
  </si>
  <si>
    <t>https://www.howardcollege.edu</t>
  </si>
  <si>
    <t>https://www.kilgore.edu</t>
  </si>
  <si>
    <t>https://www.lit.edu</t>
  </si>
  <si>
    <t>https://www.lsco.edu</t>
  </si>
  <si>
    <t>https://www.lamarpa.edu</t>
  </si>
  <si>
    <t>https://www.laredo.edu</t>
  </si>
  <si>
    <t>https://www.lee.edu</t>
  </si>
  <si>
    <t>https://www.lonestar.edu</t>
  </si>
  <si>
    <t>https://www.mclennan.edu</t>
  </si>
  <si>
    <t>https://www.midland.edu</t>
  </si>
  <si>
    <t>https://www.navarrocollege.edu</t>
  </si>
  <si>
    <t>https://www.nctc.edu</t>
  </si>
  <si>
    <t>https://www.ntcc.edu</t>
  </si>
  <si>
    <t>https://www.odessa.edu</t>
  </si>
  <si>
    <t>https://www.panola.edu</t>
  </si>
  <si>
    <t>https://www.parisjc.edu</t>
  </si>
  <si>
    <t>https://www.rangercollege.edu</t>
  </si>
  <si>
    <t>https://www.sanjac.edu</t>
  </si>
  <si>
    <t>https://www.southplainscollege.edu</t>
  </si>
  <si>
    <t>https://www.southtexascollege.edu</t>
  </si>
  <si>
    <t>https://www.swtjc.edu</t>
  </si>
  <si>
    <t>https://www.tccd.edu</t>
  </si>
  <si>
    <t>https://www.templejc.edu</t>
  </si>
  <si>
    <t>https://www.texarkanacollege.edu</t>
  </si>
  <si>
    <t>https://www.tsc.edu</t>
  </si>
  <si>
    <t>https://www.tstc.edu</t>
  </si>
  <si>
    <t>https://www.tvcc.edu</t>
  </si>
  <si>
    <t>https://www.tjc.edu</t>
  </si>
  <si>
    <t>https://www.vernoncollege.edu</t>
  </si>
  <si>
    <t>https://www.victoriacollege.edu</t>
  </si>
  <si>
    <t>https://www.wc.edu</t>
  </si>
  <si>
    <t>https://www.wtc.edu</t>
  </si>
  <si>
    <t>https://www.wcjc.edu</t>
  </si>
  <si>
    <t>Amit Singh</t>
  </si>
  <si>
    <t>George Frasier, Interim President</t>
  </si>
  <si>
    <t>Brent Jones, Interim President</t>
  </si>
  <si>
    <t>Timothy Stokes</t>
  </si>
  <si>
    <t>Patrick McEachern, Interim President</t>
  </si>
  <si>
    <t xml:space="preserve">South </t>
  </si>
  <si>
    <t>N</t>
  </si>
  <si>
    <t>Y</t>
  </si>
  <si>
    <t>Interim (Y/N)</t>
  </si>
  <si>
    <t>Term End (VC)</t>
  </si>
  <si>
    <t>Last Verified Date</t>
  </si>
  <si>
    <t>https://www.batestech.edu/about-bates/college-governance/</t>
  </si>
  <si>
    <t>Board Page</t>
  </si>
  <si>
    <t>Heather Moss</t>
  </si>
  <si>
    <t>Florence Chang</t>
  </si>
  <si>
    <t xml:space="preserve">Term Begin (C) </t>
  </si>
  <si>
    <t>Term Begin (VC)</t>
  </si>
  <si>
    <t xml:space="preserve">Dr. Lin Zhou </t>
  </si>
  <si>
    <t>Strategic Plan</t>
  </si>
  <si>
    <t>President's Workplan</t>
  </si>
  <si>
    <t>https://dms.batestech.edu/wp-content/uploads/documents-directory/strategic-plan/2024-29%20Strategic%20Plan%20Report_final.pdf</t>
  </si>
  <si>
    <t>Strategic Plan Years</t>
  </si>
  <si>
    <t>2024-2029</t>
  </si>
  <si>
    <t>https://dms.batestech.edu/wp-content/uploads/documents-directory/offices/president/President_WorkPlan_FY2025-26(1).pdf</t>
  </si>
  <si>
    <t>Dr. Zhou is the college’s first female president, and the first female Chinese immigrant to serve as president at a public two-year college in Washington state.</t>
  </si>
  <si>
    <t>Appointed</t>
  </si>
  <si>
    <t>president@batestech.edu</t>
  </si>
  <si>
    <t>Mailing Address</t>
  </si>
  <si>
    <t>253-680-7100</t>
  </si>
  <si>
    <t>1101 South Yakima Avenue
Tacoma, WA 98405</t>
  </si>
  <si>
    <t>Hannah Herber</t>
  </si>
  <si>
    <t>https://www.bellevuecollege.edu/about-us/college-leadership/board-trustees/</t>
  </si>
  <si>
    <t>Pradnya Desh</t>
  </si>
  <si>
    <t xml:space="preserve">Term End (C) </t>
  </si>
  <si>
    <t>Rich Fukutaki</t>
  </si>
  <si>
    <t>Board email</t>
  </si>
  <si>
    <t>Amanda Morris</t>
  </si>
  <si>
    <t>david.may@bellevuecollege.edu</t>
  </si>
  <si>
    <t>pradnya.desh@bellevuecollege.edu</t>
  </si>
  <si>
    <t>425.564.2303</t>
  </si>
  <si>
    <t>Bellevue College
3000 Landerholm Circle _x000B_SE
MS A201
Bellevue, WA 98007-6406</t>
  </si>
  <si>
    <t>Workforce Education, Student Focus, Intentional Engagement</t>
  </si>
  <si>
    <t>Dr. James Lemerond</t>
  </si>
  <si>
    <t>Dr. David May</t>
  </si>
  <si>
    <t>https://www.btc.edu/AboutBTC/OfficeofthePresident.html#BoardofTrustees</t>
  </si>
  <si>
    <t>360.752.8334</t>
  </si>
  <si>
    <t>Robert DeCoteau</t>
  </si>
  <si>
    <t>Alex Hildreth</t>
  </si>
  <si>
    <t>2023-2030</t>
  </si>
  <si>
    <t>https://www.btc.edu/AboutBTC/ReportsandPolicies/InstitutionalEffectiveness.html#StrategicPlan</t>
  </si>
  <si>
    <t>jlemerond@btc.edu</t>
  </si>
  <si>
    <t>president@btc.edu</t>
  </si>
  <si>
    <t>3028 Lindbergh Ave, Bellingham, WA 98225</t>
  </si>
  <si>
    <t>n/a</t>
  </si>
  <si>
    <t>https://www.bigbend.edu/about-us/board-of-trustees.html</t>
  </si>
  <si>
    <t>Amy Parris</t>
  </si>
  <si>
    <t>Bethany Martinez</t>
  </si>
  <si>
    <t>Dr. Sara Thompson Tweedy</t>
  </si>
  <si>
    <t>SaraT@bigbend.edu</t>
  </si>
  <si>
    <t>(509) 793-2000</t>
  </si>
  <si>
    <t>7662 Chanute St NE, Moses Lake, WA 98837</t>
  </si>
  <si>
    <t>2021 - 2026</t>
  </si>
  <si>
    <t>https://www.bigbend.edu/_migrated-binaries/wp-content/uploads/Strategic-Plan-Most-Recent.pdf</t>
  </si>
  <si>
    <t>2026-2031</t>
  </si>
  <si>
    <t>Chanda Rodriguez</t>
  </si>
  <si>
    <t>https://www.cascadia.edu/about/governance-accreditation/trustees.aspx</t>
  </si>
  <si>
    <t>Dr. Meghan Quint</t>
  </si>
  <si>
    <t>Mr. Alex Lee</t>
  </si>
  <si>
    <t>Susan Thomas</t>
  </si>
  <si>
    <t>emurray@cascadia.edu</t>
  </si>
  <si>
    <t>(425) 352-8810</t>
  </si>
  <si>
    <t>2024-2025</t>
  </si>
  <si>
    <t>https://www.cascadia.edu/_resources/documents/about/governance-accreditation/Strategic%20Plan%202024-25%20v1_Apr11.pdf</t>
  </si>
  <si>
    <t>18345 Campus Way NE  Bothell, WA 98011</t>
  </si>
  <si>
    <t>Dr. Eric Murray</t>
  </si>
  <si>
    <t>https://www.centralia.edu/about/leadership/trustees.aspx</t>
  </si>
  <si>
    <t>Dr. Bob Mohrbacher</t>
  </si>
  <si>
    <t>Janet Reaume</t>
  </si>
  <si>
    <t>Annalee Tobey</t>
  </si>
  <si>
    <t>Pretrina Mullins</t>
  </si>
  <si>
    <t>360-623-8552</t>
  </si>
  <si>
    <t>bob.mohrbacher@centralia.edu</t>
  </si>
  <si>
    <t>joyce.loveday@cptc.edu</t>
  </si>
  <si>
    <t>amit.singh@edmonds.edu</t>
  </si>
  <si>
    <t>https://www.centralia.edu/about/leadership/institutional-research/docs/strategic-plan-one-pager.pdf</t>
  </si>
  <si>
    <t>600 Centralia College Blvd., Centralia, WA 98531</t>
  </si>
  <si>
    <t>Dr. Karin Edwards</t>
  </si>
  <si>
    <t>https://www.clark.edu/about/governance/leadership/board/</t>
  </si>
  <si>
    <t>Marilee Scarbrough</t>
  </si>
  <si>
    <t>Darcy Feider</t>
  </si>
  <si>
    <t>kedwards@clark.edu</t>
  </si>
  <si>
    <t>Suzanne Donaldson</t>
  </si>
  <si>
    <t>(360) 992 - 2101</t>
  </si>
  <si>
    <t>Office of the President
1933 Fort Vancouver Way, BRD101 
Vancouver, WA 98663-3598</t>
  </si>
  <si>
    <t>https://www.clark.edu/about/governance/strategic_plan/strategic-plan.pdf</t>
  </si>
  <si>
    <t>2023-2028</t>
  </si>
  <si>
    <t>https://www.cptc.edu/about/trustees</t>
  </si>
  <si>
    <t>Eli Taylor</t>
  </si>
  <si>
    <t>Adria Buchanan</t>
  </si>
  <si>
    <t>Dr. Joyce Loveday</t>
  </si>
  <si>
    <t>https://www.cptc.edu/sites/default/files/2026-04/Strategic%20Plan%2023%20rev%2010-2-2023_0.pdf</t>
  </si>
  <si>
    <t>Thomas Oliver</t>
  </si>
  <si>
    <t>(253)589-5500</t>
  </si>
  <si>
    <t>president@cptc.edu</t>
  </si>
  <si>
    <t>Office of the President
Park Technical College
4500 Steilacoom Blvd 
SWLakewood, WA 98499-4004</t>
  </si>
  <si>
    <t>Dr. Rebekah Woods</t>
  </si>
  <si>
    <t>president@columbiabasin.edu</t>
  </si>
  <si>
    <t>https://www.columbiabasin.edu/_documents/handbooks-guides-reports-plans/columbia-basin-college-strategic-plan-accessible.pdf</t>
  </si>
  <si>
    <t>2022-2025</t>
  </si>
  <si>
    <t>https://www.columbiabasin.edu/connect/about-cbc/our-leadership/board-of-trustees.html</t>
  </si>
  <si>
    <t>Kimberly Harper</t>
  </si>
  <si>
    <t xml:space="preserve">Ofelia Rivas de Bredt </t>
  </si>
  <si>
    <t>rwoods@columbiabasin.edu</t>
  </si>
  <si>
    <t>509-547-0511 </t>
  </si>
  <si>
    <t>Office of the President
2600 N. 20th Ave.
Pasco, WA 99301</t>
  </si>
  <si>
    <t>Edmonds Board</t>
  </si>
  <si>
    <t>Wally Webster II</t>
  </si>
  <si>
    <t>Dr. Courtney Wooten</t>
  </si>
  <si>
    <t>425.640.1516</t>
  </si>
  <si>
    <t>Comprehensive Plan</t>
  </si>
  <si>
    <t>2025-2026</t>
  </si>
  <si>
    <t>Dr. Amit Singh, President Edmonds College 
20000 68th Ave. W.
Lynnwood, WA 98036</t>
  </si>
  <si>
    <t>https://edcfedt.wa.aft.org/news/faculty-concerns-regarding-president-singhs-interview-puget-sound-business-journal</t>
  </si>
  <si>
    <t>https://www.everettcc.edu/about/governance/board-of-trustees/</t>
  </si>
  <si>
    <t>Kelly Shepherd</t>
  </si>
  <si>
    <t>425-388-9572</t>
  </si>
  <si>
    <t>Joe M. Davis II</t>
  </si>
  <si>
    <t>Dr. Chemene Crawford</t>
  </si>
  <si>
    <t>ccrawford@everettcc.edu</t>
  </si>
  <si>
    <t>Rita Belvill</t>
  </si>
  <si>
    <t>2000 Tower Street,
Olympus Hall 200
Everett, WA 98201</t>
  </si>
  <si>
    <t>https://www.everettcc.edu/wp-content/uploads/2026/06/strategic-plan-adopted-121421-FINAL-1.pdf</t>
  </si>
  <si>
    <t>2022-2027</t>
  </si>
  <si>
    <t>https://www.ghc.edu/board-trustees</t>
  </si>
  <si>
    <t>Dr. Carli Schiffner</t>
  </si>
  <si>
    <t>Ja’Shonae Cooks</t>
  </si>
  <si>
    <t>Dr. Paula Akerlund</t>
  </si>
  <si>
    <t>Ms. Astrid Aveledo</t>
  </si>
  <si>
    <t>360-538-4001</t>
  </si>
  <si>
    <t xml:space="preserve">carli.schiffner@ghc.edu </t>
  </si>
  <si>
    <t xml:space="preserve"> Grays Harbor College
 1620 Edward P. Smith Drive Aberdeen, WA 98520</t>
  </si>
  <si>
    <t>https://www.ghc.edu/wp-content/uploads/2025/12/CollegePlan2019-2026.pdf</t>
  </si>
  <si>
    <t>2019 - 2026</t>
  </si>
  <si>
    <t>https://www.greenriver.edu/campus/board-of-trustees/index.html</t>
  </si>
  <si>
    <t>Sharonne Navas</t>
  </si>
  <si>
    <t>Jackie Boschok</t>
  </si>
  <si>
    <t>Board Goals dated - 2023-2024 Statement and Goals</t>
  </si>
  <si>
    <t>Suzanne McCudden</t>
  </si>
  <si>
    <t>gfrasier@greenriver.edu</t>
  </si>
  <si>
    <t>https://www.greenriver.edu/campus/media/documents/strategic-planning/Green_River_College-Equity_minded-Strategic_Plan.pdf</t>
  </si>
  <si>
    <t>Green River College
12401 SE 320th Street
Auburn, WA 98092-3622</t>
  </si>
  <si>
    <t>Juli Hammond</t>
  </si>
  <si>
    <t>(206) 592-4943</t>
  </si>
  <si>
    <t>jpenn@highline.edu</t>
  </si>
  <si>
    <t>Highline College
P.O. Box 98000 M/S B12
Des Moines, WA 98198-9800</t>
  </si>
  <si>
    <t>Dr. Jamilyn Penn, Interim President</t>
  </si>
  <si>
    <t>https://trustees.highline.edu/members/</t>
  </si>
  <si>
    <t>Sharmila Swenson</t>
  </si>
  <si>
    <t>Joseph S. Bowman IV</t>
  </si>
  <si>
    <t>Dr. Amy Morrison</t>
  </si>
  <si>
    <t>https://www.lwtech.edu/about-us/trustees/index.aspx</t>
  </si>
  <si>
    <t>Dr. Kristen Finnel, Interim President</t>
  </si>
  <si>
    <t>https://lowercolumbia.edu/trustees/</t>
  </si>
  <si>
    <t>tpowell@lowercolumbia.edu</t>
  </si>
  <si>
    <t>Tracy Powell</t>
  </si>
  <si>
    <t>(360) 442-2100</t>
  </si>
  <si>
    <t>Administration Building
1600 Maple Street, Longview, WA 98632</t>
  </si>
  <si>
    <t>kfinnel@lowercolumbia.edu</t>
  </si>
  <si>
    <t>2026-2027</t>
  </si>
  <si>
    <t>https://lowercolumbia.edu/publications/strategic-plan/</t>
  </si>
  <si>
    <t>LWTech Strategic Plan 2024-2029 | Lake Washington Institute of Technology</t>
  </si>
  <si>
    <t>Amy.Morrison@lwtech.edu</t>
  </si>
  <si>
    <t xml:space="preserve"> (425) 739-8202</t>
  </si>
  <si>
    <t>11605 132nd Avenue NE
Kirkland, WA 98034</t>
  </si>
  <si>
    <t>Hanna Charrette</t>
  </si>
  <si>
    <t>Executive Assistant Email</t>
  </si>
  <si>
    <t>Hanna.Charrette@lwtech.edu</t>
  </si>
  <si>
    <t>jhammond@highline.edu</t>
  </si>
  <si>
    <t>smccudden@greenriver.edu</t>
  </si>
  <si>
    <t>ja'shonae.cooks@ghc.edu</t>
  </si>
  <si>
    <t>rbelvill@everettcc.edu</t>
  </si>
  <si>
    <t>Thomas.Oliver@cptc.edu</t>
  </si>
  <si>
    <t>dfeider@clark.edu</t>
  </si>
  <si>
    <t>janet.reaume@centralia.edu</t>
  </si>
  <si>
    <t>sthomas@cascadia.edu</t>
  </si>
  <si>
    <t>ChandraR@bigbend.edu</t>
  </si>
  <si>
    <t>amanda.morris@bellevuecollege.edu</t>
  </si>
  <si>
    <t>Dr. Rachel Solemsaas</t>
  </si>
  <si>
    <t>https://northseattle.edu/media/document/3901</t>
  </si>
  <si>
    <t>Chancellor</t>
  </si>
  <si>
    <t>Dr Rosie Rimando-Chareunsap (2023)</t>
  </si>
  <si>
    <t>Chancellor Email</t>
  </si>
  <si>
    <t>Chancellor Address</t>
  </si>
  <si>
    <t>Chancellor Phone</t>
  </si>
  <si>
    <t>206.934.4100</t>
  </si>
  <si>
    <t>Rosie.Rimando@seattlecolleges.edu</t>
  </si>
  <si>
    <t>https://www.seattlecolleges.edu/about/leadership-and-organization/board-trustees</t>
  </si>
  <si>
    <t>Rachel.Solemsaas@seattlecolleges.edu</t>
  </si>
  <si>
    <t>(206) 934-7788</t>
  </si>
  <si>
    <t>9600 College Way North
Seattle, WA 98103</t>
  </si>
  <si>
    <t>2024-2034</t>
  </si>
  <si>
    <t>Tony Stankovic</t>
  </si>
  <si>
    <t>Toni.Stankovic@seattlecolleges.edu</t>
  </si>
  <si>
    <t xml:space="preserve">Seattle Colleges 
Siegel Administrative Center - Chancellor's Office
1500 Harvard Avenue
Seattle, WA 98122
</t>
  </si>
  <si>
    <t>https://www.olympic.edu/about/board-trustees</t>
  </si>
  <si>
    <t>Dr. Chantae Recasner</t>
  </si>
  <si>
    <t>Richard Barley</t>
  </si>
  <si>
    <t>rbarley@olympic.edu</t>
  </si>
  <si>
    <t>Executive Assistant/Office Manager</t>
  </si>
  <si>
    <t>360-475-7105</t>
  </si>
  <si>
    <t>crecasner@olympic.edu</t>
  </si>
  <si>
    <t xml:space="preserve">1600 Chester Ave. 
Bremerton, WA 98337-1699 </t>
  </si>
  <si>
    <t>2024-2028</t>
  </si>
  <si>
    <t>https://www.olympic.edu/about/strategic-plan-2024-2028</t>
  </si>
  <si>
    <t>https://pencol.edu/about/board</t>
  </si>
  <si>
    <t>https://pencol.edu/sites/default/files/2020-2025-StrategicPlan.pdf</t>
  </si>
  <si>
    <t>2020-2025</t>
  </si>
  <si>
    <t>Dr. Suzy Ames</t>
  </si>
  <si>
    <t>(360) 417-6201</t>
  </si>
  <si>
    <t>sames@pencol.edu</t>
  </si>
  <si>
    <t>Trisha Haggerty</t>
  </si>
  <si>
    <t xml:space="preserve">
thaggerty@pencol.edu</t>
  </si>
  <si>
    <t>President’s OfficePeninsula College1502 E. Lauridsen BoulevardPort Angeles, WA 98362</t>
  </si>
  <si>
    <t>https://www.pierce.ctc.edu/about/mission-vision/board/index.html</t>
  </si>
  <si>
    <t>https://www.pierce.ctc.edu/documents/2025/08/25-32-StrategicPlan.pdf</t>
  </si>
  <si>
    <t>2025-2032</t>
  </si>
  <si>
    <t>Dr. Julie A. White</t>
  </si>
  <si>
    <t>Dr. Matthew Campbell</t>
  </si>
  <si>
    <t>MCampbell@pierce.ctc.edu</t>
  </si>
  <si>
    <t xml:space="preserve">	253-964-6776</t>
  </si>
  <si>
    <t>CBoiter@pierce.ctc.edu</t>
  </si>
  <si>
    <t>9401 Farwest Drive SW, Lakewood, Washington 98498</t>
  </si>
  <si>
    <t>JUWhite@pierce.ctc.edu</t>
  </si>
  <si>
    <t>(253) 864-3100</t>
  </si>
  <si>
    <t>Pierce College District9401 Farwest Drive SW</t>
  </si>
  <si>
    <t>Dr. Chio Flores</t>
  </si>
  <si>
    <t>EDonnelly@pierce.ctc.edu</t>
  </si>
  <si>
    <t>Christine Boiter</t>
  </si>
  <si>
    <t>Emily Donnelly</t>
  </si>
  <si>
    <t>CFlores@pierce.ctc.edu</t>
  </si>
  <si>
    <t xml:space="preserve">	253-840-8421</t>
  </si>
  <si>
    <t>1601 39th Avenue Southeast
Puyallup, WA USA 98374</t>
  </si>
  <si>
    <t>Dr. Yoshiko Harden</t>
  </si>
  <si>
    <t>Dr. Yoshiko Harden is the first woman and person of color to serve as President of RTC</t>
  </si>
  <si>
    <t>https://rtc.edu/about-rtc/office-of-the-president/board.php</t>
  </si>
  <si>
    <t>yharden@rtc.edu</t>
  </si>
  <si>
    <t>jmellott@rtc.edu</t>
  </si>
  <si>
    <t>(425) 235-2235</t>
  </si>
  <si>
    <t>Jordan Mellott Porter</t>
  </si>
  <si>
    <t>Renton Technical College
Office of the President
3000 NE 4th Street
Renton, WA 98056</t>
  </si>
  <si>
    <t>https://rtc.edu/_resources/documents/20250812r-combined-SEP-indicators.pdf</t>
  </si>
  <si>
    <t>Brent.Jones@seattlecolleges.edu</t>
  </si>
  <si>
    <t>Office of the President
Seattle Central College
1701 Broadway
Seattle, WA 98122</t>
  </si>
  <si>
    <t>(206) 934-3034</t>
  </si>
  <si>
    <t>https://www.shoreline.edu/about-shoreline/board/</t>
  </si>
  <si>
    <t>https://www.shoreline.edu/about-shoreline/documents/ShorelineCoCollege_EquityCenteredStratPlan2024_022924%20v6%20SPREADS.pdf</t>
  </si>
  <si>
    <t>Dr. Jack Kahn</t>
  </si>
  <si>
    <t>jkahn@shoreline.edu</t>
  </si>
  <si>
    <t>Lori Yonemitsu</t>
  </si>
  <si>
    <t>(206) 546-4552</t>
  </si>
  <si>
    <t>lyonemitsu@shoreline.edu</t>
  </si>
  <si>
    <t>Board Goals dated - 2024-2025</t>
  </si>
  <si>
    <t>Pam Davis</t>
  </si>
  <si>
    <t>pam.davis@skagit.edu</t>
  </si>
  <si>
    <t>2405 E. College Way, Mount Vernon, WA 98273</t>
  </si>
  <si>
    <t>360.416.7995</t>
  </si>
  <si>
    <t>https://www.skagit.edu/leadership/trustees/</t>
  </si>
  <si>
    <t>Dr. Thomas Keegan, Interim President</t>
  </si>
  <si>
    <t>Thomas.Keegan@skagit.edu</t>
  </si>
  <si>
    <t>https://www.skagit.edu/institutional-planning-student-success/accreditation/assets/25-26-261%20strategic-plan-v4.pdf</t>
  </si>
  <si>
    <t>Trustee emails are in the directory</t>
  </si>
  <si>
    <t>(360) 596-5498</t>
  </si>
  <si>
    <t>tstokes@spscc.edu</t>
  </si>
  <si>
    <t>Diana Toledo</t>
  </si>
  <si>
    <t>dtoledo@spscc.edu</t>
  </si>
  <si>
    <t>https://spscc.edu/sites/default/files/2025-05/FINAL_Foundation_Strategic_0.pdf</t>
  </si>
  <si>
    <t>2011 Mottman Road SW
Olympia, WA 98512</t>
  </si>
  <si>
    <t>Dr. Monica Brown</t>
  </si>
  <si>
    <t>Monica.Brown@seattlecolleges.edu</t>
  </si>
  <si>
    <t>President South Seattle College
Mailstop: RSB024
6000 16th Ave SW
Seattle, WA 98106-1499</t>
  </si>
  <si>
    <t>Koh.Phasomsap@seattlecolleges.edu</t>
  </si>
  <si>
    <t>(206) 934-6870
EA: 206/934-5312</t>
  </si>
  <si>
    <t>Koh Phasomsap</t>
  </si>
  <si>
    <t>https://www.seattlecolleges.edu/sites/seattlecolleges.southseattle.edu/files/2024-12/24%20Strategic%20Plan.vf_.pdf</t>
  </si>
  <si>
    <t>Dr. Jenni Martin</t>
  </si>
  <si>
    <t>Nancy Delgado</t>
  </si>
  <si>
    <t>nancy.delgado@scc.spokane.edu</t>
  </si>
  <si>
    <t>Dr. Kevin Brockbank</t>
  </si>
  <si>
    <t>Kevin.Brockbank@ccs.spokane.edu</t>
  </si>
  <si>
    <t>509-434-5006</t>
  </si>
  <si>
    <t>501 N Riverpoint Blvd, MS1001
Spokane, WA  99202-1659</t>
  </si>
  <si>
    <t>509-533-7042</t>
  </si>
  <si>
    <t>Jenni.Martin@scc.spokane.edu</t>
  </si>
  <si>
    <t>1810 North Greene Street, MS2150
Spokane, WA  99217-5320</t>
  </si>
  <si>
    <t>Megan Gibson</t>
  </si>
  <si>
    <t>megan.gibson@sfcc.spokane.edu</t>
  </si>
  <si>
    <t>Patrick.McEachern@sfcc.spokane.edu</t>
  </si>
  <si>
    <t>509-533-3514</t>
  </si>
  <si>
    <t>3410 W Whistalks Way, MS3010
Spokane, WA  99224-5204</t>
  </si>
  <si>
    <t>2021-2025</t>
  </si>
  <si>
    <t>https://shared.spokane.edu/ccsglobal/media/Global/PDFs/District/Strategic%20Plan/21-212_StrategicPlan_accessible.pdf</t>
  </si>
  <si>
    <t>Employee Success and Excellence is listed as a priority in the strategic plan</t>
  </si>
  <si>
    <t>https://ccs.spokane.edu/About-Us/Leadership/Board-of-Trustees</t>
  </si>
  <si>
    <t>https://www.tacomacc.edu/about/leadership/trustees</t>
  </si>
  <si>
    <t>Dr. Ivan Harrell</t>
  </si>
  <si>
    <t>iharrell@tacomacc.edu</t>
  </si>
  <si>
    <t>Tacoma Community College
6501 S 19th St
Tacoma, WA 98466</t>
  </si>
  <si>
    <t>Natalie Boes</t>
  </si>
  <si>
    <t>nboes@tacomacc.edu</t>
  </si>
  <si>
    <t xml:space="preserve">2026-2031 </t>
  </si>
  <si>
    <t>https://www.tacomacc.edu/about/strategicplan/strategicplan</t>
  </si>
  <si>
    <t>253-566-5169</t>
  </si>
  <si>
    <t>https://www.wwcc.edu/about/mission-vision-and-planning/institutional-planning/</t>
  </si>
  <si>
    <t>Dr. Chad Hickox</t>
  </si>
  <si>
    <t>chad.hickox@wwcc.edu</t>
  </si>
  <si>
    <t>Doreen Kennedy</t>
  </si>
  <si>
    <t>doreen.kennedy@wwcc.edu</t>
  </si>
  <si>
    <t>509.527.4274</t>
  </si>
  <si>
    <t>President’s Office Information
Walla Walla Campus
Administration (D) Bldg, Rm 61</t>
  </si>
  <si>
    <t>https://www.wwcc.edu/about/leadership/board-of-trustees/</t>
  </si>
  <si>
    <t>Dr. Faimous Harrison</t>
  </si>
  <si>
    <t>Maria Iñiguez</t>
  </si>
  <si>
    <t>miniguez@wvc.edu</t>
  </si>
  <si>
    <t>509.682.6400</t>
  </si>
  <si>
    <t>https://wvc.edu/about/leadership/board-of-trustees/index.html</t>
  </si>
  <si>
    <t>fharrison@wvc.edu</t>
  </si>
  <si>
    <t>President's Office
Wenatchee Valley College
1300 Fifth St.
Wenatchee, WA 98801</t>
  </si>
  <si>
    <t>2024-2030</t>
  </si>
  <si>
    <t>https://wvc.edu/about/about-wvc/institutional-effectiveness/strategicplanning/index.html</t>
  </si>
  <si>
    <t>Rafeeka Kloke</t>
  </si>
  <si>
    <t>rkloke@whatcom.edu</t>
  </si>
  <si>
    <t>https://www.whatcom.edu/about-wcc/about-the-college/mission-strategic-plan</t>
  </si>
  <si>
    <t>https://www.whatcom.edu/about-wcc/college-leadership/board-of-trustees</t>
  </si>
  <si>
    <t>Dr. Justin Guillory</t>
  </si>
  <si>
    <t>jguillory@whtacom.edu</t>
  </si>
  <si>
    <t xml:space="preserve">
360.383.3338</t>
  </si>
  <si>
    <t>Office of the President
Whatcom Community College
237 W. Kellogg Road
Bellingham, WA 98226</t>
  </si>
  <si>
    <t>Dr. Teresa Rich</t>
  </si>
  <si>
    <t>509-574-4635</t>
  </si>
  <si>
    <t>teresarich@yvcc.edu</t>
  </si>
  <si>
    <t>Jocelyn Sheehan</t>
  </si>
  <si>
    <t>jsheehan@yvcc.edu</t>
  </si>
  <si>
    <t>P.O. Box 22520 Yakima, WA 98907-2520</t>
  </si>
  <si>
    <t>https://yvcc.edu/board-of-trustees.php</t>
  </si>
  <si>
    <t>2021-2026</t>
  </si>
  <si>
    <t>https://yvcc.edu/presidents-office/strategic-plan.php</t>
  </si>
  <si>
    <t>https://www.hancockcollege.edu/board/index.php</t>
  </si>
  <si>
    <t>Dr. Kevin G. Walthers</t>
  </si>
  <si>
    <t>Janet McGee</t>
  </si>
  <si>
    <t>jmcgee@hancockcollege.edu</t>
  </si>
  <si>
    <t xml:space="preserve">kevin.walthers@hancockcollege.edu </t>
  </si>
  <si>
    <t>805-922-6966 ext. 3245</t>
  </si>
  <si>
    <t>Office of the President Allan Hancock College
1300 S. College Drive
Santa Maria, CA 934</t>
  </si>
  <si>
    <t>https://www.hancockcollege.edu/planning/index.php</t>
  </si>
  <si>
    <t>Podcast - Hancock Conversations; unable to find and actual strategic planning document</t>
  </si>
  <si>
    <t>ORG-245</t>
  </si>
  <si>
    <t>Washington Association of Community and Technical Colleges (WACTC)</t>
  </si>
  <si>
    <t>https://www.sbctc.edu/colleges-staff/commissions-councils/wactc/default.aspx</t>
  </si>
  <si>
    <t>Contact Information for Board of Presidents</t>
  </si>
  <si>
    <t>Nanette Angel</t>
  </si>
  <si>
    <t>nangel@sbctc.edu</t>
  </si>
  <si>
    <t>SBCTC
PO Box 42495
Olympia, WA 98504-2495</t>
  </si>
  <si>
    <t>Nate Humphrey</t>
  </si>
  <si>
    <t>360-704-4355</t>
  </si>
  <si>
    <t>CC-001</t>
  </si>
  <si>
    <t>CC-002</t>
  </si>
  <si>
    <t>CC-003</t>
  </si>
  <si>
    <t>CC-004</t>
  </si>
  <si>
    <t>CC-005</t>
  </si>
  <si>
    <t>CC-006</t>
  </si>
  <si>
    <t>CC-007</t>
  </si>
  <si>
    <t>CC-008</t>
  </si>
  <si>
    <t>CC-009</t>
  </si>
  <si>
    <t>CC-010</t>
  </si>
  <si>
    <t>CC-011</t>
  </si>
  <si>
    <t>CC-012</t>
  </si>
  <si>
    <t>CC-013</t>
  </si>
  <si>
    <t>CC-014</t>
  </si>
  <si>
    <t>CC-015</t>
  </si>
  <si>
    <t>CC-016</t>
  </si>
  <si>
    <t>CC-017</t>
  </si>
  <si>
    <t>CC-018</t>
  </si>
  <si>
    <t>CC-019</t>
  </si>
  <si>
    <t>CC-020</t>
  </si>
  <si>
    <t>CC-021</t>
  </si>
  <si>
    <t>CC-022</t>
  </si>
  <si>
    <t>CC-023</t>
  </si>
  <si>
    <t>CC-024</t>
  </si>
  <si>
    <t>CC-025</t>
  </si>
  <si>
    <t>CC-026</t>
  </si>
  <si>
    <t>CC-027</t>
  </si>
  <si>
    <t>CC-028</t>
  </si>
  <si>
    <t>CC-029</t>
  </si>
  <si>
    <t>CC-030</t>
  </si>
  <si>
    <t>CC-031</t>
  </si>
  <si>
    <t>CC-032</t>
  </si>
  <si>
    <t>CC-033</t>
  </si>
  <si>
    <t>CC-034</t>
  </si>
  <si>
    <t>CC-035</t>
  </si>
  <si>
    <t>CC-036</t>
  </si>
  <si>
    <t>CC-037</t>
  </si>
  <si>
    <t>CC-038</t>
  </si>
  <si>
    <t>CC-039</t>
  </si>
  <si>
    <t>CC-040</t>
  </si>
  <si>
    <t>CC-041</t>
  </si>
  <si>
    <t>CC-042</t>
  </si>
  <si>
    <t>CC-043</t>
  </si>
  <si>
    <t>CC-044</t>
  </si>
  <si>
    <t>CC-045</t>
  </si>
  <si>
    <t>CC-046</t>
  </si>
  <si>
    <t>CC-047</t>
  </si>
  <si>
    <t>CC-048</t>
  </si>
  <si>
    <t>CC-049</t>
  </si>
  <si>
    <t>CC-050</t>
  </si>
  <si>
    <t>CC-051</t>
  </si>
  <si>
    <t>CC-052</t>
  </si>
  <si>
    <t>CC-053</t>
  </si>
  <si>
    <t>CC-054</t>
  </si>
  <si>
    <t>CC-055</t>
  </si>
  <si>
    <t>CC-056</t>
  </si>
  <si>
    <t>CC-057</t>
  </si>
  <si>
    <t>CC-058</t>
  </si>
  <si>
    <t>CC-059</t>
  </si>
  <si>
    <t>CC-060</t>
  </si>
  <si>
    <t>CC-061</t>
  </si>
  <si>
    <t>CC-062</t>
  </si>
  <si>
    <t>CC-063</t>
  </si>
  <si>
    <t>CC-064</t>
  </si>
  <si>
    <t>CC-065</t>
  </si>
  <si>
    <t>CC-066</t>
  </si>
  <si>
    <t>CC-067</t>
  </si>
  <si>
    <t>CC-068</t>
  </si>
  <si>
    <t>CC-069</t>
  </si>
  <si>
    <t>CC-070</t>
  </si>
  <si>
    <t>CC-071</t>
  </si>
  <si>
    <t>CC-072</t>
  </si>
  <si>
    <t>CC-073</t>
  </si>
  <si>
    <t>CC-074</t>
  </si>
  <si>
    <t>CC-075</t>
  </si>
  <si>
    <t>CC-076</t>
  </si>
  <si>
    <t>CC-077</t>
  </si>
  <si>
    <t>CC-078</t>
  </si>
  <si>
    <t>CC-079</t>
  </si>
  <si>
    <t>CC-080</t>
  </si>
  <si>
    <t>CC-081</t>
  </si>
  <si>
    <t>CC-082</t>
  </si>
  <si>
    <t>CC-083</t>
  </si>
  <si>
    <t>CC-084</t>
  </si>
  <si>
    <t>CC-085</t>
  </si>
  <si>
    <t>CC-086</t>
  </si>
  <si>
    <t>CC-087</t>
  </si>
  <si>
    <t>CC-088</t>
  </si>
  <si>
    <t>CC-089</t>
  </si>
  <si>
    <t>CC-090</t>
  </si>
  <si>
    <t>CC-091</t>
  </si>
  <si>
    <t>CC-092</t>
  </si>
  <si>
    <t>CC-093</t>
  </si>
  <si>
    <t>CC-094</t>
  </si>
  <si>
    <t>CC-095</t>
  </si>
  <si>
    <t>CC-096</t>
  </si>
  <si>
    <t>CC-097</t>
  </si>
  <si>
    <t>CC-098</t>
  </si>
  <si>
    <t>CC-099</t>
  </si>
  <si>
    <t>CC-100</t>
  </si>
  <si>
    <t>CC-101</t>
  </si>
  <si>
    <t>CC-102</t>
  </si>
  <si>
    <t>CC-103</t>
  </si>
  <si>
    <t>CC-104</t>
  </si>
  <si>
    <t>CC-105</t>
  </si>
  <si>
    <t>CC-106</t>
  </si>
  <si>
    <t>CC-107</t>
  </si>
  <si>
    <t>CC-108</t>
  </si>
  <si>
    <t>CC-109</t>
  </si>
  <si>
    <t>CC-110</t>
  </si>
  <si>
    <t>CC-111</t>
  </si>
  <si>
    <t>CC-112</t>
  </si>
  <si>
    <t>CC-113</t>
  </si>
  <si>
    <t>CC-114</t>
  </si>
  <si>
    <t>CC-115</t>
  </si>
  <si>
    <t>CC-116</t>
  </si>
  <si>
    <t>CC-117</t>
  </si>
  <si>
    <t>CC-118</t>
  </si>
  <si>
    <t>CC-119</t>
  </si>
  <si>
    <t>CC-120</t>
  </si>
  <si>
    <t>CC-121</t>
  </si>
  <si>
    <t>CC-122</t>
  </si>
  <si>
    <t>CC-123</t>
  </si>
  <si>
    <t>CC-124</t>
  </si>
  <si>
    <t>CC-125</t>
  </si>
  <si>
    <t>CC-126</t>
  </si>
  <si>
    <t>CC-127</t>
  </si>
  <si>
    <t>CC-128</t>
  </si>
  <si>
    <t>CC-129</t>
  </si>
  <si>
    <t>CC-130</t>
  </si>
  <si>
    <t>CC-131</t>
  </si>
  <si>
    <t>CC-132</t>
  </si>
  <si>
    <t>CC-133</t>
  </si>
  <si>
    <t>CC-134</t>
  </si>
  <si>
    <t>CC-135</t>
  </si>
  <si>
    <t>CC-136</t>
  </si>
  <si>
    <t>CC-137</t>
  </si>
  <si>
    <t>CC-138</t>
  </si>
  <si>
    <t>CC-139</t>
  </si>
  <si>
    <t>CC-140</t>
  </si>
  <si>
    <t>CC-141</t>
  </si>
  <si>
    <t>CC-142</t>
  </si>
  <si>
    <t>CC-143</t>
  </si>
  <si>
    <t>CC-144</t>
  </si>
  <si>
    <t>CC-145</t>
  </si>
  <si>
    <t>CC-146</t>
  </si>
  <si>
    <t>CC-147</t>
  </si>
  <si>
    <t>CC-148</t>
  </si>
  <si>
    <t>CC-149</t>
  </si>
  <si>
    <t>CC-150</t>
  </si>
  <si>
    <t>CC-151</t>
  </si>
  <si>
    <t>CC-152</t>
  </si>
  <si>
    <t>CC-153</t>
  </si>
  <si>
    <t>CC-154</t>
  </si>
  <si>
    <t>CC-155</t>
  </si>
  <si>
    <t>CC-156</t>
  </si>
  <si>
    <t>CC-157</t>
  </si>
  <si>
    <t>CC-158</t>
  </si>
  <si>
    <t>CC-159</t>
  </si>
  <si>
    <t>CC-160</t>
  </si>
  <si>
    <t>CC-161</t>
  </si>
  <si>
    <t>CC-162</t>
  </si>
  <si>
    <t>CC-163</t>
  </si>
  <si>
    <t>CC-164</t>
  </si>
  <si>
    <t>CC-165</t>
  </si>
  <si>
    <t>CC-166</t>
  </si>
  <si>
    <t>CC-167</t>
  </si>
  <si>
    <t>CC-168</t>
  </si>
  <si>
    <t>CC-169</t>
  </si>
  <si>
    <t>CC-170</t>
  </si>
  <si>
    <t>CC-171</t>
  </si>
  <si>
    <t>CC-172</t>
  </si>
  <si>
    <t>CC-173</t>
  </si>
  <si>
    <t>CC-174</t>
  </si>
  <si>
    <t>CC-175</t>
  </si>
  <si>
    <t>CC-176</t>
  </si>
  <si>
    <t>CC-177</t>
  </si>
  <si>
    <t>CC-178</t>
  </si>
  <si>
    <t>CC-179</t>
  </si>
  <si>
    <t>CC-180</t>
  </si>
  <si>
    <t>CC-181</t>
  </si>
  <si>
    <t>CC-182</t>
  </si>
  <si>
    <t>CC-183</t>
  </si>
  <si>
    <t>CC-184</t>
  </si>
  <si>
    <t>CC-185</t>
  </si>
  <si>
    <t>CC-186</t>
  </si>
  <si>
    <t>CC-187</t>
  </si>
  <si>
    <t>CC-188</t>
  </si>
  <si>
    <t>CC-189</t>
  </si>
  <si>
    <t>CC-190</t>
  </si>
  <si>
    <t>CC-191</t>
  </si>
  <si>
    <t>CC-192</t>
  </si>
  <si>
    <t>CC-193</t>
  </si>
  <si>
    <t>CC-194</t>
  </si>
  <si>
    <t>CC-195</t>
  </si>
  <si>
    <t>CC-196</t>
  </si>
  <si>
    <t>CC-197</t>
  </si>
  <si>
    <t>CC-198</t>
  </si>
  <si>
    <t>CC-199</t>
  </si>
  <si>
    <t>CC-200</t>
  </si>
  <si>
    <t>CC-201</t>
  </si>
  <si>
    <t>CC-202</t>
  </si>
  <si>
    <t>CC-203</t>
  </si>
  <si>
    <t>CC-204</t>
  </si>
  <si>
    <t>CC-205</t>
  </si>
  <si>
    <t>CC-206</t>
  </si>
  <si>
    <t>CC-207</t>
  </si>
  <si>
    <t>CC-208</t>
  </si>
  <si>
    <t>CC-209</t>
  </si>
  <si>
    <t>CC-210</t>
  </si>
  <si>
    <t>CC-211</t>
  </si>
  <si>
    <t>CC-212</t>
  </si>
  <si>
    <t>CC-213</t>
  </si>
  <si>
    <t>CC-214</t>
  </si>
  <si>
    <t>CC-215</t>
  </si>
  <si>
    <t>CC-216</t>
  </si>
  <si>
    <t>CC-217</t>
  </si>
  <si>
    <t>CC-218</t>
  </si>
  <si>
    <t>CC-219</t>
  </si>
  <si>
    <t>CC-220</t>
  </si>
  <si>
    <t>CC-221</t>
  </si>
  <si>
    <t>CC-222</t>
  </si>
  <si>
    <t>CC-223</t>
  </si>
  <si>
    <t>CC-224</t>
  </si>
  <si>
    <t>CC-225</t>
  </si>
  <si>
    <t>CC-226</t>
  </si>
  <si>
    <t>CC-227</t>
  </si>
  <si>
    <t>CC-228</t>
  </si>
  <si>
    <t>CC-229</t>
  </si>
  <si>
    <t>CC-230</t>
  </si>
  <si>
    <t>CC-231</t>
  </si>
  <si>
    <t>CC-232</t>
  </si>
  <si>
    <t>CC-233</t>
  </si>
  <si>
    <t>CC-234</t>
  </si>
  <si>
    <t>CC-235</t>
  </si>
  <si>
    <t>CC-236</t>
  </si>
  <si>
    <t>CC-237</t>
  </si>
  <si>
    <t>CC-238</t>
  </si>
  <si>
    <t>CC-239</t>
  </si>
  <si>
    <t>CC-240</t>
  </si>
  <si>
    <t>CC-241</t>
  </si>
  <si>
    <t>CC-242</t>
  </si>
  <si>
    <t>CC-243</t>
  </si>
  <si>
    <t>CC-244</t>
  </si>
  <si>
    <t>AA-001</t>
  </si>
  <si>
    <t>AA-002</t>
  </si>
  <si>
    <t>AA-003</t>
  </si>
  <si>
    <t>AA-004</t>
  </si>
  <si>
    <t>AA-005</t>
  </si>
  <si>
    <t>AA-006</t>
  </si>
  <si>
    <t>AA-007</t>
  </si>
  <si>
    <t>AA-008</t>
  </si>
  <si>
    <t>AA-009</t>
  </si>
  <si>
    <t>AA-010</t>
  </si>
  <si>
    <t>AA-011</t>
  </si>
  <si>
    <t>AA-012</t>
  </si>
  <si>
    <t>AA-013</t>
  </si>
  <si>
    <t>AA-014</t>
  </si>
  <si>
    <t>AA-015</t>
  </si>
  <si>
    <t>AA-016</t>
  </si>
  <si>
    <t>AA-017</t>
  </si>
  <si>
    <t>AA-018</t>
  </si>
  <si>
    <t>AA-019</t>
  </si>
  <si>
    <t>AA-020</t>
  </si>
  <si>
    <t>AA-021</t>
  </si>
  <si>
    <t>AA-022</t>
  </si>
  <si>
    <t>AA-023</t>
  </si>
  <si>
    <t>AA-024</t>
  </si>
  <si>
    <t>AA-025</t>
  </si>
  <si>
    <t>AA-026</t>
  </si>
  <si>
    <t>AA-027</t>
  </si>
  <si>
    <t>AA-028</t>
  </si>
  <si>
    <t>https://www.sbctc.edu/colleges-staff/commissions-councils/wactc/membership.aspx</t>
  </si>
  <si>
    <t>nhumphrey@sbctc.edu</t>
  </si>
  <si>
    <t>https://www.sbctc.edu/about/agency/initiatives-projects/strategic-plan/default.aspx</t>
  </si>
  <si>
    <t>2020-2030</t>
  </si>
  <si>
    <t>powellt@losrios.edu</t>
  </si>
  <si>
    <t>(916) 568-3021</t>
  </si>
  <si>
    <t>Los Rios Community College District1919 Spanos CourtSacramento, CA 95825-3981</t>
  </si>
  <si>
    <t>Dr. Torence Powell (2026)</t>
  </si>
  <si>
    <t>Dr. Lisa Cardoza</t>
  </si>
  <si>
    <t>Lisa Cardoza serves as the first Latina President of American River College, the largest college in the Los Rios Community College District</t>
  </si>
  <si>
    <t>cardozal@arc.losrios.edu</t>
  </si>
  <si>
    <t>4700 College Oak Drive, Sacramento, CA 95841</t>
  </si>
  <si>
    <t>(916) 484-8011</t>
  </si>
  <si>
    <t>Amanda Lewis</t>
  </si>
  <si>
    <t>lewisa@arc.losrios.edu</t>
  </si>
  <si>
    <t>2016-2021</t>
  </si>
  <si>
    <t>https://losrios.edu/about-los-rios/our-values/strategic-plan</t>
  </si>
  <si>
    <t>https://losrios.edu/about-los-rios/board-of-trustees</t>
  </si>
  <si>
    <t>https://www.avc.edu/board-trustees</t>
  </si>
  <si>
    <t>Superintendent/President Goals for 2025-2026</t>
  </si>
  <si>
    <t>jennifer.zellet@avc.edu</t>
  </si>
  <si>
    <t>(661) 722-6300, ext. 6301</t>
  </si>
  <si>
    <t>Michele Schottelkorb</t>
  </si>
  <si>
    <t>michele.schottelkorb@avc.edu</t>
  </si>
  <si>
    <t>Superintendent/President
Antelope Valley College
3041 West Avenue K
Lancaster, CA 93536-5426</t>
  </si>
  <si>
    <t>Dr. Jennifer Zellet</t>
  </si>
  <si>
    <t>Dr. Stacy Pfluger</t>
  </si>
  <si>
    <t>Catherine Guerrero</t>
  </si>
  <si>
    <t>https://www.ccleague.org/?utm_source=chatgpt.com</t>
  </si>
  <si>
    <t>Community College League of California</t>
  </si>
  <si>
    <t>2017 O Street, Sacramento CA 95811-5211</t>
  </si>
  <si>
    <t>Larry Galizio</t>
  </si>
  <si>
    <t>Agnes Lupa</t>
  </si>
  <si>
    <t>agnes@ccleague.org</t>
  </si>
  <si>
    <t>galizio@ccleague.org</t>
  </si>
  <si>
    <t>https://www.ccleague.org/about-us/california-community-college-trustees-ccct/</t>
  </si>
  <si>
    <t>catherine.guerrero@bakersfieldcollege.edu</t>
  </si>
  <si>
    <t>Bakersfield CollegeAttn: Office of the President1801 Panorama DriveBakersfield, CA 93305-1219</t>
  </si>
  <si>
    <t>stacy.pfluger@bakersfieldcollege.edu</t>
  </si>
  <si>
    <t>(661) 395-4211</t>
  </si>
  <si>
    <t>2025-2030</t>
  </si>
  <si>
    <t>Kern Community College District</t>
  </si>
  <si>
    <t>https://www.kccd.edu/board-trustees/index.html</t>
  </si>
  <si>
    <t>Steven Bloomberg</t>
  </si>
  <si>
    <t xml:space="preserve">
(661) 336-5104 </t>
  </si>
  <si>
    <t>steven.bloomberg@kccd.edu</t>
  </si>
  <si>
    <t>2100 Chester AvenueBakersfield, CA 93301</t>
  </si>
  <si>
    <t>https://www.kccd.edu/chancellors-office/_documents/strategic-plan/kccd-strategic-plan-june-2025-bot.pdf</t>
  </si>
  <si>
    <t>https://www.barstow.edu/about-bcc/board-trustees</t>
  </si>
  <si>
    <t>Board Goals 2026-2028</t>
  </si>
  <si>
    <t>Dr. Steven Bloomberg</t>
  </si>
  <si>
    <t>Dr. Eva Bagg</t>
  </si>
  <si>
    <t>mhenderson@barstow.edu</t>
  </si>
  <si>
    <t>Michelle Henderson</t>
  </si>
  <si>
    <t>(760) 252-2411, ext. 7214</t>
  </si>
  <si>
    <t>ebagg@barstow.edu</t>
  </si>
  <si>
    <t>2700 Barstow Road,
Barstow, CA 92311</t>
  </si>
  <si>
    <t>https://www.barstow.edu/about-bcc/institutional-effectiveness/strategic-plan</t>
  </si>
  <si>
    <t>Dr. Denise Richardson</t>
  </si>
  <si>
    <t>Annie Liu</t>
  </si>
  <si>
    <t>aliu@peralta.edu</t>
  </si>
  <si>
    <t>Peralta Community College District</t>
  </si>
  <si>
    <t>Office of the President
Berkeley City College
2050 Center Street
Berkeley, California 94704</t>
  </si>
  <si>
    <t>drichardson@peralta.edu</t>
  </si>
  <si>
    <t xml:space="preserve">N </t>
  </si>
  <si>
    <t xml:space="preserve">(510) 981-2800 </t>
  </si>
  <si>
    <t>https://www.berkeleycitycollege.edu/hubfs/Berkeley%20City%20College%202023-28%20Strategic%20Plan.pdf</t>
  </si>
  <si>
    <t>https://www.butte.edu/about/leadership/board-of-trustees/index.html</t>
  </si>
  <si>
    <t>Melissa Cafferata-Ainsworth</t>
  </si>
  <si>
    <t>cafferataainsworthme@butte.edu</t>
  </si>
  <si>
    <t>Virginia L. Guleff</t>
  </si>
  <si>
    <t>President's OfficeButte College3536 Butte Campus DriveOroville, CA 95965</t>
  </si>
  <si>
    <t>guleffvi@butte.edu</t>
  </si>
  <si>
    <t>(530) 895-2484</t>
  </si>
  <si>
    <t>https://www.butte.edu/about/leadership/planning-documents/_documents/2024-27strategicplan.pdf</t>
  </si>
  <si>
    <t>2024-2027</t>
  </si>
  <si>
    <t>https://www.cabrillo.edu/about-cabrillo/#board-of-trustees</t>
  </si>
  <si>
    <t>Dr. Jenn Capps</t>
  </si>
  <si>
    <t>jenn.capps@cabrillo.edu</t>
  </si>
  <si>
    <t>Cabrillo Community College District6500 Soquel DriveAptos, CA 95003-3198</t>
  </si>
  <si>
    <t xml:space="preserve"> (831) 479-6302</t>
  </si>
  <si>
    <t>Ronnette Smithcamp</t>
  </si>
  <si>
    <t>rosmithc@cabrillo.edu</t>
  </si>
  <si>
    <t>https://www.cabrillo.edu/2030/</t>
  </si>
  <si>
    <t>IN PROGRESS</t>
  </si>
  <si>
    <t>https://www.calbright.edu/about/board/</t>
  </si>
  <si>
    <t>Ajita Talwalker Menon</t>
  </si>
  <si>
    <t>Carmen Drummond</t>
  </si>
  <si>
    <t>1102 Q Street, Suite 4800, Sacramento, CA 95811</t>
  </si>
  <si>
    <t>Academic Senate for California Community Colleges</t>
  </si>
  <si>
    <t>ajita@calbright.org</t>
  </si>
  <si>
    <t>carmen@calbright.org</t>
  </si>
  <si>
    <t>https://www.calbright.edu/wp-content/uploads/2024/01/Calbright-College-Strategic-Vision-2024-2027.pdf</t>
  </si>
  <si>
    <t>Kim Lopez</t>
  </si>
  <si>
    <t>lopezk@smccd.edu</t>
  </si>
  <si>
    <t>4200 Farm Hill Boulevard, Redwood City, CA 94061</t>
  </si>
  <si>
    <t>(650) 306-3456</t>
  </si>
  <si>
    <t>https://smccd.edu/strategicplanning/Updated_2025_DistrictStrategicPlan_11x8.5in.pdf</t>
  </si>
  <si>
    <t>Melissa Moreno</t>
  </si>
  <si>
    <t>morenomelissa@smccd.edu</t>
  </si>
  <si>
    <t>(650) 358-6885</t>
  </si>
  <si>
    <t xml:space="preserve">	District Office
3401 CSM Drive
San Mateo, CA 94402.</t>
  </si>
  <si>
    <t>https://smccd.edu/boardoftrustees/members.php</t>
  </si>
  <si>
    <t>Nathan Carter</t>
  </si>
  <si>
    <t>Yamila Dielacher</t>
  </si>
  <si>
    <t>(650) 738-7016</t>
  </si>
  <si>
    <t>dielachery@smccd.edu</t>
  </si>
  <si>
    <t>carternate@smccd.edu</t>
  </si>
  <si>
    <t>Skyline College
President's Office
BLDG 04-4318,
3300 College Drive
San Bruno, CA 94066</t>
  </si>
  <si>
    <t>https://directory.smccd.edu/</t>
  </si>
  <si>
    <t>canexasst@smccd.edu</t>
  </si>
  <si>
    <t>Manuel Alejandro Perez</t>
  </si>
  <si>
    <t>650) 574-6222</t>
  </si>
  <si>
    <t>Anjelica Soria Mendoza</t>
  </si>
  <si>
    <t xml:space="preserve">	perezma@smccd.edu</t>
  </si>
  <si>
    <t>College of San Mateo
President's Office
BLDG 10-490,
1700 West Hillsdale Blvd
San Mateo, CA 94402</t>
  </si>
  <si>
    <t>mendozaa@smccd.edu</t>
  </si>
  <si>
    <t>Dr. José Fierro</t>
  </si>
  <si>
    <t>https://www.cerritos.edu/about/board/default.htm</t>
  </si>
  <si>
    <t>jfierro@cerritos.edu.</t>
  </si>
  <si>
    <t>Cerritos College11110 Alondra Blvd.Norwalk, CA 90650</t>
  </si>
  <si>
    <t>(562) 860-2451 ext 2204</t>
  </si>
  <si>
    <t>Andrea Wittig</t>
  </si>
  <si>
    <t>awittig@cerritos.edu</t>
  </si>
  <si>
    <t>https://www.cerrocoso.edu/_resources/assets/documents/About/Strategic-Plan-2025-2030-Brochure.pdf</t>
  </si>
  <si>
    <t>Dr. Sean Hancock</t>
  </si>
  <si>
    <t>sean.hancock@cerrocoso.edu</t>
  </si>
  <si>
    <t>(760) 384-6212</t>
  </si>
  <si>
    <t>jennifer.curtis@cerrocoso.edu</t>
  </si>
  <si>
    <t>Jennifer Curtis</t>
  </si>
  <si>
    <t>Cerro Coso Community College3000 College Heights Blvd.Ridgecrest, CA 93555</t>
  </si>
  <si>
    <t>https://www.clpccd.org/bot/index.php</t>
  </si>
  <si>
    <t>Ronald P. Gerhard</t>
  </si>
  <si>
    <t>(925) 485-5206</t>
  </si>
  <si>
    <t>rgerhard@clpccd.org</t>
  </si>
  <si>
    <t>Chabot-Las Positas Community College District7600 Dublin Blvd, 3rd FloorDublin, CA 94568</t>
  </si>
  <si>
    <t>Dr. Dyrell Foster</t>
  </si>
  <si>
    <t>3000 Campus Hill Drive
Room 1680
Livermore, CA 94551</t>
  </si>
  <si>
    <t>Angelica Cazarez</t>
  </si>
  <si>
    <t>acazarez@laspositascollege.edu</t>
  </si>
  <si>
    <t xml:space="preserve"> 925.424.1001</t>
  </si>
  <si>
    <t>dfoster@laspositascollege.edu</t>
  </si>
  <si>
    <t>510.723.6641</t>
  </si>
  <si>
    <t>jcooks@chabotcollege.edu</t>
  </si>
  <si>
    <t>Kirti Reddy</t>
  </si>
  <si>
    <t>kreddy@chabotcollege.edu</t>
  </si>
  <si>
    <t>Dr. Jamal Cooks</t>
  </si>
  <si>
    <t>Chabot College25555 Hesperian BoulevardHayward, CA 94545</t>
  </si>
  <si>
    <t>https://www.chaffey.edu/leadership/governingboard.php</t>
  </si>
  <si>
    <t>Dr. Henry Shannon</t>
  </si>
  <si>
    <t>Eva Ramirez</t>
  </si>
  <si>
    <t>Eva.Ramirez@chaffey.edu</t>
  </si>
  <si>
    <t>henry.shannon@chaffey.edu</t>
  </si>
  <si>
    <t>(909) 652-6101</t>
  </si>
  <si>
    <t>Office of the Superintendent/PresidentChaffey College5885 Haven AvenueRancho Cucamonga, CA 91737-3002</t>
  </si>
  <si>
    <t>https://www.chaffey.edu/about/accreditation/docs/strategic_plans_chaffey_college_23-26.pdf</t>
  </si>
  <si>
    <t>2023-2026</t>
  </si>
  <si>
    <t>https://files.citruscollege.edu/research/planning/sp2631ada.pdf</t>
  </si>
  <si>
    <t>Dr. Greg Schulz</t>
  </si>
  <si>
    <t>Cydney Leon</t>
  </si>
  <si>
    <t>cleon@citruscollege.edu</t>
  </si>
  <si>
    <t>gschulz@citruscollege.edu</t>
  </si>
  <si>
    <t>(626) 914-8821</t>
  </si>
  <si>
    <t xml:space="preserve"> Citrus College, 1000 West Foothill Boulevard, Glendora, CA 91741-1899</t>
  </si>
  <si>
    <t>https://www.citruscollege.edu/admin/bot/index.html</t>
  </si>
  <si>
    <t>https://www.ccsf.edu/about-ccsf/board-trustees</t>
  </si>
  <si>
    <t>Dr. Kimberlee Messina Ed.D</t>
  </si>
  <si>
    <t>kmessina@ccsf.edu</t>
  </si>
  <si>
    <t>Office of the ChancellorCity College of San Francisco50 Phelan Ave, Box E-200San Francisco, CA 94112</t>
  </si>
  <si>
    <t>Mary Grace Esteban</t>
  </si>
  <si>
    <t>mesteban@ccsf.edu</t>
  </si>
  <si>
    <t>415-239-3556</t>
  </si>
  <si>
    <t>Dr. Carole Goldsmith</t>
  </si>
  <si>
    <t>Dr. Kim E. Armstrong</t>
  </si>
  <si>
    <t>Dr. Jerry Buckley</t>
  </si>
  <si>
    <t>Dr. Angel Reyna</t>
  </si>
  <si>
    <t>Denise Whisenhunt</t>
  </si>
  <si>
    <t>(559) 243-7100 ext 7102</t>
  </si>
  <si>
    <t>Chancellor's Office
State Center Community College District1171 Fulton Street
Fresno, CA 93721</t>
  </si>
  <si>
    <t>RETIRING - SEARCH IN PROGRESS</t>
  </si>
  <si>
    <t>kim.armstrong@cloviscollege.edu</t>
  </si>
  <si>
    <t>(559) 325-5205</t>
  </si>
  <si>
    <t>Clovis Community College
10309 North Willow Avenue
Fresno, CA 93730</t>
  </si>
  <si>
    <t>https://www.cloviscollege.edu/_uploaded-files/_documents/about/planning/ccc-strategic-plan-2025-2029.pdf</t>
  </si>
  <si>
    <t>2025-2029</t>
  </si>
  <si>
    <t>District</t>
  </si>
  <si>
    <t>Coast Community College District</t>
  </si>
  <si>
    <t>Contra Costa Community College District</t>
  </si>
  <si>
    <t>Grossmont-Cuyamaca Community College District</t>
  </si>
  <si>
    <t>Los Angeles Community College District</t>
  </si>
  <si>
    <t>Los Rios Community College District</t>
  </si>
  <si>
    <t>North Orange County Community College District</t>
  </si>
  <si>
    <t>Rancho Santiago Community College District</t>
  </si>
  <si>
    <t>Riverside Community College District</t>
  </si>
  <si>
    <t>San Bernardino Community College District</t>
  </si>
  <si>
    <t>San Diego Community College District</t>
  </si>
  <si>
    <t>San José-Evergreen Community College District</t>
  </si>
  <si>
    <t>San Mateo County Community College District</t>
  </si>
  <si>
    <t>South Orange County Community College District</t>
  </si>
  <si>
    <t>State Center Community College District</t>
  </si>
  <si>
    <t>Ventura County Community College District</t>
  </si>
  <si>
    <t>West Hills Community College District</t>
  </si>
  <si>
    <t>West Valley-Mission Community College District</t>
  </si>
  <si>
    <t>Yosemite Community College District</t>
  </si>
  <si>
    <t>Yuba Community College District</t>
  </si>
  <si>
    <t>carlatweed@whccd.edu</t>
  </si>
  <si>
    <t>(559) 934-2205</t>
  </si>
  <si>
    <t xml:space="preserve">Dr. Carla Tweed </t>
  </si>
  <si>
    <t>Dr. Robert Pimentel</t>
  </si>
  <si>
    <t>https://westhillscollege.com/district/administration/board-of-trustees/</t>
  </si>
  <si>
    <t xml:space="preserve">jamespreston@whccd.edu </t>
  </si>
  <si>
    <t>(559) 925-3146</t>
  </si>
  <si>
    <t>https://issuu.com/westhillsmagazine/docs/64506727_whcc_strategic_plan_2021-2026?mode=window</t>
  </si>
  <si>
    <t>West Hills Community College District
275 Phelps Ave
Coalinga, CA 93210</t>
  </si>
  <si>
    <t>robertpimentel@whccd.edu</t>
  </si>
  <si>
    <t>(559) 934-2131</t>
  </si>
  <si>
    <t>James Preston</t>
  </si>
  <si>
    <t>https://issuu.com/westhillsmagazine/docs/64506728_whcl_strategic_plan_2021-2026?mode=window</t>
  </si>
  <si>
    <t>https://www.cccd.edu/boardoftrustees/index.html</t>
  </si>
  <si>
    <t>Dr. Whitney Yamamura</t>
  </si>
  <si>
    <t>wyamamura@cccd.edu</t>
  </si>
  <si>
    <t>(714)438-4732</t>
  </si>
  <si>
    <t>1370 Adams Avenue
Costa Mesa, CA 92626</t>
  </si>
  <si>
    <t>Dr. Vince Rodriguez</t>
  </si>
  <si>
    <t>Patty Gilyeart</t>
  </si>
  <si>
    <t>pfranco@coastline.edu</t>
  </si>
  <si>
    <t>President, Coastline College11460 Warner AvenueFountain Valley, CA 92708-2597</t>
  </si>
  <si>
    <t>vrodriguez@coastline.edu</t>
  </si>
  <si>
    <t>https://documents.coastline.edu/research%20and%20planning/__CollegePlans/Coastline%20College%202030%20Vision%20Plan.pdf</t>
  </si>
  <si>
    <t>Meridith Randall</t>
  </si>
  <si>
    <t>mrandall12@gwc.cccd.edu</t>
  </si>
  <si>
    <t>15744 Goldenwest Street, Huntington Beach, CA 92647</t>
  </si>
  <si>
    <t>(714) 895-8178</t>
  </si>
  <si>
    <t>Diana Retes</t>
  </si>
  <si>
    <t>dretes@gwc.cccd.edu</t>
  </si>
  <si>
    <t>https://www.goldenwestcollege.edu/Links/pdf/research/gwc_strategic_plan_20025_2029.pdf</t>
  </si>
  <si>
    <t>Dr. Angelica L. Suarez</t>
  </si>
  <si>
    <t>asuarez@occ.cccd.edu</t>
  </si>
  <si>
    <t>(714) 432-5577</t>
  </si>
  <si>
    <t>Thuy Nguyen</t>
  </si>
  <si>
    <t>tnguyen@occ.cccd.edu</t>
  </si>
  <si>
    <t>Office of the PresidentOrange Coast College2701 Fairview RoadCosta Mesa, CA 92626</t>
  </si>
  <si>
    <t>https://www.peralta.edu/boardoftrustees</t>
  </si>
  <si>
    <t>Dr. Tammeil Gilkerson</t>
  </si>
  <si>
    <t xml:space="preserve">tgilkerson@peralta.edu </t>
  </si>
  <si>
    <t>510/466-7322</t>
  </si>
  <si>
    <t>Peralta Community College District
333 East Eighth Street
Oakland, CA 94606</t>
  </si>
  <si>
    <t>Melanie Dixon</t>
  </si>
  <si>
    <t>Dr. Becky Opsata</t>
  </si>
  <si>
    <t>Dr. David M. Johnson</t>
  </si>
  <si>
    <t>melaniedixon@peralta.edu</t>
  </si>
  <si>
    <t>510-748-2273</t>
  </si>
  <si>
    <t>NHEREDIA@peralta.edu</t>
  </si>
  <si>
    <t>Nickey Heredia</t>
  </si>
  <si>
    <t>College of Alameda555 Ralph Appezzato Memorial ParkwayAlameda, CA 94501</t>
  </si>
  <si>
    <t>Judy Mei</t>
  </si>
  <si>
    <t>jmei@peralta.edu</t>
  </si>
  <si>
    <t>(510) 464-3219</t>
  </si>
  <si>
    <t>ropsata@peralta.edu</t>
  </si>
  <si>
    <t>Laney College
Office of the President
900 Fallon Street
Oakland, CA 94607</t>
  </si>
  <si>
    <t>dmjohnson@peralta.edu</t>
  </si>
  <si>
    <t>Merritt College 12500 Campus Drive Oakland, CA 94619</t>
  </si>
  <si>
    <t>(510) 436-2501</t>
  </si>
  <si>
    <t>Berenise Herrera</t>
  </si>
  <si>
    <t>bherrera@peralta.edu</t>
  </si>
  <si>
    <t>https://www1.marin.edu/board-trustees</t>
  </si>
  <si>
    <t>Dr. Jonathan Eldridge</t>
  </si>
  <si>
    <t xml:space="preserve">	JEldridge@marin.edu</t>
  </si>
  <si>
    <t xml:space="preserve">	628-234-7400</t>
  </si>
  <si>
    <t>College of Marin835 College AvenueKentfield, CA 94904</t>
  </si>
  <si>
    <t>https://prie.marin.edu/sites/default/files/Strategic-Plan-2022-2025-e.pdf</t>
  </si>
  <si>
    <t>Dr. Jasmine Ruys</t>
  </si>
  <si>
    <t>https://www.canyons.edu/administration/board/</t>
  </si>
  <si>
    <t>Jasmine.Ruys@canyons.edu</t>
  </si>
  <si>
    <t>College of the Canyons26455 Rockwell Canyon RoadSanta Clarita, CA 91355</t>
  </si>
  <si>
    <t>https://www.canyons.edu/_documents/administration/pio/2023-26-Strategic-Plan-rev011824-508.pdf</t>
  </si>
  <si>
    <t>Val Martinez Garcia</t>
  </si>
  <si>
    <t xml:space="preserve"> Superintendent/President's Office
 College of the Desert 43-500 Monterey Avenue Palm Desert, CA 92260</t>
  </si>
  <si>
    <t>Marbella Ordaz</t>
  </si>
  <si>
    <t>maordaz@collegeofthedesert.edu</t>
  </si>
  <si>
    <t>https://www.redwoods.edu/about/board/index.php</t>
  </si>
  <si>
    <t>https://www.collegeofthedesert.edu/community/board-of-trustees/default.php</t>
  </si>
  <si>
    <t>Dr. Keith Flamer</t>
  </si>
  <si>
    <t>National presidential search underway; Dr. Flamer retiring at the end of 2026</t>
  </si>
  <si>
    <t>keith-flamer@redwoods.edu</t>
  </si>
  <si>
    <t>College of the Redwoods7351 Tompkins Hill RoadEureka, CA 95501</t>
  </si>
  <si>
    <t>Julie Gilbride</t>
  </si>
  <si>
    <t>(707) 476-4170</t>
  </si>
  <si>
    <t>julie-gilbride@redwoods.edu</t>
  </si>
  <si>
    <t>https://www.cos.edu/en-us/administration/governance/board</t>
  </si>
  <si>
    <t>Dr. Brent Calvin</t>
  </si>
  <si>
    <t>brentc@cos.edu</t>
  </si>
  <si>
    <t>(559) 730-3745</t>
  </si>
  <si>
    <t>Kinetha Cochran</t>
  </si>
  <si>
    <t>kinethac@cos.edu</t>
  </si>
  <si>
    <t>College of the Sequoias
915 S. Mooney Boulevard
Visalia, CA 93277</t>
  </si>
  <si>
    <t>2025-2028</t>
  </si>
  <si>
    <t>https://www.cos.edu/en-us/Accreditation/Documents/Institutional%20Planning%20Documents/2025_2028%20Strategic%20Plan.pdf</t>
  </si>
  <si>
    <t>Dr. Char Perlas</t>
  </si>
  <si>
    <t>cperlas@siskiyous.edu</t>
  </si>
  <si>
    <t>(530) 938-5200</t>
  </si>
  <si>
    <t>https://www.siskiyous.edu/board/</t>
  </si>
  <si>
    <t>College of the Siskiyous800 College Ave.Weed, CA 96094</t>
  </si>
  <si>
    <t>Jasmine Sedlmeyer</t>
  </si>
  <si>
    <t>sedlmeyerj@yosemite.edu</t>
  </si>
  <si>
    <t>Chad Redwing</t>
  </si>
  <si>
    <t>redwingc@yosemite.edu</t>
  </si>
  <si>
    <t>209-588-5115</t>
  </si>
  <si>
    <t>https://gocolumbia.edu/administration/research_planning/content/planning_documents/cc_strategic_plan_2022.pdf</t>
  </si>
  <si>
    <t>Dr. Lena Tran (I)</t>
  </si>
  <si>
    <t>https://www.yosemite.edu/trustees/index.html</t>
  </si>
  <si>
    <t>Office of the Chancellor
P.O. BOX 4065
Modesto, CA 95352</t>
  </si>
  <si>
    <t>(209) 575-6509</t>
  </si>
  <si>
    <t>tranl@yosemite.edu</t>
  </si>
  <si>
    <t>Brian K. Sanders</t>
  </si>
  <si>
    <t>sandersb@yosemite.edu</t>
  </si>
  <si>
    <t>209-575-6067</t>
  </si>
  <si>
    <t>Judy Wagner</t>
  </si>
  <si>
    <t>wagnerj@yosemite.edu</t>
  </si>
  <si>
    <t>Modesto Junior College
435 College Avenue
Modesto, CA  95350</t>
  </si>
  <si>
    <t>Columbia College
11600 Columbia College Drive
Sonora, CA 95730</t>
  </si>
  <si>
    <t>Dr. Keith Curry</t>
  </si>
  <si>
    <t>kcurry@compton.edu</t>
  </si>
  <si>
    <t>Sylvia Barakat</t>
  </si>
  <si>
    <t>sbarakat@compton.edu</t>
  </si>
  <si>
    <t>https://www.compton.edu/district/board-of-trustees/index.aspx</t>
  </si>
  <si>
    <t>(310) 900-1600 ext 2000</t>
  </si>
  <si>
    <t>1111 E. Artesia Boulevard Compton, CA 90221</t>
  </si>
  <si>
    <t>https://www.compton.edu/about/masterplan/docs/Compton-College-2035.pdf</t>
  </si>
  <si>
    <t>Mojdeh Mehdizadeh</t>
  </si>
  <si>
    <t>https://www.4cd.edu/gb/index.html</t>
  </si>
  <si>
    <t>mojdeh@4cd.edu</t>
  </si>
  <si>
    <t>925.229.6825</t>
  </si>
  <si>
    <t xml:space="preserve"> Office of the Chancellor
 Contra Costa Community College District
500 Court Street
Martinez, CA 94553</t>
  </si>
  <si>
    <t>Dr. Kimberly R. Rogers</t>
  </si>
  <si>
    <t>Jackie Ore</t>
  </si>
  <si>
    <t xml:space="preserve"> jore@contracosta.edu</t>
  </si>
  <si>
    <t>krogers@contracosta.edu</t>
  </si>
  <si>
    <t>(510) 215-3806</t>
  </si>
  <si>
    <t>Contra Costa College
2600 Mission Bell Drive
San Pablo, CA 94806-3166</t>
  </si>
  <si>
    <t>Dr. Monica Chahal</t>
  </si>
  <si>
    <t>mchahal@dvc.edu</t>
  </si>
  <si>
    <t>(925) 969-2001</t>
  </si>
  <si>
    <t>https://www.4cd.edu/research/district-strategic-plan/index.html</t>
  </si>
  <si>
    <t>President 
Diablo Valley College
 321 Golf Club Road Pleasant Hill, CA 94523</t>
  </si>
  <si>
    <t>Marta Gillen</t>
  </si>
  <si>
    <t>Dr. Pamela Ralston</t>
  </si>
  <si>
    <t>Los Medanos College
2700 E. Leland Road
Pittsburg, CA 94565-5197</t>
  </si>
  <si>
    <t>pralston@losmedanos.edu</t>
  </si>
  <si>
    <t>Jennifer Adams</t>
  </si>
  <si>
    <t>925) 473 - 7301</t>
  </si>
  <si>
    <t>jadams@losmedanos.edu</t>
  </si>
  <si>
    <t>Dr. Daren M. Otten</t>
  </si>
  <si>
    <t>dotten@cmccd.edu</t>
  </si>
  <si>
    <t>Superintendent/President
Copper Mountain College
6162 Rotary Way
Joshua Tree, CA 92252</t>
  </si>
  <si>
    <t>760-366-3791 ext. 5289</t>
  </si>
  <si>
    <t>Ariana Muñiz</t>
  </si>
  <si>
    <t>amuniz@cmccd.edu</t>
  </si>
  <si>
    <t>Dr. Edward Bush</t>
  </si>
  <si>
    <t>Dr. Art Pimentel</t>
  </si>
  <si>
    <t>Albert Garcia</t>
  </si>
  <si>
    <t>BushE@crc.losrios.edu</t>
  </si>
  <si>
    <t>(916) 691-7311</t>
  </si>
  <si>
    <t>Rachel C Larsen</t>
  </si>
  <si>
    <t>LarsenR@crc.losrios.edu</t>
  </si>
  <si>
    <t>8401 Center Parkway
Sacramento, CA 95823</t>
  </si>
  <si>
    <t>https://employees.crc.losrios.edu/institutional-equity-and-research-and-planning/planning/college-strategic-plan-area-goals-and-strategies</t>
  </si>
  <si>
    <t>Pimentel@flc.losrios.edu</t>
  </si>
  <si>
    <t>(916) 608-6570</t>
  </si>
  <si>
    <t>Karla R. Lozano</t>
  </si>
  <si>
    <t>LozanoK@flc.losrios.edu</t>
  </si>
  <si>
    <t>Folsom Lake College
10 College Parkway
Folsom, CA 95630-6798</t>
  </si>
  <si>
    <t>https://flc.losrios.edu/flc/shared/doc/about-us/College-Strategic-Plan.pdf</t>
  </si>
  <si>
    <t xml:space="preserve"> (916) 558-2100</t>
  </si>
  <si>
    <t>GarciaAJ@scc.losrios.edu</t>
  </si>
  <si>
    <t>Alma Mejia</t>
  </si>
  <si>
    <t>MejiaA@scc.losrios.edu</t>
  </si>
  <si>
    <t>3835 Freeport Boulevard
 Sacramento, CA 95822</t>
  </si>
  <si>
    <t>2023-2027</t>
  </si>
  <si>
    <t>https://inside.scc.losrios.edu/scc/inside/doc/e4-planning-and-research/planning/scc-strategic-master-plan.pdf</t>
  </si>
  <si>
    <t>https://sbccd.edu/about-sbccd/board-of-trustees/index.php</t>
  </si>
  <si>
    <t>Dr. Diana Z. Rodriguez</t>
  </si>
  <si>
    <t>(909) 388-6901</t>
  </si>
  <si>
    <t>drodriguez@sbccd.edu</t>
  </si>
  <si>
    <t>Office of the Chancellor
550 E. Hospitality Lane, Suite 200
San Bernardino, CA 92408</t>
  </si>
  <si>
    <t>Dr. Kevin Horan</t>
  </si>
  <si>
    <t>Dr. Gilbert J. Contreras</t>
  </si>
  <si>
    <t>gcontreras@valleycollege.edu</t>
  </si>
  <si>
    <t>(909) 384-4470</t>
  </si>
  <si>
    <t>Administration Student Service Building (ADSS), Second Floor, Room 208, 701 S. Mt. Vernon Avenue, San Bernardino, CA 92410</t>
  </si>
  <si>
    <t>khoran@craftonhills.edu</t>
  </si>
  <si>
    <t>909) 389-3201</t>
  </si>
  <si>
    <t>Cyndie St. Jean</t>
  </si>
  <si>
    <t xml:space="preserve">stjean@craftonhills.edu </t>
  </si>
  <si>
    <t>https://www.craftonhills.edu/visitors-and-alumni/giving-to-chc/about-the-foundation/documents/strategic-plan.pdf</t>
  </si>
  <si>
    <t>Crafton Hills College11711 Sand Canyon RoadYucaipa, CA 92399</t>
  </si>
  <si>
    <t>Dr. Jesse R. Neimeyer-Romero</t>
  </si>
  <si>
    <t xml:space="preserve"> jneimeyerromero@valleycollege.edu</t>
  </si>
  <si>
    <t>https://www.cuesta.edu/about/boardtrustees/index.html</t>
  </si>
  <si>
    <t>Dr. Jill Stearns</t>
  </si>
  <si>
    <t>(805) 546-3118</t>
  </si>
  <si>
    <t>Cindy Dilbeck</t>
  </si>
  <si>
    <t>cynthia_dilbeck@cuesta.edu</t>
  </si>
  <si>
    <t>jill_stearns@cuesta.edu</t>
  </si>
  <si>
    <t>P.O. Box 8106
 San Luis Obispo, CA 93403-8106</t>
  </si>
  <si>
    <t>Dr. Lynn Ceresino Neault</t>
  </si>
  <si>
    <t>Dr. Pamela Luster</t>
  </si>
  <si>
    <t>Jessica Robinson</t>
  </si>
  <si>
    <t>(619) 644-7570</t>
  </si>
  <si>
    <t>lynn.neault@gcccd.edu</t>
  </si>
  <si>
    <t>Grossmont-Cuyamaca Community College District
8800 Grossmont College Drive
El Cajon, CA 92020</t>
  </si>
  <si>
    <t>https://www.gcccd.edu/governing-board/index.php</t>
  </si>
  <si>
    <t>jessica.robinson@gcccd.edu</t>
  </si>
  <si>
    <t>(619) 660-4221</t>
  </si>
  <si>
    <t xml:space="preserve"> 900 Rancho San Diego Parkway, El Cajon, CA 92019</t>
  </si>
  <si>
    <t>Valeri Wilson</t>
  </si>
  <si>
    <t>valeri.wilson@gcccd.edu</t>
  </si>
  <si>
    <t>Office of the President, 8800 Grossmont College Drive, El Cajon, CA 92020</t>
  </si>
  <si>
    <t>Bernadette Black</t>
  </si>
  <si>
    <t>Bernadette.Black@gcccd.edu</t>
  </si>
  <si>
    <t>pamela.luster@gcccd.edu</t>
  </si>
  <si>
    <t>https://www.nocccd.edu/board-trustees</t>
  </si>
  <si>
    <t>Dr. Byron D. Clift Breland</t>
  </si>
  <si>
    <t>(714) 808-4797</t>
  </si>
  <si>
    <t>bbreland@nocccd.edu</t>
  </si>
  <si>
    <t>District Office, Chancellor
1830 W. Romneya Drive
Anaheim, CA 92801-1819</t>
  </si>
  <si>
    <t>Dr. Scott W. Thayer</t>
  </si>
  <si>
    <t>Dr. Cynthia Olivo</t>
  </si>
  <si>
    <t>Valentina Purtell</t>
  </si>
  <si>
    <t>sthayer@cypresscollege.edu</t>
  </si>
  <si>
    <t>(714) 484-7308</t>
  </si>
  <si>
    <t>9200 Valley View Street</t>
  </si>
  <si>
    <t>Cypress College
Office of the President (Complex, Office 328)
9200 Valley View Street
Cypress, CA 90630</t>
  </si>
  <si>
    <t>colivo@fullcoll.edu</t>
  </si>
  <si>
    <t>(714) 992-7001</t>
  </si>
  <si>
    <t>Office of the President
321 E. Chapman Avenue
Fullerton, CA 92832</t>
  </si>
  <si>
    <t>vpurtell@noce.edu</t>
  </si>
  <si>
    <t>(714) 808-4670</t>
  </si>
  <si>
    <t>North Orange Continuing Education (NOCE)Anaheim Campus1830 W. Romneya DriveAnaheim, CA 92801</t>
  </si>
  <si>
    <t>Julie Schoepf</t>
  </si>
  <si>
    <t>jschoepf@noce.edu</t>
  </si>
  <si>
    <t>Jean E. Foster</t>
  </si>
  <si>
    <t>jfoster@fullcoll.edu</t>
  </si>
  <si>
    <t>Mercedes Milner</t>
  </si>
  <si>
    <t>mmilner@cypresscollege.edu</t>
  </si>
  <si>
    <t>https://www.laccd.edu/board</t>
  </si>
  <si>
    <t>Dr. Alberto J. Román</t>
  </si>
  <si>
    <t>romanaj@email.laccd.edu</t>
  </si>
  <si>
    <t>770 Wilshire Blvd, Los Angeles, CA 90017</t>
  </si>
  <si>
    <t>(213) 891-2000 ext.2173</t>
  </si>
  <si>
    <t>Dr. Monte E. Perez</t>
  </si>
  <si>
    <t>Dr. Amanuel Gebru</t>
  </si>
  <si>
    <t>Dr. Luis Dorado</t>
  </si>
  <si>
    <t>Dr. Armida Ornelas</t>
  </si>
  <si>
    <t>Aracely Aguiar</t>
  </si>
  <si>
    <t>Dr. Anthony Culpepper</t>
  </si>
  <si>
    <t>Dr. Alfred McQuarters</t>
  </si>
  <si>
    <t>Dr. Barry Gribbons</t>
  </si>
  <si>
    <t>Dr. Matthew Jordan</t>
  </si>
  <si>
    <t>(323) 265-8650</t>
  </si>
  <si>
    <t>perezme@elac.edu</t>
  </si>
  <si>
    <t>gebrua@lacitycollege.edu</t>
  </si>
  <si>
    <t>(323) 953-4000 Ext. 2242</t>
  </si>
  <si>
    <t>Angela Miller</t>
  </si>
  <si>
    <t>1301 Avenida Cesar Chavez, Monterey Park, CA 91754-6099</t>
  </si>
  <si>
    <t>855 N. Vermont Avenue, Los Angeles California 90029</t>
  </si>
  <si>
    <t>doradol@lahc.edu</t>
  </si>
  <si>
    <t>Attn: Office of the President (SSA 216)1111 Figueroa PlaceWilmington, CA 90744</t>
  </si>
  <si>
    <t>(310) 233-4010</t>
  </si>
  <si>
    <t>MARTINA3@LAHC.EDU</t>
  </si>
  <si>
    <t>Aracely Martinez</t>
  </si>
  <si>
    <t xml:space="preserve">(818) 364-7795 </t>
  </si>
  <si>
    <t>ornelaao@lamission.edu</t>
  </si>
  <si>
    <t>Oliva Ayala</t>
  </si>
  <si>
    <t>Los Angeles Mission College 
Office of the President
13356 Eldridge AvenueSylmar, CA 91342</t>
  </si>
  <si>
    <t>sancheo@lamission.edu</t>
  </si>
  <si>
    <t>Malina Koani</t>
  </si>
  <si>
    <t>LA Pierce College 
c/o Office of the President, 6201 Winnetka Ave, Woodland Hills, CA 91371</t>
  </si>
  <si>
    <t>aguiara@piercecollege.edu</t>
  </si>
  <si>
    <t>3102874238 ext 4238</t>
  </si>
  <si>
    <t>koanimk@piercecollege.edu</t>
  </si>
  <si>
    <t>(323) 241-5276</t>
  </si>
  <si>
    <t>Los Angeles Southwest College1600 W. Imperial HighwayLos Angeles, CA 90047-4810</t>
  </si>
  <si>
    <t>culpepaj@lasc.edu</t>
  </si>
  <si>
    <t>mcquarad@lattc.edu</t>
  </si>
  <si>
    <t>(213) 763-7052</t>
  </si>
  <si>
    <t>400 W Washington Blvd, Los Angeles, CA 90015</t>
  </si>
  <si>
    <t>barry.gribbons@lavc.edu</t>
  </si>
  <si>
    <t xml:space="preserve">(818) 947-2321 </t>
  </si>
  <si>
    <t>Los Angeles Valley College5800 Fulton AvenueValley Glen, CA 91401-4096</t>
  </si>
  <si>
    <t>Tanya Sirkin</t>
  </si>
  <si>
    <t>sirkinta@lavc.edu</t>
  </si>
  <si>
    <t>Vicky Nesia</t>
  </si>
  <si>
    <t>nesiavc@wlac.edu</t>
  </si>
  <si>
    <t>ordanmt@lavc.edu</t>
  </si>
  <si>
    <t>(310) 287-4325</t>
  </si>
  <si>
    <t>West Los Angeles College9000 Overland AvenueCulver City, CA 90230</t>
  </si>
  <si>
    <t>Foothill-De Anza Community College District</t>
  </si>
  <si>
    <t>https://www.fhda.edu/_about-us/_board/index.html</t>
  </si>
  <si>
    <t>Lee D. Lambert</t>
  </si>
  <si>
    <t>Dr. Kristina Whalen</t>
  </si>
  <si>
    <t>650-949-6100</t>
  </si>
  <si>
    <t>lambertlee@fhda.edu</t>
  </si>
  <si>
    <t>Foothill-De Anza Community College DistrictBuilding D700, Suite 25012345 El Monte RoadLos Altos Hills, CA 94022-4599</t>
  </si>
  <si>
    <t>Dr. David Coon</t>
  </si>
  <si>
    <t xml:space="preserve"> Nathaly Aguilar</t>
  </si>
  <si>
    <t>aguilarnathaly@deanza.edu</t>
  </si>
  <si>
    <t>(408) 864-8973</t>
  </si>
  <si>
    <t>De Anza College
Office of the President
21250 Stevens Creek Blvd.
Cupertino, CA 95014</t>
  </si>
  <si>
    <t>coondavid@deanza.edu</t>
  </si>
  <si>
    <t>whalenkristina@fhda.edu</t>
  </si>
  <si>
    <t>(650) 949-7200</t>
  </si>
  <si>
    <t>Antoinette Chavez</t>
  </si>
  <si>
    <t>https://www.elcamino.edu/leadership/trustees/</t>
  </si>
  <si>
    <t>Dr. Brenda Thames</t>
  </si>
  <si>
    <t>bthames@elcamino.edu</t>
  </si>
  <si>
    <t>(310) 660-3593, Ext. 3111</t>
  </si>
  <si>
    <t>16007 Crenshaw Boulevard, Torrance, CA 90506</t>
  </si>
  <si>
    <t>Rose Sandro</t>
  </si>
  <si>
    <t>rsandro@elcamino.edu</t>
  </si>
  <si>
    <t>https://sjeccd.edu/discover-sjeccd/board-of-trustees</t>
  </si>
  <si>
    <t>Dr. Beatriz Chaidez</t>
  </si>
  <si>
    <t>408-270-6402</t>
  </si>
  <si>
    <t>beatriz.chaidez@sjeccd.edu</t>
  </si>
  <si>
    <t>District Office  
40 S. Market Street  
San José, CA 95113</t>
  </si>
  <si>
    <t>Dr. Vinicio J. López</t>
  </si>
  <si>
    <t>(408) 270-6471</t>
  </si>
  <si>
    <t>Penny L. Garibay</t>
  </si>
  <si>
    <t>Penny.Garibay@evc.edu</t>
  </si>
  <si>
    <t>Evergreen Valley CollegeAttn: Office of the President3095 Yerba Buena RoadSan Jose, CA 95135</t>
  </si>
  <si>
    <t>Vinicio.López@evc.edu</t>
  </si>
  <si>
    <t>Dr. Marilyn Flores</t>
  </si>
  <si>
    <t>President’s OfficeSan José City College2100 Moorpark AvenueSan José, CA 95128-2799</t>
  </si>
  <si>
    <t>(408) 288-3725</t>
  </si>
  <si>
    <t>Darlene Specht</t>
  </si>
  <si>
    <t>Darlene.Specht@sjcc.edu</t>
  </si>
  <si>
    <t>marilyn.flores@sjcc.edu</t>
  </si>
  <si>
    <t>Dr. Kevin Trutna</t>
  </si>
  <si>
    <t xml:space="preserve">KTrutna@frc.edu </t>
  </si>
  <si>
    <t>(530) 283-0202, Ext. 232</t>
  </si>
  <si>
    <t>Feather River College570 Golden Eagle Avenue Quincy, CA 95971</t>
  </si>
  <si>
    <t>https://www.frc.edu/administration/board-of-trustees</t>
  </si>
  <si>
    <t>Cheryl Kolb</t>
  </si>
  <si>
    <t>ckolb@frc.edu</t>
  </si>
  <si>
    <t>https://www.scccd.edu/about/board-of-trustees/index.html</t>
  </si>
  <si>
    <t xml:space="preserve">denise.whisenhunt@fresnocitycollege.edu </t>
  </si>
  <si>
    <t>Laura Choi</t>
  </si>
  <si>
    <t>laura.choi@fresnocitycollege.edu</t>
  </si>
  <si>
    <t>559.489.2212</t>
  </si>
  <si>
    <t>Denise Whisenhunt, J.D. is an educational administrator who serves as the 13th President of Fresno City College. She is the first African American woman to lead the institution, which holds distinction as California’s first community college</t>
  </si>
  <si>
    <t>angel.reyna@maderacollege.edu</t>
  </si>
  <si>
    <t>(559) 675-4855</t>
  </si>
  <si>
    <t>Monica Armenta</t>
  </si>
  <si>
    <t>monica.armenta@maderacollege.edu</t>
  </si>
  <si>
    <t>Madera Community College30277 Avenue 12Madera, CA 93638</t>
  </si>
  <si>
    <t>Sarina Navarro</t>
  </si>
  <si>
    <t>jerry.buckley@reedlycollege.edu</t>
  </si>
  <si>
    <t>sarina.navarro@reedlycollege.edu</t>
  </si>
  <si>
    <t>(559) 494-3000 ext 3545</t>
  </si>
  <si>
    <t>(661) 362-3280</t>
  </si>
  <si>
    <t>Kristina Hancock</t>
  </si>
  <si>
    <t>kristina.hancock-nishimoto@canyons.edu</t>
  </si>
  <si>
    <t>vmartinezgarcia@collegeofthedesert.edu</t>
  </si>
  <si>
    <t>760.346.8041 ext 7270</t>
  </si>
  <si>
    <t>https://www.gavilan.edu/administration/board/index.php</t>
  </si>
  <si>
    <t>Dr. Pedro Avila</t>
  </si>
  <si>
    <t>Michelle Jones</t>
  </si>
  <si>
    <t>mjones@gavilan.edu</t>
  </si>
  <si>
    <t>408-848-4712</t>
  </si>
  <si>
    <t>pedroavila@gavilan.edu</t>
  </si>
  <si>
    <t>Superintendent/President
Gavilan College
5055 Santa Teresa Boulevard
Gilroy, CA 95020</t>
  </si>
  <si>
    <t>(623) 845-3010</t>
  </si>
  <si>
    <t>https://www.glendale.edu/about-gcc/board-of-trustees/index.html</t>
  </si>
  <si>
    <t>Dr. Ryan Cornner</t>
  </si>
  <si>
    <t>Debra Kallas</t>
  </si>
  <si>
    <t>myemail@glendale.edu</t>
  </si>
  <si>
    <t>Superintendent/PresidentGlendale Community College1500 North Verdugo RoadGlendale, CA 91208</t>
  </si>
  <si>
    <t>rcornner@glendale.edu</t>
  </si>
  <si>
    <t>Michael Gutierrez</t>
  </si>
  <si>
    <t>https://www.hartnell.edu/about/hccdgb/</t>
  </si>
  <si>
    <t>mjgutierrez@hartnell.edu</t>
  </si>
  <si>
    <t>831-755-6900</t>
  </si>
  <si>
    <t>Lucille Serrano</t>
  </si>
  <si>
    <t>lserrano@hartnell.edu</t>
  </si>
  <si>
    <t>Superintendent/PresidentHartnell College411 Central Avenue</t>
  </si>
  <si>
    <t xml:space="preserve">Dr. Lennor M. Johnson </t>
  </si>
  <si>
    <t>2026*</t>
  </si>
  <si>
    <t>Dr. Johnson started JUNE 2026</t>
  </si>
  <si>
    <t>https://imperial.community.diligentoneplatform.com/Portal/</t>
  </si>
  <si>
    <t>TBD - CURRENT PRESIDENT IS NOW MIRA COSTA PRESIDENT</t>
  </si>
  <si>
    <t>https://www.socccd.edu/board-trustees</t>
  </si>
  <si>
    <t>Dr. Julianna M. Barnes</t>
  </si>
  <si>
    <t>949-582-4840</t>
  </si>
  <si>
    <t>South Orange County Community College DistrictOffice of the Chancellor, Third Floor, HS BuildingSaddleback College28000 Marguerite ParkwayMission Viejo, CA 92692</t>
  </si>
  <si>
    <t xml:space="preserve">Dr. Lonita Cordova </t>
  </si>
  <si>
    <t>jbarnes@soccd.edu</t>
  </si>
  <si>
    <t>Dr. John C. Hernandez</t>
  </si>
  <si>
    <t>johnhernandez@ivc.edu</t>
  </si>
  <si>
    <t>(949) 451-5100</t>
  </si>
  <si>
    <t>May need to double check pres email</t>
  </si>
  <si>
    <t>(949) 582-4722</t>
  </si>
  <si>
    <t>tfain@saddleback.edu</t>
  </si>
  <si>
    <t>Trish Fain</t>
  </si>
  <si>
    <t>President, Saddleback College28000 Marguerite Parkway, AGB 104Mission Viejo, CA 92692</t>
  </si>
  <si>
    <t>scpresident@saddleback.edu</t>
  </si>
  <si>
    <t>https://www.ltcc.edu/about/board-of-trustees/index.php</t>
  </si>
  <si>
    <t>Jeff DeFranco</t>
  </si>
  <si>
    <t>president announed resignation in March 2026</t>
  </si>
  <si>
    <t>https://www.lassencollege.edu/about-lcc/board-of-trustees/</t>
  </si>
  <si>
    <t>Carie Camacho</t>
  </si>
  <si>
    <t>ccamacho@lassencollege.edu</t>
  </si>
  <si>
    <t>(530) 251-8820</t>
  </si>
  <si>
    <t>Superintendent/President
Lassen Community CollegeP.O. Box 3000Susanville, CA 96130</t>
  </si>
  <si>
    <t>Chauncine Stewart</t>
  </si>
  <si>
    <t>stewarcr@lasc.edu</t>
  </si>
  <si>
    <t xml:space="preserve"> President
Coalinga College
300 Cherry Lane
Coalinga, CA 93210</t>
  </si>
  <si>
    <t>President
Lemoore College
555 College Avenue
Lemoore, CA 93245</t>
  </si>
  <si>
    <t>https://www.lbcc.edu/board-trustees</t>
  </si>
  <si>
    <t xml:space="preserve">Dr. Mike Muñoz </t>
  </si>
  <si>
    <t>mmunoz@lbcc.edu</t>
  </si>
  <si>
    <t>(562) 938-4121</t>
  </si>
  <si>
    <t xml:space="preserve"> Office of the Superintendent-President, Long Beach City College, 4901 E. Carson Street, Long Beach, CA 90808</t>
  </si>
  <si>
    <t>Lauren Zale</t>
  </si>
  <si>
    <t>lzale@lbcc.edu</t>
  </si>
  <si>
    <t>https://www.mendocino.edu/board</t>
  </si>
  <si>
    <t>Dr. Timothy Karas</t>
  </si>
  <si>
    <t>tkaras@mendocino.edu</t>
  </si>
  <si>
    <t>Kelly Keyes</t>
  </si>
  <si>
    <t>kkeyes@mendocino.edu</t>
  </si>
  <si>
    <t>707-468-3071</t>
  </si>
  <si>
    <t>Mendocino College
1000 Hensley Creek Road
Ukiah, CA 95482-0300</t>
  </si>
  <si>
    <t>https://www.mccd.edu/about-merced-college/leadership/board-of-trustees/</t>
  </si>
  <si>
    <t>Dr. Chris Vitelli</t>
  </si>
  <si>
    <t>chris.vitelli@mccd.edu</t>
  </si>
  <si>
    <t>Krystal L Pollinger</t>
  </si>
  <si>
    <t>krystal.pollinger@mccd.edu</t>
  </si>
  <si>
    <t>Superintendent/President
Merced College
3600 M Street
Merced, CA 95348-2898</t>
  </si>
  <si>
    <t>https://www.miracosta.edu/office-of-the-president/board-of-trustees/index.html</t>
  </si>
  <si>
    <t>JBollerud@miracosta.edu</t>
  </si>
  <si>
    <t>Julie Bollerud</t>
  </si>
  <si>
    <t>760.795.6610</t>
  </si>
  <si>
    <t>ljohnson@miracosta.edu</t>
  </si>
  <si>
    <t>https://www.wvm.edu/board/</t>
  </si>
  <si>
    <t>Bradley Davis</t>
  </si>
  <si>
    <t>408-741-2421</t>
  </si>
  <si>
    <t>bradley.davis@westvalley.edu</t>
  </si>
  <si>
    <t>West Valley-Mission Community College District
Attn: Chancellor 
14000 Fruitvale Ave
Saratoga, CA 95070</t>
  </si>
  <si>
    <t>Dr. Seher Awan</t>
  </si>
  <si>
    <t>(408) 855-5123</t>
  </si>
  <si>
    <t>seher.awan@missioncollege.edu</t>
  </si>
  <si>
    <t>Marie Keith</t>
  </si>
  <si>
    <t>Marie.Keith@missioncollege.edu</t>
  </si>
  <si>
    <t>Office of the President
3000 Mission College Boulevard
Santa Clara, CA 95054-1804</t>
  </si>
  <si>
    <t>Dr. Jennifer Taylor-Mendoza</t>
  </si>
  <si>
    <t>Dr. Jennifer Taylor-Mendoza is the 13th and current president of West Valley College in Saratoga, California. She officially assumed the role on August 24, 2023, making history as the first African American educator to lead the college</t>
  </si>
  <si>
    <t>j.taylormendoza@westvalley.edu</t>
  </si>
  <si>
    <t>(408) 741-2668</t>
  </si>
  <si>
    <t>Elizabeth Tablan</t>
  </si>
  <si>
    <t>elizabeth.tablan@westvalley.edu</t>
  </si>
  <si>
    <t>West Valley CollegeATTN: Office of the President14000 Fruitvale AvenueSaratoga, CA 95070</t>
  </si>
  <si>
    <t>https://www.mpc.edu/about/leadership/board-of-trustees/index.html</t>
  </si>
  <si>
    <t>Dr. Marshall T. Fulbright, III</t>
  </si>
  <si>
    <t>mfulbright@mpc.edu</t>
  </si>
  <si>
    <t>(831) 646-4060</t>
  </si>
  <si>
    <t>Monterey Peninsula College, Attn: Office of the President, 980 Fremont Street, Monterey, CA 93940</t>
  </si>
  <si>
    <t>Heather Griffin</t>
  </si>
  <si>
    <t>hgriffin@mpc.edu</t>
  </si>
  <si>
    <t>Dr. Rick MacLennan</t>
  </si>
  <si>
    <t>rmaclennan@vcccd.edu</t>
  </si>
  <si>
    <t>805-652-5507</t>
  </si>
  <si>
    <t>761 East Daily Drive, Suite 200, Camarillo, CA 93010</t>
  </si>
  <si>
    <t>https://www.vcccd.edu/board-of-trustees</t>
  </si>
  <si>
    <t>Dr. Julius O. Sokenu</t>
  </si>
  <si>
    <t>Dr. Roberto Gonzalez</t>
  </si>
  <si>
    <t>Dr. Luca E. Lewis</t>
  </si>
  <si>
    <t>(805) 378-1407</t>
  </si>
  <si>
    <t>Office of the President
7075 Campus Road
Moorpark, 93021 CA</t>
  </si>
  <si>
    <t>Linda Resendiz</t>
  </si>
  <si>
    <t>jsokenu@vcccd.edu</t>
  </si>
  <si>
    <t>lresendiz@vcccd.edu</t>
  </si>
  <si>
    <t>Office of the President
4000 South Rose Avenue
Oxnard, 93033 CA</t>
  </si>
  <si>
    <t>rogonzalez@vcccd.edu</t>
  </si>
  <si>
    <t>(805) 678-5230</t>
  </si>
  <si>
    <t>Celestina (Cece) Chavez</t>
  </si>
  <si>
    <t>celestina_chavez1@vcccd.edu</t>
  </si>
  <si>
    <t>Office of the President
4667 Telegraph Road
Ventura, 93003 CA</t>
  </si>
  <si>
    <t>(805) 289-6460</t>
  </si>
  <si>
    <t>Andrea Rambo</t>
  </si>
  <si>
    <t>llewis@vcccd.edu</t>
  </si>
  <si>
    <t>arambo@vcccd.edu</t>
  </si>
  <si>
    <t>https://rccd.edu/bot/index.html</t>
  </si>
  <si>
    <t xml:space="preserve">Chancellor tranistion underway - EA to current chancellor is Rachelle Arispe </t>
  </si>
  <si>
    <t>(951) 222-8795​</t>
  </si>
  <si>
    <t xml:space="preserve">Rachelle.Arisbe@rccd.edu  </t>
  </si>
  <si>
    <t>Rachelle.Arisbe@rccd.edu</t>
  </si>
  <si>
    <t>SEARCH IN PLANNING/PROCESS - EXECUTIVE ASSISTANT CONTACT INFO</t>
  </si>
  <si>
    <t xml:space="preserve">Office of the ChancellorRiverside Community College District3801 Market StreetRiverside, CA 92501
</t>
  </si>
  <si>
    <t>Office of the ChancellorRiverside Community College District3801 Market StreetRiverside, CA 92501</t>
  </si>
  <si>
    <t>Dr. Rudy Besikof</t>
  </si>
  <si>
    <t>Irene Morales</t>
  </si>
  <si>
    <t>(951) 571-6161</t>
  </si>
  <si>
    <t>rudy.besikof@mvc.edu</t>
  </si>
  <si>
    <t>Irene.Morales@mvc.edu</t>
  </si>
  <si>
    <t>Office of the President
Moreno Valley College
16130 Lasselle Street
Moreno Valley, CA 92551</t>
  </si>
  <si>
    <t>Dr.  Monica Green</t>
  </si>
  <si>
    <t>Denise Terrazas</t>
  </si>
  <si>
    <t>denise.terrazas@norcocollege.edu</t>
  </si>
  <si>
    <t>monica.green@norcocollege.edu</t>
  </si>
  <si>
    <t>(951) 372-7015</t>
  </si>
  <si>
    <t>Office of the President
2001 Third Street
Norco, CA 92860-2627</t>
  </si>
  <si>
    <t>Dr. Eric Bishop</t>
  </si>
  <si>
    <t>(951) 222-8804</t>
  </si>
  <si>
    <t>Eric.Bishop@rcc.edu</t>
  </si>
  <si>
    <t>Heidi Gonsier</t>
  </si>
  <si>
    <t>heidi.gonsier@rccd.edu</t>
  </si>
  <si>
    <t>Office of the President
Riverside City College4800 Magnolia AvenueRiverside, CA 92506</t>
  </si>
  <si>
    <t>https://www.mtsac.edu/governance/trustees/index.html</t>
  </si>
  <si>
    <t>Dr. Martha Garcia</t>
  </si>
  <si>
    <t>Dr. Garcia is the first President of color for the College, as well as the second female President</t>
  </si>
  <si>
    <t>martha.garcia@mtsac.edu</t>
  </si>
  <si>
    <t>(909) 274-4250</t>
  </si>
  <si>
    <t>Office of the President
1100 N. Grand Ave
 Walnut, CA 91789</t>
  </si>
  <si>
    <t>Yadira Santiago</t>
  </si>
  <si>
    <t>yadira.santiago@mtsac.edu</t>
  </si>
  <si>
    <t>https://www.msjc.edu/boardoftrustees/</t>
  </si>
  <si>
    <t>Dr. Tawny Dotson</t>
  </si>
  <si>
    <t>Jacqua Morrison</t>
  </si>
  <si>
    <t>jmorrison@msjc.edu</t>
  </si>
  <si>
    <t>tdotson@msjc.edu</t>
  </si>
  <si>
    <t>951-487-3001</t>
  </si>
  <si>
    <t>President's Office
Mt. San Jacinto College
1499 N. State Street
San Jacinto, CA 92583</t>
  </si>
  <si>
    <t>https://www.napavalley.edu/about/board-of-trustees/index.html</t>
  </si>
  <si>
    <t>Dr. Gayle Pitman</t>
  </si>
  <si>
    <t>gayle.pitman@napavalley.edu</t>
  </si>
  <si>
    <t>(707)256-7160</t>
  </si>
  <si>
    <t>Grace Bungart</t>
  </si>
  <si>
    <t>grace.bungart@napavalley.edu</t>
  </si>
  <si>
    <t>Office of the President
Napa Valley College
2277 Napa-Vallejo Hwy
McPherson Administration Building, Room 1530
Napa, CA 94558</t>
  </si>
  <si>
    <t>https://www.ohlone.edu/board</t>
  </si>
  <si>
    <t>Charles S. Sasaki</t>
  </si>
  <si>
    <t>Edgar Hernandez</t>
  </si>
  <si>
    <t>ehernandez39@ohlone.edu</t>
  </si>
  <si>
    <t>Ohlone College
Office of the President/Superintendent
43600 Mission Boulevard
Fremont, CA 94539-5847</t>
  </si>
  <si>
    <t>(510) 659-6200</t>
  </si>
  <si>
    <t>https://www.paloverde.edu/board/index.html#gsc.tab=0</t>
  </si>
  <si>
    <t>SEARCH IN PROGRESS</t>
  </si>
  <si>
    <t>https://www.palomar.edu/governingboard/</t>
  </si>
  <si>
    <t>Tina Recalde</t>
  </si>
  <si>
    <t>Kelly Miller</t>
  </si>
  <si>
    <t>kmiller4@palomar.edu</t>
  </si>
  <si>
    <t>(760) 744-1150 ext 2826</t>
  </si>
  <si>
    <t>trecalde@palomar.edu</t>
  </si>
  <si>
    <t>Palomar Community College District
Office of the Superintendent/President
1140 West Mission RoadSan Marcos, CA 92069-1487</t>
  </si>
  <si>
    <t>https://www.pasadena.edu/about/board-of-trustees/index.php</t>
  </si>
  <si>
    <t>Dr. José A. Gómez</t>
  </si>
  <si>
    <t>(626) 585-7201</t>
  </si>
  <si>
    <t>Pasadena City College
Office of the President (Room C-235)
1570 E. Colorado Blvd.
Pasadena, CA 91106</t>
  </si>
  <si>
    <t>pccprez@pasadena.edu</t>
  </si>
  <si>
    <t>Armine Galukyan</t>
  </si>
  <si>
    <t>agalukyan@pasadena.edu</t>
  </si>
  <si>
    <t>Dr. Primavera Monarrez</t>
  </si>
  <si>
    <t>559-791-2316</t>
  </si>
  <si>
    <t>Maribel Hernandez</t>
  </si>
  <si>
    <t>maribel.hernandez@portervillecollege.edu</t>
  </si>
  <si>
    <t>pmonarrez@portervillecollege.edu </t>
  </si>
  <si>
    <t>Office of the President
Porterville College
100 East College Avenue
Porterville, CA 93257</t>
  </si>
  <si>
    <t>https://www.riohondo.edu/administration/board-of-trustees/</t>
  </si>
  <si>
    <t>Teresa Dreyfuss</t>
  </si>
  <si>
    <t>Office of the President
3600 Workman Mill Road
Whittier, CA 90601-1699</t>
  </si>
  <si>
    <t>(562) 908-3403</t>
  </si>
  <si>
    <t>Reneé Gallegos</t>
  </si>
  <si>
    <t>RDGallegos@riohondo.edu</t>
  </si>
  <si>
    <t>tdreyfuss@riohondo.edu</t>
  </si>
  <si>
    <t>Gregory A. Smith</t>
  </si>
  <si>
    <t>https://www.sdccd.edu/about/leadership/board-of-trustees/index.aspx</t>
  </si>
  <si>
    <t>619-388-6957</t>
  </si>
  <si>
    <t>San Diego Community College District
Office of the Chancellor
3375 Camino Del Rio South
San Diego, California 92108</t>
  </si>
  <si>
    <t>gsmith@sdccd.edu</t>
  </si>
  <si>
    <t>Dr. Ricky Shabazz</t>
  </si>
  <si>
    <t>Angelle Maua</t>
  </si>
  <si>
    <t>amaua@sdccd.edu</t>
  </si>
  <si>
    <t>rshabazz@sdccd.edu</t>
  </si>
  <si>
    <t>(619) 388-3453</t>
  </si>
  <si>
    <t>Office of the President
San Diego City College1313 Park BlvdSan Diego, CA 92101</t>
  </si>
  <si>
    <t>Dr. Tina M. King</t>
  </si>
  <si>
    <t>tking@sdccd.edu</t>
  </si>
  <si>
    <t>(619) 388-4990</t>
  </si>
  <si>
    <t>Desiree (Dee Dee) Redulla</t>
  </si>
  <si>
    <t>dredulla@sdccd.edu</t>
  </si>
  <si>
    <t xml:space="preserve">
Office of the Presidnt
 4343 Ocean View Blvd., San Diego, CA 92113</t>
  </si>
  <si>
    <t>ahands@sdccd.edu</t>
  </si>
  <si>
    <t>Dr. Ashanti T. Hands</t>
  </si>
  <si>
    <t>(619) 388-2721</t>
  </si>
  <si>
    <t>Office of the President
 San Diego Mesa College 7250 Mesa College Drive A-104, 
San Diego, CA 92111</t>
  </si>
  <si>
    <t>Sara Beth Cain</t>
  </si>
  <si>
    <t>scain@sdccd.edu</t>
  </si>
  <si>
    <t>Dr. P. Wesley Lundburg</t>
  </si>
  <si>
    <t>wlundburg@sdccd.edu</t>
  </si>
  <si>
    <t>(619) 388-7834</t>
  </si>
  <si>
    <t>Office of the President (N-204)
San Diego Miramar College
10440 Black Mountain Road
San Diego, CA 92126</t>
  </si>
  <si>
    <t>Rachel Martinez</t>
  </si>
  <si>
    <t>rmartine@sdccd.edu</t>
  </si>
  <si>
    <t>https://www.deltacollege.edu/about/offices/board-trustees</t>
  </si>
  <si>
    <t>Dr. Lisa Aguilera Lawrenson</t>
  </si>
  <si>
    <t>In 2022 the president became the first Latina superintendent/president in the history of Delta College.</t>
  </si>
  <si>
    <t>Robin Phares</t>
  </si>
  <si>
    <t>robin.phares@deltacollege.edu</t>
  </si>
  <si>
    <t>Superintendent/President
San Joaquin Delta CollegeHorton Administration Building, Room 103
5151 Pacific Avenue
Stockton, CA 95207</t>
  </si>
  <si>
    <t>lisa.lawrenson@deltacollege.edu</t>
  </si>
  <si>
    <t>(209) 954-5151, Ext. 5018</t>
  </si>
  <si>
    <t>Marvin Martinez</t>
  </si>
  <si>
    <t>martinez_marvin@rsccd.edu</t>
  </si>
  <si>
    <t>714-480-7450</t>
  </si>
  <si>
    <t>Rancho Santiago Community College District
Office of the Chancellor
2323 N. Broadway, Suite 410
Santa Ana, CA 92706</t>
  </si>
  <si>
    <t>https://rsccd.edu/BOT/</t>
  </si>
  <si>
    <t>Dr. Annebelle Nery</t>
  </si>
  <si>
    <t>Leisa Schumacher</t>
  </si>
  <si>
    <t>schumacher_leisa@sac.edu</t>
  </si>
  <si>
    <t>(714) 564-6965</t>
  </si>
  <si>
    <t>Nery_Annebelle@sac.edu</t>
  </si>
  <si>
    <t>President's Office
Santa Ana College
1530 W. 17th St.
Santa Ana, CA 92706-3398</t>
  </si>
  <si>
    <t>Dr. Jeannie G. Kim</t>
  </si>
  <si>
    <t>kelly_ann@sccollege.edu</t>
  </si>
  <si>
    <t>Ann Kelly</t>
  </si>
  <si>
    <t>714-628-4930</t>
  </si>
  <si>
    <t>kim_jeannie@sccollege.edu</t>
  </si>
  <si>
    <t>Office of the President
Santiago Canyon College
8045 E. Chapman Avenue
Orange, CA 92869-4512</t>
  </si>
  <si>
    <t>Dr. Erika Endrijonas</t>
  </si>
  <si>
    <t>Superintendent/President's Office
Santa Barbara City College
721 Cliff Drive
Santa Barbara, CA 93109</t>
  </si>
  <si>
    <t>eaendrijonas@pipeline.sbcc.edu</t>
  </si>
  <si>
    <t>(805) 730-4011</t>
  </si>
  <si>
    <t>Rita Boss</t>
  </si>
  <si>
    <t>rsboss@pipeline.sbcc.edu</t>
  </si>
  <si>
    <t>jeffery_kathryn@smc.edu</t>
  </si>
  <si>
    <t>Dr. Kathryn E. Jeffery</t>
  </si>
  <si>
    <t>(310) 434-4200</t>
  </si>
  <si>
    <t>Lisa Rose</t>
  </si>
  <si>
    <t>rose_lisa@smc.edu</t>
  </si>
  <si>
    <t>Office of the Superintendent/President
 Santa Monica College
1900 Pico Blvd.
Santa Monica, CA 90404</t>
  </si>
  <si>
    <t>https://admin.smc.edu/administration/governance/board-of-trustees/</t>
  </si>
  <si>
    <t>https://www.sbcc.edu/boardoftrustees/</t>
  </si>
  <si>
    <t>https://trustees.santarosa.edu/</t>
  </si>
  <si>
    <t>Dr. Angélica Garcia</t>
  </si>
  <si>
    <t>angelicagarcia@santarosa.edu</t>
  </si>
  <si>
    <t>(707) 527-4431</t>
  </si>
  <si>
    <t>Office of the President
1501 Mendocino Avenue, Santa Rosa, CA 95401-4396</t>
  </si>
  <si>
    <t>kfronda@santarosa</t>
  </si>
  <si>
    <t xml:space="preserve">Keilani Fronda </t>
  </si>
  <si>
    <t>https://www.shastacollege.edu/about/leadership-organization/board-of-trustees/</t>
  </si>
  <si>
    <t>Dr. Frank Nigro</t>
  </si>
  <si>
    <t>(530) 242-7510</t>
  </si>
  <si>
    <t>Shasta College
Office of the President
11555 Old Oregon Trail
P.O. Box 496006</t>
  </si>
  <si>
    <t>fnigro@shastacollege.edu</t>
  </si>
  <si>
    <t>Mimi Koh</t>
  </si>
  <si>
    <t>mkoh@shastacollege.edu</t>
  </si>
  <si>
    <t>https://www.sierracollege.edu/administration/board-of-trustees/</t>
  </si>
  <si>
    <t>Willy Duncan</t>
  </si>
  <si>
    <t>(916) 660-7000</t>
  </si>
  <si>
    <t>Stacey Carroll</t>
  </si>
  <si>
    <t>scarroll8@sierracollege.edu</t>
  </si>
  <si>
    <t>wduncan@sierracollege.edu</t>
  </si>
  <si>
    <t>Office of the President
Sierra College
5000 Rocklin Road, Rocklin, CA 95677</t>
  </si>
  <si>
    <t>https://www.solano.edu/boards-committees/sccd-governing-board/index.php</t>
  </si>
  <si>
    <t>Dr. Kellie Sims Butler</t>
  </si>
  <si>
    <t>Tiffany Casimere</t>
  </si>
  <si>
    <t>Tiffany.Casimere@solano.edu</t>
  </si>
  <si>
    <t>kellie.butler@solano.edu</t>
  </si>
  <si>
    <t>(707) 864-7000 Extension:7299</t>
  </si>
  <si>
    <t>Superintendent-President
Solano Community College
4000 Suisun Valley RdFairfield, CA 94534</t>
  </si>
  <si>
    <t>https://www.swccd.edu/about-swc/leadership/governing-board/index.aspx</t>
  </si>
  <si>
    <t>Dr. Mark Sanchez</t>
  </si>
  <si>
    <t>msanchez@swccd.edu</t>
  </si>
  <si>
    <t>(619) 421-6700</t>
  </si>
  <si>
    <t>Southwestern College
Attn: Office of the Superintendent/President
900 Otay Lakes Road
Chula Vista, CA 91910-7299</t>
  </si>
  <si>
    <t>Marc Colcleaser</t>
  </si>
  <si>
    <t>mcolcleaser@swccd.edu</t>
  </si>
  <si>
    <t>https://www.taftcollege.edu/o/campusleadership/page/board-members</t>
  </si>
  <si>
    <t xml:space="preserve">Dr. Leslie Minor </t>
  </si>
  <si>
    <t>661-763-7710</t>
  </si>
  <si>
    <t>lminor@taftcollege.edu</t>
  </si>
  <si>
    <t>Office of the President
Taft College
29 Cougar Court
Taft, CA 93268</t>
  </si>
  <si>
    <t>https://www.vvc.edu/board-trustees</t>
  </si>
  <si>
    <t>Dr. Daniel Walden</t>
  </si>
  <si>
    <t>Daniel.Walden@vvc.edu</t>
  </si>
  <si>
    <t>(760) 245-4271 ext. 2922</t>
  </si>
  <si>
    <t>President's Office, Victor Valley College, 18422 Bear Valley Road, Victorville, CA 92395</t>
  </si>
  <si>
    <t>Karissa Marino Morehouse</t>
  </si>
  <si>
    <t>Claudette Michel</t>
  </si>
  <si>
    <t>cmichel3@yccd.edu</t>
  </si>
  <si>
    <t>530-741-6707</t>
  </si>
  <si>
    <t>kmorehouse@yccd.edu</t>
  </si>
  <si>
    <t>Office of the President
Yuba College
2088 North Beale Road
Marysville, CA 95901</t>
  </si>
  <si>
    <t>Dr. Lizette Navarette</t>
  </si>
  <si>
    <t>lnavarette@yccd.edu</t>
  </si>
  <si>
    <t>(530) 661-5710</t>
  </si>
  <si>
    <t>Office of the President
 PresidentWoodland Community College
2300 E. Gibson Road
Woodland, CA 95776</t>
  </si>
  <si>
    <t>Gema Diaz</t>
  </si>
  <si>
    <t>gdiaz@yccd.edu</t>
  </si>
  <si>
    <t>https://www.yccd.edu/board/</t>
  </si>
  <si>
    <t>Dr. Shouan Pan</t>
  </si>
  <si>
    <t>span@yccd.edu</t>
  </si>
  <si>
    <t xml:space="preserve">(530) 741-6971 </t>
  </si>
  <si>
    <t>Yuba Community College District
Attn:  Chancellor
 3301 E. Onstott Rd.
Yuba City, CA 95991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</si>
</sst>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yyyy\-mm\-dd"/>
    <numFmt numFmtId="165" formatCode="\$#,##0"/>
    <numFmt numFmtId="166" formatCode="m/d/yyyy;@"/>
    <numFmt numFmtId="167" formatCode="[$-409]mmm\-yy;@"/>
    <numFmt numFmtId="168" formatCode="[$-409]d\-mmm\-yy;@"/>
  </numFmts>
  <fonts count="52">
    <font>
      <sz val="11"/>
      <name val="Carlito"/>
    </font>
    <font>
      <b/>
      <sz val="11"/>
      <color rgb="FFFFFFFF"/>
      <name val="Carlito"/>
    </font>
    <font>
      <b/>
      <sz val="18"/>
      <color rgb="FFFFFFFF"/>
      <name val="Carlito"/>
    </font>
    <font>
      <b/>
      <sz val="11"/>
      <name val="Carlito"/>
    </font>
    <font>
      <b/>
      <sz val="16"/>
      <color rgb="FFFFFFFF"/>
      <name val="Carlito"/>
    </font>
    <font>
      <sz val="11"/>
      <name val="Carlito"/>
    </font>
    <font>
      <sz val="8"/>
      <name val="Carlito"/>
    </font>
    <font>
      <u/>
      <sz val="11"/>
      <color theme="10"/>
      <name val="Carlito"/>
    </font>
    <font>
      <b/>
      <sz val="9"/>
      <color rgb="FFFFFFFF"/>
      <name val="Arial"/>
      <family val="2"/>
    </font>
    <font>
      <sz val="9"/>
      <name val="Arial"/>
      <family val="2"/>
    </font>
    <font>
      <sz val="9"/>
      <color theme="1"/>
      <name val="Arial"/>
      <family val="2"/>
    </font>
    <font>
      <sz val="9"/>
      <color rgb="FF212529"/>
      <name val="Arial"/>
      <family val="2"/>
    </font>
    <font>
      <sz val="9"/>
      <color rgb="FF2D2E2E"/>
      <name val="Arial"/>
      <family val="2"/>
    </font>
    <font>
      <sz val="9"/>
      <name val="Carlito"/>
    </font>
    <font>
      <b/>
      <sz val="9"/>
      <color rgb="FFFF0000"/>
      <name val="Arial"/>
      <family val="2"/>
    </font>
    <font>
      <sz val="9"/>
      <color rgb="FF002E6D"/>
      <name val="Arial"/>
      <family val="2"/>
    </font>
    <font>
      <sz val="9"/>
      <color rgb="FF000000"/>
      <name val="Arial"/>
      <family val="2"/>
    </font>
    <font>
      <sz val="9"/>
      <color rgb="FFFF0000"/>
      <name val="Arial"/>
      <family val="2"/>
    </font>
    <font>
      <b/>
      <sz val="9"/>
      <color theme="8" tint="0.39997558519241921"/>
      <name val="Arial"/>
      <family val="2"/>
    </font>
    <font>
      <u/>
      <sz val="9"/>
      <color theme="10"/>
      <name val="Arial"/>
      <family val="2"/>
    </font>
    <font>
      <sz val="9"/>
      <color rgb="FF444444"/>
      <name val="Arial"/>
      <family val="2"/>
    </font>
    <font>
      <b/>
      <u/>
      <sz val="9"/>
      <color theme="8" tint="0.39997558519241921"/>
      <name val="Arial"/>
      <family val="2"/>
    </font>
    <font>
      <sz val="9"/>
      <color rgb="FF474747"/>
      <name val="Arial"/>
      <family val="2"/>
    </font>
    <font>
      <sz val="9"/>
      <color rgb="FF263746"/>
      <name val="Arial"/>
      <family val="2"/>
    </font>
    <font>
      <sz val="9"/>
      <color rgb="FF006225"/>
      <name val="Arial"/>
      <family val="2"/>
    </font>
    <font>
      <sz val="9"/>
      <color rgb="FF2A465E"/>
      <name val="Arial"/>
      <family val="2"/>
    </font>
    <font>
      <u/>
      <sz val="9"/>
      <color theme="10"/>
      <name val="Carlito"/>
    </font>
    <font>
      <sz val="9"/>
      <color rgb="FF3D3D3D"/>
      <name val="Arial"/>
      <family val="2"/>
    </font>
    <font>
      <sz val="9"/>
      <color rgb="FF000000"/>
      <name val="Tahoma"/>
      <family val="2"/>
    </font>
    <font>
      <sz val="9"/>
      <color rgb="FF333333"/>
      <name val="Arial"/>
      <family val="2"/>
    </font>
    <font>
      <sz val="9"/>
      <color rgb="FF565656"/>
      <name val="Arial"/>
      <family val="2"/>
    </font>
    <font>
      <sz val="12"/>
      <name val="Arial"/>
      <family val="2"/>
    </font>
    <font>
      <b/>
      <u/>
      <sz val="9"/>
      <color rgb="FFFF0000"/>
      <name val="Arial"/>
      <family val="2"/>
    </font>
    <font>
      <sz val="9"/>
      <color rgb="FF1F1F1F"/>
      <name val="Arial"/>
      <family val="2"/>
    </font>
    <font>
      <b/>
      <sz val="9"/>
      <color rgb="FF212529"/>
      <name val="Open Sans"/>
    </font>
    <font>
      <b/>
      <sz val="9"/>
      <color rgb="FF141414"/>
      <name val="Arial"/>
      <family val="2"/>
    </font>
    <font>
      <b/>
      <sz val="9"/>
      <color rgb="FF252C26"/>
      <name val="Arial"/>
      <family val="2"/>
    </font>
    <font>
      <sz val="9"/>
      <color rgb="FF222222"/>
      <name val="Arial"/>
      <family val="2"/>
    </font>
    <font>
      <sz val="11"/>
      <color rgb="FF000000"/>
      <name val="Arial"/>
      <family val="2"/>
    </font>
    <font>
      <sz val="12"/>
      <color rgb="FF404040"/>
      <name val="Source Sans Pro"/>
      <family val="2"/>
    </font>
    <font>
      <b/>
      <sz val="14"/>
      <color rgb="FF212529"/>
      <name val="Arial"/>
      <family val="2"/>
    </font>
    <font>
      <u/>
      <sz val="11"/>
      <color rgb="FFFF0000"/>
      <name val="Carlito"/>
    </font>
    <font>
      <u/>
      <sz val="9"/>
      <color rgb="FFFF0000"/>
      <name val="Arial"/>
      <family val="2"/>
    </font>
    <font>
      <b/>
      <u/>
      <sz val="11"/>
      <color rgb="FFFF0000"/>
      <name val="Carlito"/>
    </font>
    <font>
      <sz val="12"/>
      <color rgb="FF333333"/>
      <name val="Arial"/>
      <family val="2"/>
    </font>
    <font>
      <b/>
      <sz val="12"/>
      <color rgb="FF272727"/>
      <name val="Arial"/>
      <family val="2"/>
    </font>
    <font>
      <sz val="9"/>
      <color rgb="FF4A4A4A"/>
      <name val="Arial"/>
      <family val="2"/>
    </font>
    <font>
      <sz val="9"/>
      <color rgb="FF212529"/>
      <name val="Arial"/>
      <family val="2"/>
    </font>
    <font>
      <sz val="9"/>
      <color rgb="FF2B2B2B"/>
      <name val="Arial"/>
      <family val="2"/>
    </font>
    <font>
      <sz val="9"/>
      <color rgb="FF242526"/>
      <name val="Arial"/>
      <family val="2"/>
    </font>
    <font>
      <b/>
      <sz val="12"/>
      <color rgb="FF4D4D4F"/>
      <name val="Segoe UI"/>
      <family val="2"/>
    </font>
    <font>
      <sz val="14"/>
      <color rgb="FF000000"/>
      <name val="Times New Roman"/>
      <family val="1"/>
    </font>
  </fonts>
  <fills count="11">
    <fill>
      <patternFill patternType="none"/>
    </fill>
    <fill>
      <patternFill patternType="gray125"/>
    </fill>
    <fill>
      <patternFill patternType="solid">
        <fgColor rgb="FF1D3557"/>
      </patternFill>
    </fill>
    <fill>
      <patternFill patternType="solid">
        <fgColor rgb="FFE8EEF5"/>
      </patternFill>
    </fill>
    <fill>
      <patternFill patternType="solid">
        <fgColor rgb="FFFFFFFF"/>
      </patternFill>
    </fill>
    <fill>
      <patternFill patternType="solid">
        <fgColor rgb="FFF4F1EB"/>
      </patternFill>
    </fill>
    <fill>
      <patternFill patternType="solid">
        <fgColor rgb="FF5D3FD3"/>
      </patternFill>
    </fill>
    <fill>
      <patternFill patternType="solid">
        <fgColor theme="4" tint="0.79998168889431442"/>
        <bgColor theme="4" tint="0.79998168889431442"/>
      </patternFill>
    </fill>
    <fill>
      <patternFill patternType="solid">
        <fgColor rgb="FFFFFFFF"/>
        <bgColor indexed="64"/>
      </patternFill>
    </fill>
    <fill>
      <patternFill patternType="solid">
        <fgColor rgb="FFF0F0F0"/>
        <bgColor indexed="64"/>
      </patternFill>
    </fill>
    <fill>
      <patternFill patternType="solid">
        <fgColor theme="0"/>
        <bgColor theme="4" tint="0.79998168889431442"/>
      </patternFill>
    </fill>
  </fills>
  <borders count="9">
    <border>
      <left/>
      <right/>
      <top/>
      <bottom/>
      <diagonal/>
    </border>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n">
        <color theme="4" tint="0.39997558519241921"/>
      </top>
      <bottom/>
      <diagonal/>
    </border>
    <border>
      <left/>
      <right style="thin">
        <color theme="4" tint="0.39997558519241921"/>
      </right>
      <top style="thin">
        <color theme="4" tint="0.39997558519241921"/>
      </top>
      <bottom/>
      <diagonal/>
    </border>
    <border>
      <left/>
      <right/>
      <top/>
      <bottom style="medium">
        <color rgb="FF000000"/>
      </bottom>
      <diagonal/>
    </border>
    <border>
      <left/>
      <right/>
      <top/>
      <bottom style="medium">
        <color rgb="FFD2D2D2"/>
      </bottom>
      <diagonal/>
    </border>
    <border>
      <left/>
      <right/>
      <top/>
      <bottom style="thick">
        <color rgb="FFD1D3D4"/>
      </bottom>
      <diagonal/>
    </border>
  </borders>
  <cellStyleXfs count="9">
    <xf numFmtId="0" fontId="0" fillId="0" borderId="0"/>
    <xf numFmtId="0" fontId="5" fillId="0" borderId="1"/>
    <xf numFmtId="0" fontId="5" fillId="0" borderId="1"/>
    <xf numFmtId="0" fontId="5" fillId="0" borderId="1"/>
    <xf numFmtId="0" fontId="5" fillId="0" borderId="1"/>
    <xf numFmtId="0" fontId="5" fillId="0" borderId="1"/>
    <xf numFmtId="0" fontId="7" fillId="0" borderId="0" applyNumberFormat="0" applyFill="0" applyBorder="0" applyAlignment="0" applyProtection="0"/>
    <xf numFmtId="0" fontId="5" fillId="0" borderId="1"/>
    <xf numFmtId="0" fontId="5" fillId="0" borderId="1"/>
  </cellStyleXfs>
  <cellXfs count="172">
    <xf numFmtId="0" fontId="0" fillId="0" borderId="0" xfId="0"/>
    <xf numFmtId="0" fontId="1" fillId="2" borderId="0" xfId="0" applyFont="1" applyFill="1" applyAlignment="1">
      <alignment wrapText="1"/>
    </xf>
    <xf numFmtId="0" fontId="1" fillId="2" borderId="0" xfId="0" applyFont="1" applyFill="1" applyAlignment="1">
      <alignment horizontal="center" vertical="center" wrapText="1"/>
    </xf>
    <xf numFmtId="0" fontId="0" fillId="0" borderId="0" xfId="0" applyAlignment="1">
      <alignment wrapText="1"/>
    </xf>
    <xf numFmtId="164" fontId="0" fillId="0" borderId="0" xfId="0" applyNumberFormat="1" applyAlignment="1">
      <alignment wrapText="1"/>
    </xf>
    <xf numFmtId="164" fontId="0" fillId="0" borderId="0" xfId="0" applyNumberFormat="1"/>
    <xf numFmtId="165" fontId="0" fillId="0" borderId="0" xfId="0" applyNumberFormat="1" applyAlignment="1">
      <alignment wrapText="1"/>
    </xf>
    <xf numFmtId="165" fontId="0" fillId="0" borderId="0" xfId="0" applyNumberFormat="1"/>
    <xf numFmtId="9" fontId="0" fillId="0" borderId="0" xfId="0" applyNumberFormat="1" applyAlignment="1">
      <alignment wrapText="1"/>
    </xf>
    <xf numFmtId="9" fontId="0" fillId="0" borderId="0" xfId="0" applyNumberFormat="1"/>
    <xf numFmtId="1" fontId="0" fillId="0" borderId="0" xfId="0" applyNumberFormat="1"/>
    <xf numFmtId="0" fontId="3" fillId="3" borderId="0" xfId="0" applyFont="1" applyFill="1"/>
    <xf numFmtId="0" fontId="3" fillId="4" borderId="0" xfId="0" applyFont="1" applyFill="1"/>
    <xf numFmtId="165" fontId="3" fillId="4" borderId="0" xfId="0" applyNumberFormat="1" applyFont="1" applyFill="1"/>
    <xf numFmtId="0" fontId="0" fillId="5" borderId="0" xfId="0" applyFill="1"/>
    <xf numFmtId="0" fontId="7" fillId="0" borderId="1" xfId="6" applyBorder="1" applyAlignment="1">
      <alignment horizontal="center" vertical="center" wrapText="1"/>
    </xf>
    <xf numFmtId="0" fontId="8" fillId="2" borderId="0" xfId="0" applyFont="1" applyFill="1" applyAlignment="1">
      <alignment horizontal="center" vertical="center" wrapText="1"/>
    </xf>
    <xf numFmtId="0" fontId="9" fillId="0" borderId="0" xfId="0" applyFont="1" applyAlignment="1">
      <alignment horizontal="center" vertical="center"/>
    </xf>
    <xf numFmtId="0" fontId="9" fillId="0" borderId="0" xfId="0" applyFont="1" applyAlignment="1">
      <alignment horizontal="center" vertical="center" wrapText="1"/>
    </xf>
    <xf numFmtId="0" fontId="9" fillId="0" borderId="1" xfId="2" applyFont="1" applyAlignment="1">
      <alignment horizontal="center" vertical="center" wrapText="1"/>
    </xf>
    <xf numFmtId="0" fontId="9" fillId="0" borderId="1" xfId="8" applyFont="1" applyAlignment="1">
      <alignment horizontal="center" vertical="center" wrapText="1"/>
    </xf>
    <xf numFmtId="167" fontId="9" fillId="0" borderId="0" xfId="0" applyNumberFormat="1" applyFont="1" applyAlignment="1">
      <alignment horizontal="center" vertical="center" wrapText="1"/>
    </xf>
    <xf numFmtId="0" fontId="10" fillId="0" borderId="1" xfId="0" applyFont="1" applyBorder="1" applyAlignment="1">
      <alignment horizontal="center" vertical="center" wrapText="1"/>
    </xf>
    <xf numFmtId="17" fontId="9" fillId="0" borderId="0" xfId="0" applyNumberFormat="1" applyFont="1" applyAlignment="1">
      <alignment horizontal="center" vertical="center" wrapText="1"/>
    </xf>
    <xf numFmtId="164" fontId="9" fillId="0" borderId="0" xfId="0" applyNumberFormat="1" applyFont="1" applyAlignment="1">
      <alignment horizontal="center" vertical="center" wrapText="1"/>
    </xf>
    <xf numFmtId="1" fontId="9" fillId="0" borderId="0" xfId="0" applyNumberFormat="1" applyFont="1" applyAlignment="1">
      <alignment horizontal="center" vertical="center" wrapText="1"/>
    </xf>
    <xf numFmtId="168" fontId="9" fillId="0" borderId="0" xfId="0" applyNumberFormat="1" applyFont="1" applyAlignment="1">
      <alignment horizontal="center" vertical="center" wrapText="1"/>
    </xf>
    <xf numFmtId="0" fontId="9" fillId="0" borderId="1" xfId="7" applyFont="1" applyAlignment="1">
      <alignment horizontal="center" vertical="center" wrapText="1"/>
    </xf>
    <xf numFmtId="0" fontId="11" fillId="0" borderId="0" xfId="0" applyFont="1" applyAlignment="1">
      <alignment horizontal="center" vertical="center" wrapText="1"/>
    </xf>
    <xf numFmtId="166" fontId="9" fillId="0" borderId="0" xfId="0" applyNumberFormat="1" applyFont="1" applyAlignment="1">
      <alignment horizontal="center" vertical="center" wrapText="1"/>
    </xf>
    <xf numFmtId="0" fontId="10" fillId="0" borderId="0" xfId="0" applyFont="1" applyAlignment="1">
      <alignment horizontal="center" vertical="center" wrapText="1"/>
    </xf>
    <xf numFmtId="0" fontId="10" fillId="0" borderId="4" xfId="0" applyFont="1" applyBorder="1" applyAlignment="1">
      <alignment horizontal="center" vertical="center" wrapText="1"/>
    </xf>
    <xf numFmtId="0" fontId="14" fillId="0" borderId="0" xfId="0" applyFont="1" applyAlignment="1">
      <alignment horizontal="center" vertical="center" wrapText="1"/>
    </xf>
    <xf numFmtId="0" fontId="10" fillId="7" borderId="2" xfId="0" applyFont="1" applyFill="1" applyBorder="1" applyAlignment="1">
      <alignment horizontal="center" vertical="center" wrapText="1"/>
    </xf>
    <xf numFmtId="0" fontId="10" fillId="7" borderId="1" xfId="0" applyFont="1" applyFill="1" applyBorder="1" applyAlignment="1">
      <alignment horizontal="center" vertical="center" wrapText="1"/>
    </xf>
    <xf numFmtId="164" fontId="10" fillId="7" borderId="2" xfId="0" applyNumberFormat="1" applyFont="1" applyFill="1" applyBorder="1" applyAlignment="1">
      <alignment horizontal="center" vertical="center" wrapText="1"/>
    </xf>
    <xf numFmtId="1" fontId="10" fillId="7" borderId="2" xfId="0" applyNumberFormat="1" applyFont="1" applyFill="1" applyBorder="1" applyAlignment="1">
      <alignment horizontal="center" vertical="center" wrapText="1"/>
    </xf>
    <xf numFmtId="0" fontId="10" fillId="7" borderId="3" xfId="0" applyFont="1" applyFill="1" applyBorder="1" applyAlignment="1">
      <alignment horizontal="center" vertical="center" wrapText="1"/>
    </xf>
    <xf numFmtId="0" fontId="10" fillId="0" borderId="2" xfId="0" applyFont="1" applyBorder="1" applyAlignment="1">
      <alignment horizontal="center" vertical="center" wrapText="1"/>
    </xf>
    <xf numFmtId="164" fontId="10" fillId="0" borderId="2" xfId="0" applyNumberFormat="1" applyFont="1" applyBorder="1" applyAlignment="1">
      <alignment horizontal="center" vertical="center" wrapText="1"/>
    </xf>
    <xf numFmtId="1" fontId="10" fillId="0" borderId="2" xfId="0" applyNumberFormat="1" applyFont="1" applyBorder="1" applyAlignment="1">
      <alignment horizontal="center" vertical="center" wrapText="1"/>
    </xf>
    <xf numFmtId="0" fontId="10" fillId="0" borderId="3" xfId="0" applyFont="1" applyBorder="1" applyAlignment="1">
      <alignment horizontal="center" vertical="center" wrapText="1"/>
    </xf>
    <xf numFmtId="164" fontId="10" fillId="0" borderId="4" xfId="0" applyNumberFormat="1" applyFont="1" applyBorder="1" applyAlignment="1">
      <alignment horizontal="center" vertical="center" wrapText="1"/>
    </xf>
    <xf numFmtId="1" fontId="10" fillId="0" borderId="4" xfId="0" applyNumberFormat="1" applyFont="1" applyBorder="1" applyAlignment="1">
      <alignment horizontal="center" vertical="center" wrapText="1"/>
    </xf>
    <xf numFmtId="0" fontId="10" fillId="0" borderId="5" xfId="0" applyFont="1" applyBorder="1" applyAlignment="1">
      <alignment horizontal="center" vertical="center" wrapText="1"/>
    </xf>
    <xf numFmtId="0" fontId="9" fillId="0" borderId="1" xfId="3" applyFont="1" applyAlignment="1">
      <alignment horizontal="center" vertical="center" wrapText="1"/>
    </xf>
    <xf numFmtId="0" fontId="9" fillId="0" borderId="1" xfId="5" applyFont="1" applyAlignment="1">
      <alignment horizontal="center" vertical="center" wrapText="1"/>
    </xf>
    <xf numFmtId="164" fontId="9" fillId="0" borderId="0" xfId="0" applyNumberFormat="1" applyFont="1" applyAlignment="1">
      <alignment horizontal="center" vertical="center"/>
    </xf>
    <xf numFmtId="1" fontId="9" fillId="0" borderId="0" xfId="0" applyNumberFormat="1" applyFont="1" applyAlignment="1">
      <alignment horizontal="center" vertical="center"/>
    </xf>
    <xf numFmtId="0" fontId="13" fillId="0" borderId="0" xfId="0" applyFont="1"/>
    <xf numFmtId="0" fontId="17" fillId="0" borderId="0" xfId="0" applyFont="1" applyAlignment="1">
      <alignment horizontal="center" vertical="center" wrapText="1"/>
    </xf>
    <xf numFmtId="0" fontId="18" fillId="0" borderId="0" xfId="0" applyFont="1" applyAlignment="1">
      <alignment horizontal="center" vertical="center" wrapText="1"/>
    </xf>
    <xf numFmtId="166" fontId="18" fillId="0" borderId="0" xfId="0" applyNumberFormat="1" applyFont="1" applyAlignment="1">
      <alignment horizontal="center" vertical="center" wrapText="1"/>
    </xf>
    <xf numFmtId="164" fontId="18" fillId="0" borderId="0" xfId="0" applyNumberFormat="1" applyFont="1" applyAlignment="1">
      <alignment horizontal="center" vertical="center" wrapText="1"/>
    </xf>
    <xf numFmtId="1" fontId="18" fillId="0" borderId="0" xfId="0" applyNumberFormat="1" applyFont="1" applyAlignment="1">
      <alignment horizontal="center" vertical="center" wrapText="1"/>
    </xf>
    <xf numFmtId="0" fontId="18" fillId="0" borderId="0" xfId="0" applyFont="1" applyAlignment="1">
      <alignment horizontal="center" vertical="center"/>
    </xf>
    <xf numFmtId="0" fontId="17" fillId="0" borderId="1" xfId="8" applyFont="1" applyAlignment="1">
      <alignment horizontal="center" vertical="center" wrapText="1"/>
    </xf>
    <xf numFmtId="0" fontId="19" fillId="0" borderId="1" xfId="6" applyFont="1" applyBorder="1" applyAlignment="1">
      <alignment horizontal="center" vertical="center" wrapText="1"/>
    </xf>
    <xf numFmtId="0" fontId="19" fillId="0" borderId="0" xfId="6" applyFont="1" applyAlignment="1">
      <alignment horizontal="center" vertical="center" wrapText="1"/>
    </xf>
    <xf numFmtId="0" fontId="22" fillId="0" borderId="0" xfId="0" applyFont="1"/>
    <xf numFmtId="0" fontId="12" fillId="0" borderId="0" xfId="0" applyFont="1" applyAlignment="1">
      <alignment horizontal="center" vertical="center" wrapText="1"/>
    </xf>
    <xf numFmtId="0" fontId="9" fillId="0" borderId="0" xfId="6" applyFont="1" applyAlignment="1">
      <alignment horizontal="center" vertical="center"/>
    </xf>
    <xf numFmtId="0" fontId="19" fillId="0" borderId="0" xfId="6" applyFont="1" applyAlignment="1">
      <alignment horizontal="center" vertical="center"/>
    </xf>
    <xf numFmtId="0" fontId="15" fillId="0" borderId="0" xfId="0" applyFont="1" applyAlignment="1">
      <alignment horizontal="center" vertical="center" wrapText="1"/>
    </xf>
    <xf numFmtId="0" fontId="16" fillId="8" borderId="0" xfId="0" applyFont="1" applyFill="1" applyAlignment="1">
      <alignment horizontal="center" vertical="center" wrapText="1"/>
    </xf>
    <xf numFmtId="0" fontId="19" fillId="0" borderId="1" xfId="6" applyFont="1" applyBorder="1" applyAlignment="1">
      <alignment horizontal="center" vertical="center"/>
    </xf>
    <xf numFmtId="0" fontId="20" fillId="0" borderId="0" xfId="0" applyFont="1" applyAlignment="1">
      <alignment horizontal="center" vertical="center"/>
    </xf>
    <xf numFmtId="0" fontId="9" fillId="9" borderId="0" xfId="0" applyFont="1" applyFill="1" applyAlignment="1">
      <alignment horizontal="center" vertical="center" wrapText="1"/>
    </xf>
    <xf numFmtId="0" fontId="22" fillId="0" borderId="0" xfId="0" applyFont="1" applyAlignment="1">
      <alignment horizontal="center" vertical="center"/>
    </xf>
    <xf numFmtId="0" fontId="23" fillId="0" borderId="1" xfId="0" applyFont="1" applyBorder="1" applyAlignment="1">
      <alignment horizontal="center" vertical="center" wrapText="1"/>
    </xf>
    <xf numFmtId="0" fontId="23" fillId="0" borderId="0" xfId="0" applyFont="1" applyAlignment="1">
      <alignment horizontal="center" vertical="center"/>
    </xf>
    <xf numFmtId="0" fontId="16" fillId="8" borderId="6" xfId="0" applyFont="1" applyFill="1" applyBorder="1" applyAlignment="1">
      <alignment horizontal="center" vertical="center" wrapText="1"/>
    </xf>
    <xf numFmtId="0" fontId="24" fillId="0" borderId="0" xfId="0" applyFont="1" applyAlignment="1">
      <alignment horizontal="center" vertical="center" wrapText="1"/>
    </xf>
    <xf numFmtId="0" fontId="25" fillId="0" borderId="0" xfId="0" applyFont="1" applyAlignment="1">
      <alignment horizontal="center" vertical="center" wrapText="1"/>
    </xf>
    <xf numFmtId="0" fontId="9" fillId="0" borderId="1" xfId="4" applyFont="1" applyAlignment="1">
      <alignment horizontal="center" vertical="center" wrapText="1"/>
    </xf>
    <xf numFmtId="0" fontId="21" fillId="0" borderId="1" xfId="6" applyFont="1" applyBorder="1" applyAlignment="1">
      <alignment horizontal="center" vertical="center" wrapText="1"/>
    </xf>
    <xf numFmtId="0" fontId="13" fillId="0" borderId="0" xfId="0" applyFont="1" applyAlignment="1">
      <alignment horizontal="center" vertical="center"/>
    </xf>
    <xf numFmtId="0" fontId="7" fillId="0" borderId="0" xfId="6" applyAlignment="1">
      <alignment horizontal="center" vertical="center" wrapText="1"/>
    </xf>
    <xf numFmtId="0" fontId="7" fillId="0" borderId="0" xfId="6"/>
    <xf numFmtId="0" fontId="26" fillId="0" borderId="1" xfId="6" applyFont="1" applyBorder="1" applyAlignment="1">
      <alignment horizontal="center" vertical="center" wrapText="1"/>
    </xf>
    <xf numFmtId="0" fontId="13" fillId="0" borderId="1" xfId="6" applyFont="1" applyBorder="1" applyAlignment="1">
      <alignment horizontal="center" vertical="center" wrapText="1"/>
    </xf>
    <xf numFmtId="0" fontId="9" fillId="0" borderId="0" xfId="6" applyFont="1" applyAlignment="1">
      <alignment horizontal="center" vertical="center" wrapText="1"/>
    </xf>
    <xf numFmtId="0" fontId="9" fillId="0" borderId="1" xfId="6" applyFont="1" applyBorder="1" applyAlignment="1">
      <alignment horizontal="center" vertical="center" wrapText="1"/>
    </xf>
    <xf numFmtId="0" fontId="27" fillId="0" borderId="0" xfId="0" applyFont="1" applyAlignment="1">
      <alignment wrapText="1"/>
    </xf>
    <xf numFmtId="0" fontId="9" fillId="0" borderId="0" xfId="0" applyFont="1"/>
    <xf numFmtId="0" fontId="9" fillId="0" borderId="0" xfId="0" applyFont="1" applyAlignment="1">
      <alignment wrapText="1"/>
    </xf>
    <xf numFmtId="0" fontId="13" fillId="0" borderId="1" xfId="0" applyFont="1" applyBorder="1" applyAlignment="1">
      <alignment horizontal="center" vertical="center"/>
    </xf>
    <xf numFmtId="0" fontId="13" fillId="0" borderId="1" xfId="0" applyFont="1" applyBorder="1"/>
    <xf numFmtId="0" fontId="26" fillId="0" borderId="0" xfId="6" applyFont="1"/>
    <xf numFmtId="0" fontId="26" fillId="0" borderId="0" xfId="6" applyFont="1" applyAlignment="1">
      <alignment horizontal="center" vertical="center" wrapText="1"/>
    </xf>
    <xf numFmtId="0" fontId="13" fillId="0" borderId="0" xfId="6" applyFont="1" applyAlignment="1">
      <alignment horizontal="center" vertical="center" wrapText="1"/>
    </xf>
    <xf numFmtId="0" fontId="13" fillId="0" borderId="0" xfId="6" applyFont="1"/>
    <xf numFmtId="0" fontId="13" fillId="0" borderId="0" xfId="6" applyFont="1" applyAlignment="1">
      <alignment horizontal="center" vertical="center"/>
    </xf>
    <xf numFmtId="0" fontId="16" fillId="0" borderId="0" xfId="0" applyFont="1"/>
    <xf numFmtId="0" fontId="28" fillId="0" borderId="0" xfId="0" applyFont="1" applyAlignment="1">
      <alignment horizontal="center" vertical="center"/>
    </xf>
    <xf numFmtId="0" fontId="7" fillId="0" borderId="4" xfId="6" applyBorder="1" applyAlignment="1">
      <alignment horizontal="center" vertical="center" wrapText="1"/>
    </xf>
    <xf numFmtId="0" fontId="26" fillId="0" borderId="4" xfId="6" applyFont="1" applyBorder="1" applyAlignment="1">
      <alignment horizontal="center" vertical="center" wrapText="1"/>
    </xf>
    <xf numFmtId="0" fontId="26" fillId="0" borderId="5" xfId="6" applyFont="1" applyBorder="1" applyAlignment="1">
      <alignment horizontal="center" vertical="center" wrapText="1"/>
    </xf>
    <xf numFmtId="0" fontId="10" fillId="0" borderId="1" xfId="6" applyFont="1" applyBorder="1" applyAlignment="1">
      <alignment horizontal="center" vertical="center" wrapText="1"/>
    </xf>
    <xf numFmtId="0" fontId="29" fillId="0" borderId="0" xfId="0" applyFont="1" applyAlignment="1">
      <alignment wrapText="1"/>
    </xf>
    <xf numFmtId="0" fontId="26" fillId="0" borderId="0" xfId="6" applyFont="1" applyAlignment="1">
      <alignment horizontal="center" vertical="center"/>
    </xf>
    <xf numFmtId="0" fontId="27" fillId="0" borderId="0" xfId="0" applyFont="1" applyAlignment="1">
      <alignment horizontal="center" vertical="center" wrapText="1"/>
    </xf>
    <xf numFmtId="0" fontId="16" fillId="0" borderId="0" xfId="0" applyFont="1" applyAlignment="1">
      <alignment horizontal="center" vertical="center"/>
    </xf>
    <xf numFmtId="0" fontId="0" fillId="0" borderId="0" xfId="0" applyAlignment="1">
      <alignment horizontal="center" vertical="center"/>
    </xf>
    <xf numFmtId="0" fontId="7" fillId="7" borderId="2" xfId="6" applyFill="1" applyBorder="1" applyAlignment="1">
      <alignment horizontal="center" vertical="center" wrapText="1"/>
    </xf>
    <xf numFmtId="0" fontId="31" fillId="0" borderId="0" xfId="0" applyFont="1"/>
    <xf numFmtId="0" fontId="32" fillId="0" borderId="1" xfId="6" applyFont="1" applyBorder="1" applyAlignment="1">
      <alignment horizontal="center" vertical="center" wrapText="1"/>
    </xf>
    <xf numFmtId="0" fontId="33" fillId="8" borderId="7" xfId="0" applyFont="1" applyFill="1" applyBorder="1" applyAlignment="1">
      <alignment horizontal="center" vertical="center" wrapText="1"/>
    </xf>
    <xf numFmtId="0" fontId="7" fillId="0" borderId="2" xfId="6" applyBorder="1" applyAlignment="1">
      <alignment horizontal="center" vertical="center" wrapText="1"/>
    </xf>
    <xf numFmtId="0" fontId="11" fillId="0" borderId="0" xfId="0" applyFont="1" applyAlignment="1">
      <alignment horizontal="center" vertical="center"/>
    </xf>
    <xf numFmtId="0" fontId="30" fillId="0" borderId="0" xfId="0" applyFont="1" applyAlignment="1">
      <alignment horizontal="center" vertical="center"/>
    </xf>
    <xf numFmtId="0" fontId="13" fillId="0" borderId="0" xfId="0" applyFont="1" applyAlignment="1">
      <alignment horizontal="center" vertical="center" wrapText="1"/>
    </xf>
    <xf numFmtId="0" fontId="34" fillId="0" borderId="0" xfId="0" applyFont="1" applyAlignment="1">
      <alignment horizontal="center" vertical="center"/>
    </xf>
    <xf numFmtId="0" fontId="35" fillId="0" borderId="0" xfId="0" applyFont="1" applyAlignment="1">
      <alignment horizontal="center" vertical="center"/>
    </xf>
    <xf numFmtId="0" fontId="36" fillId="0" borderId="0" xfId="0" applyFont="1" applyAlignment="1">
      <alignment horizontal="center" vertical="center"/>
    </xf>
    <xf numFmtId="0" fontId="26" fillId="0" borderId="2" xfId="6" applyFont="1" applyBorder="1" applyAlignment="1">
      <alignment horizontal="center" vertical="center" wrapText="1"/>
    </xf>
    <xf numFmtId="0" fontId="26" fillId="7" borderId="2" xfId="6" applyFont="1" applyFill="1" applyBorder="1" applyAlignment="1">
      <alignment horizontal="center" vertical="center" wrapText="1"/>
    </xf>
    <xf numFmtId="0" fontId="26" fillId="7" borderId="3" xfId="6" applyFont="1" applyFill="1" applyBorder="1" applyAlignment="1">
      <alignment horizontal="center" vertical="center" wrapText="1"/>
    </xf>
    <xf numFmtId="0" fontId="37" fillId="0" borderId="0" xfId="0" applyFont="1"/>
    <xf numFmtId="0" fontId="38" fillId="0" borderId="0" xfId="0" applyFont="1"/>
    <xf numFmtId="0" fontId="39" fillId="0" borderId="0" xfId="0" applyFont="1"/>
    <xf numFmtId="0" fontId="9" fillId="8" borderId="8" xfId="6" applyFont="1" applyFill="1" applyBorder="1" applyAlignment="1">
      <alignment horizontal="center" vertical="center" wrapText="1"/>
    </xf>
    <xf numFmtId="0" fontId="9" fillId="0" borderId="1" xfId="0" applyFont="1" applyBorder="1" applyAlignment="1">
      <alignment horizontal="center" vertical="center" wrapText="1"/>
    </xf>
    <xf numFmtId="0" fontId="40" fillId="0" borderId="0" xfId="0" applyFont="1"/>
    <xf numFmtId="0" fontId="10" fillId="7" borderId="4" xfId="0" applyFont="1" applyFill="1" applyBorder="1" applyAlignment="1">
      <alignment horizontal="center" vertical="center" wrapText="1"/>
    </xf>
    <xf numFmtId="0" fontId="9" fillId="0" borderId="1" xfId="0" applyFont="1" applyBorder="1" applyAlignment="1">
      <alignment horizontal="center" vertical="center"/>
    </xf>
    <xf numFmtId="164" fontId="10" fillId="7" borderId="4" xfId="0" applyNumberFormat="1" applyFont="1" applyFill="1" applyBorder="1" applyAlignment="1">
      <alignment horizontal="center" vertical="center" wrapText="1"/>
    </xf>
    <xf numFmtId="1" fontId="10" fillId="7" borderId="4" xfId="0" applyNumberFormat="1" applyFont="1" applyFill="1" applyBorder="1" applyAlignment="1">
      <alignment horizontal="center" vertical="center" wrapText="1"/>
    </xf>
    <xf numFmtId="0" fontId="7" fillId="0" borderId="0" xfId="6" applyFill="1" applyAlignment="1">
      <alignment horizontal="center" vertical="center" wrapText="1"/>
    </xf>
    <xf numFmtId="0" fontId="0" fillId="0" borderId="1" xfId="6" applyFont="1" applyBorder="1" applyAlignment="1">
      <alignment horizontal="center" vertical="center" wrapText="1"/>
    </xf>
    <xf numFmtId="0" fontId="5" fillId="0" borderId="1" xfId="6" applyFont="1" applyBorder="1" applyAlignment="1">
      <alignment horizontal="center" vertical="center" wrapText="1"/>
    </xf>
    <xf numFmtId="0" fontId="7" fillId="0" borderId="0" xfId="6" applyAlignment="1">
      <alignment wrapText="1"/>
    </xf>
    <xf numFmtId="0" fontId="17" fillId="0" borderId="1" xfId="3" applyFont="1" applyAlignment="1">
      <alignment horizontal="center" vertical="center" wrapText="1"/>
    </xf>
    <xf numFmtId="0" fontId="17" fillId="0" borderId="1" xfId="2" applyFont="1" applyAlignment="1">
      <alignment horizontal="center" vertical="center" wrapText="1"/>
    </xf>
    <xf numFmtId="0" fontId="41" fillId="0" borderId="1" xfId="6" applyFont="1" applyBorder="1" applyAlignment="1">
      <alignment horizontal="center" vertical="center" wrapText="1"/>
    </xf>
    <xf numFmtId="0" fontId="42" fillId="0" borderId="1" xfId="6" applyFont="1" applyBorder="1" applyAlignment="1">
      <alignment horizontal="center" vertical="center" wrapText="1"/>
    </xf>
    <xf numFmtId="166" fontId="17" fillId="0" borderId="0" xfId="0" applyNumberFormat="1" applyFont="1" applyAlignment="1">
      <alignment horizontal="center" vertical="center" wrapText="1"/>
    </xf>
    <xf numFmtId="164" fontId="17" fillId="0" borderId="0" xfId="0" applyNumberFormat="1" applyFont="1" applyAlignment="1">
      <alignment horizontal="center" vertical="center" wrapText="1"/>
    </xf>
    <xf numFmtId="1" fontId="17" fillId="0" borderId="0" xfId="0" applyNumberFormat="1" applyFont="1" applyAlignment="1">
      <alignment horizontal="center" vertical="center" wrapText="1"/>
    </xf>
    <xf numFmtId="0" fontId="17" fillId="0" borderId="0" xfId="0" applyFont="1" applyAlignment="1">
      <alignment horizontal="center" vertical="center"/>
    </xf>
    <xf numFmtId="0" fontId="14" fillId="0" borderId="1" xfId="3" applyFont="1" applyAlignment="1">
      <alignment horizontal="center" vertical="center" wrapText="1"/>
    </xf>
    <xf numFmtId="0" fontId="14" fillId="0" borderId="1" xfId="2" applyFont="1" applyAlignment="1">
      <alignment horizontal="center" vertical="center" wrapText="1"/>
    </xf>
    <xf numFmtId="0" fontId="43" fillId="0" borderId="1" xfId="6" applyFont="1" applyBorder="1" applyAlignment="1">
      <alignment horizontal="center" vertical="center" wrapText="1"/>
    </xf>
    <xf numFmtId="166" fontId="14" fillId="0" borderId="0" xfId="0" applyNumberFormat="1" applyFont="1" applyAlignment="1">
      <alignment horizontal="center" vertical="center" wrapText="1"/>
    </xf>
    <xf numFmtId="164" fontId="14" fillId="0" borderId="0" xfId="0" applyNumberFormat="1" applyFont="1" applyAlignment="1">
      <alignment horizontal="center" vertical="center" wrapText="1"/>
    </xf>
    <xf numFmtId="1" fontId="14" fillId="0" borderId="0" xfId="0" applyNumberFormat="1" applyFont="1" applyAlignment="1">
      <alignment horizontal="center" vertical="center" wrapText="1"/>
    </xf>
    <xf numFmtId="0" fontId="14" fillId="0" borderId="0" xfId="0" applyFont="1" applyAlignment="1">
      <alignment horizontal="center" vertical="center"/>
    </xf>
    <xf numFmtId="0" fontId="5" fillId="0" borderId="0" xfId="6" applyFont="1" applyAlignment="1">
      <alignment horizontal="center" vertical="center"/>
    </xf>
    <xf numFmtId="0" fontId="5" fillId="0" borderId="0" xfId="6" applyFont="1"/>
    <xf numFmtId="0" fontId="17" fillId="0" borderId="1" xfId="4" applyFont="1" applyAlignment="1">
      <alignment horizontal="center" vertical="center" wrapText="1"/>
    </xf>
    <xf numFmtId="0" fontId="44" fillId="0" borderId="0" xfId="0" applyFont="1"/>
    <xf numFmtId="0" fontId="45" fillId="0" borderId="0" xfId="0" applyFont="1" applyAlignment="1">
      <alignment horizontal="left" vertical="center" wrapText="1"/>
    </xf>
    <xf numFmtId="0" fontId="14" fillId="0" borderId="1" xfId="6" applyFont="1" applyBorder="1" applyAlignment="1">
      <alignment horizontal="center" vertical="center" wrapText="1"/>
    </xf>
    <xf numFmtId="0" fontId="29" fillId="0" borderId="0" xfId="0" applyFont="1" applyAlignment="1">
      <alignment horizontal="center" vertical="center"/>
    </xf>
    <xf numFmtId="0" fontId="7" fillId="0" borderId="0" xfId="6" applyAlignment="1">
      <alignment horizontal="center" vertical="center"/>
    </xf>
    <xf numFmtId="0" fontId="9" fillId="0" borderId="2" xfId="6" applyFont="1" applyBorder="1" applyAlignment="1">
      <alignment horizontal="center" vertical="center" wrapText="1"/>
    </xf>
    <xf numFmtId="0" fontId="46" fillId="0" borderId="0" xfId="0" applyFont="1" applyAlignment="1">
      <alignment horizontal="center" vertical="center"/>
    </xf>
    <xf numFmtId="0" fontId="14" fillId="0" borderId="2" xfId="0" applyFont="1" applyBorder="1" applyAlignment="1">
      <alignment horizontal="center" vertical="center" wrapText="1"/>
    </xf>
    <xf numFmtId="0" fontId="47" fillId="0" borderId="0" xfId="0" applyFont="1" applyAlignment="1">
      <alignment horizontal="center" vertical="center"/>
    </xf>
    <xf numFmtId="0" fontId="17" fillId="7" borderId="2" xfId="0" applyFont="1" applyFill="1" applyBorder="1" applyAlignment="1">
      <alignment horizontal="center" vertical="center" wrapText="1"/>
    </xf>
    <xf numFmtId="0" fontId="2" fillId="2" borderId="0" xfId="0" applyFont="1" applyFill="1" applyAlignment="1">
      <alignment horizontal="center" vertical="center"/>
    </xf>
    <xf numFmtId="0" fontId="0" fillId="0" borderId="0" xfId="0"/>
    <xf numFmtId="0" fontId="4" fillId="6" borderId="0" xfId="0" applyFont="1" applyFill="1" applyAlignment="1">
      <alignment horizontal="center"/>
    </xf>
    <xf numFmtId="0" fontId="10" fillId="0" borderId="4" xfId="6" applyFont="1" applyBorder="1" applyAlignment="1">
      <alignment horizontal="center" vertical="center" wrapText="1"/>
    </xf>
    <xf numFmtId="0" fontId="5" fillId="0" borderId="0" xfId="6" applyFont="1" applyAlignment="1">
      <alignment wrapText="1"/>
    </xf>
    <xf numFmtId="0" fontId="48" fillId="0" borderId="0" xfId="0" applyFont="1" applyAlignment="1">
      <alignment vertical="center" wrapText="1"/>
    </xf>
    <xf numFmtId="0" fontId="49" fillId="0" borderId="0" xfId="0" applyFont="1" applyAlignment="1">
      <alignment horizontal="center" vertical="center"/>
    </xf>
    <xf numFmtId="0" fontId="50" fillId="0" borderId="0" xfId="0" applyFont="1"/>
    <xf numFmtId="0" fontId="17" fillId="0" borderId="2" xfId="0" applyFont="1" applyBorder="1" applyAlignment="1">
      <alignment horizontal="center" vertical="center" wrapText="1"/>
    </xf>
    <xf numFmtId="0" fontId="51" fillId="0" borderId="0" xfId="0" applyFont="1"/>
    <xf numFmtId="0" fontId="10" fillId="10" borderId="2" xfId="0" applyFont="1" applyFill="1" applyBorder="1" applyAlignment="1">
      <alignment horizontal="center" vertical="center" wrapText="1"/>
    </xf>
    <xf numFmtId="0" fontId="9" fillId="7" borderId="2" xfId="0" applyFont="1" applyFill="1" applyBorder="1" applyAlignment="1">
      <alignment horizontal="center" vertical="center" wrapText="1"/>
    </xf>
  </cellXfs>
  <cellStyles count="9">
    <cellStyle name="Hyperlink" xfId="6" builtinId="8"/>
    <cellStyle name="Normal" xfId="0" builtinId="0"/>
    <cellStyle name="Normal 2" xfId="1" xr:uid="{2BA6C118-F8F7-46D9-BA18-29D6E4325955}"/>
    <cellStyle name="Normal 3" xfId="2" xr:uid="{A2918AC2-DD77-4482-A98E-030A1FE1FE59}"/>
    <cellStyle name="Normal 4" xfId="3" xr:uid="{4DAEEE3D-67D5-441B-8AB9-B66D8BF15CB3}"/>
    <cellStyle name="Normal 5" xfId="4" xr:uid="{C43D6E24-C2E4-4E72-A1BA-8CEDC39720FC}"/>
    <cellStyle name="Normal 6" xfId="5" xr:uid="{E5E813A8-3639-45E0-A77F-0F914B17A254}"/>
    <cellStyle name="Normal 7" xfId="7" xr:uid="{0544C92F-035E-4484-996C-894AB1C5874B}"/>
    <cellStyle name="Normal 8" xfId="8" xr:uid="{E417D006-8CEF-4882-8E6D-AC8863CCB1AE}"/>
  </cellStyles>
  <dxfs count="115">
    <dxf>
      <fill>
        <patternFill patternType="solid">
          <bgColor rgb="FFF7E9B7"/>
        </patternFill>
      </fill>
    </dxf>
    <dxf>
      <fill>
        <patternFill patternType="solid">
          <bgColor rgb="FFF9D6D5"/>
        </patternFill>
      </fill>
    </dxf>
    <dxf>
      <fill>
        <patternFill patternType="solid">
          <bgColor rgb="FFF7E9B7"/>
        </patternFill>
      </fill>
    </dxf>
    <dxf>
      <fill>
        <patternFill patternType="solid">
          <bgColor rgb="FFF9D6D5"/>
        </patternFill>
      </fill>
    </dxf>
    <dxf>
      <fill>
        <patternFill patternType="solid">
          <bgColor rgb="FFF7E9B7"/>
        </patternFill>
      </fill>
    </dxf>
    <dxf>
      <fill>
        <patternFill patternType="solid">
          <bgColor rgb="FFF9D6D5"/>
        </patternFill>
      </fill>
    </dxf>
    <dxf>
      <fill>
        <patternFill patternType="solid">
          <bgColor rgb="FFF7E9B7"/>
        </patternFill>
      </fill>
    </dxf>
    <dxf>
      <fill>
        <patternFill patternType="solid">
          <bgColor rgb="FFF9D6D5"/>
        </patternFill>
      </fill>
    </dxf>
    <dxf>
      <fill>
        <patternFill patternType="solid">
          <bgColor rgb="FFF7E9B7"/>
        </patternFill>
      </fill>
    </dxf>
    <dxf>
      <fill>
        <patternFill patternType="solid">
          <bgColor rgb="FFF9D6D5"/>
        </patternFill>
      </fill>
    </dxf>
    <dxf>
      <fill>
        <patternFill patternType="solid">
          <bgColor rgb="FFF7E9B7"/>
        </patternFill>
      </fill>
    </dxf>
    <dxf>
      <fill>
        <patternFill patternType="solid">
          <bgColor rgb="FFF9D6D5"/>
        </patternFill>
      </fill>
    </dxf>
    <dxf>
      <fill>
        <patternFill patternType="solid">
          <bgColor rgb="FFF7E9B7"/>
        </patternFill>
      </fill>
    </dxf>
    <dxf>
      <fill>
        <patternFill patternType="solid">
          <bgColor rgb="FFF9D6D5"/>
        </patternFill>
      </fill>
    </dxf>
    <dxf>
      <fill>
        <patternFill patternType="solid">
          <bgColor rgb="FFF7E9B7"/>
        </patternFill>
      </fill>
    </dxf>
    <dxf>
      <fill>
        <patternFill patternType="solid">
          <bgColor rgb="FFF9D6D5"/>
        </patternFill>
      </fill>
    </dxf>
    <dxf>
      <fill>
        <patternFill patternType="solid">
          <bgColor rgb="FFF7E9B7"/>
        </patternFill>
      </fill>
    </dxf>
    <dxf>
      <fill>
        <patternFill patternType="solid">
          <bgColor rgb="FFF9D6D5"/>
        </patternFill>
      </fill>
    </dxf>
    <dxf>
      <fill>
        <patternFill patternType="solid">
          <bgColor rgb="FFF7E9B7"/>
        </patternFill>
      </fill>
    </dxf>
    <dxf>
      <fill>
        <patternFill patternType="solid">
          <bgColor rgb="FFF9D6D5"/>
        </patternFill>
      </fill>
    </dxf>
    <dxf>
      <fill>
        <patternFill patternType="solid">
          <bgColor rgb="FFF7E9B7"/>
        </patternFill>
      </fill>
    </dxf>
    <dxf>
      <fill>
        <patternFill patternType="solid">
          <bgColor rgb="FFF9D6D5"/>
        </patternFill>
      </fill>
    </dxf>
    <dxf>
      <fill>
        <patternFill patternType="solid">
          <bgColor rgb="FFF7E9B7"/>
        </patternFill>
      </fill>
    </dxf>
    <dxf>
      <fill>
        <patternFill patternType="solid">
          <bgColor rgb="FFF9D6D5"/>
        </patternFill>
      </fill>
    </dxf>
    <dxf>
      <fill>
        <patternFill patternType="solid">
          <bgColor rgb="FFF7E9B7"/>
        </patternFill>
      </fill>
    </dxf>
    <dxf>
      <fill>
        <patternFill patternType="solid">
          <bgColor rgb="FFF9D6D5"/>
        </patternFill>
      </fill>
    </dxf>
    <dxf>
      <fill>
        <patternFill patternType="solid">
          <bgColor rgb="FFF7E9B7"/>
        </patternFill>
      </fill>
    </dxf>
    <dxf>
      <fill>
        <patternFill patternType="solid">
          <bgColor rgb="FFF9D6D5"/>
        </patternFill>
      </fill>
    </dxf>
    <dxf>
      <fill>
        <patternFill patternType="solid">
          <bgColor rgb="FFF7E9B7"/>
        </patternFill>
      </fill>
    </dxf>
    <dxf>
      <fill>
        <patternFill patternType="solid">
          <bgColor rgb="FFF9D6D5"/>
        </patternFill>
      </fill>
    </dxf>
    <dxf>
      <fill>
        <patternFill patternType="solid">
          <bgColor rgb="FFF7E9B7"/>
        </patternFill>
      </fill>
    </dxf>
    <dxf>
      <fill>
        <patternFill patternType="solid">
          <bgColor rgb="FFF9D6D5"/>
        </patternFill>
      </fill>
    </dxf>
    <dxf>
      <font>
        <strike val="0"/>
        <outline val="0"/>
        <shadow val="0"/>
        <vertAlign val="baseline"/>
        <sz val="9"/>
        <name val="Arial"/>
        <family val="2"/>
        <scheme val="none"/>
      </font>
      <alignment horizontal="center" vertical="center" textRotation="0" indent="0" justifyLastLine="0" shrinkToFit="0" readingOrder="0"/>
    </dxf>
    <dxf>
      <font>
        <strike val="0"/>
        <outline val="0"/>
        <shadow val="0"/>
        <vertAlign val="baseline"/>
        <sz val="9"/>
        <name val="Arial"/>
        <family val="2"/>
        <scheme val="none"/>
      </font>
      <alignment horizontal="center" vertical="center" textRotation="0" indent="0" justifyLastLine="0" shrinkToFit="0" readingOrder="0"/>
    </dxf>
    <dxf>
      <font>
        <strike val="0"/>
        <outline val="0"/>
        <shadow val="0"/>
        <vertAlign val="baseline"/>
        <sz val="9"/>
        <name val="Arial"/>
        <family val="2"/>
        <scheme val="none"/>
      </font>
      <alignment horizontal="center" vertical="center" textRotation="0" indent="0" justifyLastLine="0" shrinkToFit="0" readingOrder="0"/>
    </dxf>
    <dxf>
      <font>
        <strike val="0"/>
        <outline val="0"/>
        <shadow val="0"/>
        <vertAlign val="baseline"/>
        <sz val="9"/>
        <name val="Arial"/>
        <family val="2"/>
        <scheme val="none"/>
      </font>
      <alignment horizontal="center" vertical="center" textRotation="0" indent="0" justifyLastLine="0" shrinkToFit="0" readingOrder="0"/>
    </dxf>
    <dxf>
      <font>
        <strike val="0"/>
        <outline val="0"/>
        <shadow val="0"/>
        <vertAlign val="baseline"/>
        <sz val="9"/>
        <name val="Arial"/>
        <family val="2"/>
        <scheme val="none"/>
      </font>
      <alignment horizontal="center" vertical="center" textRotation="0" indent="0" justifyLastLine="0" shrinkToFit="0" readingOrder="0"/>
    </dxf>
    <dxf>
      <font>
        <strike val="0"/>
        <outline val="0"/>
        <shadow val="0"/>
        <vertAlign val="baseline"/>
        <sz val="9"/>
        <name val="Arial"/>
        <family val="2"/>
        <scheme val="none"/>
      </font>
      <alignment horizontal="center" vertical="center" textRotation="0" indent="0" justifyLastLine="0" shrinkToFit="0" readingOrder="0"/>
    </dxf>
    <dxf>
      <font>
        <strike val="0"/>
        <outline val="0"/>
        <shadow val="0"/>
        <vertAlign val="baseline"/>
        <sz val="9"/>
        <name val="Arial"/>
        <family val="2"/>
        <scheme val="none"/>
      </font>
      <alignment horizontal="center" vertical="center" textRotation="0" indent="0" justifyLastLine="0" shrinkToFit="0" readingOrder="0"/>
    </dxf>
    <dxf>
      <font>
        <strike val="0"/>
        <outline val="0"/>
        <shadow val="0"/>
        <vertAlign val="baseline"/>
        <sz val="9"/>
        <name val="Arial"/>
        <family val="2"/>
        <scheme val="none"/>
      </font>
      <alignment horizontal="center" vertical="center" textRotation="0" indent="0" justifyLastLine="0" shrinkToFit="0" readingOrder="0"/>
    </dxf>
    <dxf>
      <font>
        <strike val="0"/>
        <outline val="0"/>
        <shadow val="0"/>
        <vertAlign val="baseline"/>
        <sz val="9"/>
        <name val="Arial"/>
        <family val="2"/>
        <scheme val="none"/>
      </font>
      <alignment horizontal="center" vertical="center" textRotation="0" indent="0" justifyLastLine="0" shrinkToFit="0" readingOrder="0"/>
    </dxf>
    <dxf>
      <font>
        <strike val="0"/>
        <outline val="0"/>
        <shadow val="0"/>
        <vertAlign val="baseline"/>
        <sz val="9"/>
        <name val="Arial"/>
        <family val="2"/>
        <scheme val="none"/>
      </font>
      <alignment horizontal="center" vertical="center" textRotation="0" indent="0" justifyLastLine="0" shrinkToFit="0" readingOrder="0"/>
    </dxf>
    <dxf>
      <font>
        <strike val="0"/>
        <outline val="0"/>
        <shadow val="0"/>
        <vertAlign val="baseline"/>
        <sz val="9"/>
        <name val="Arial"/>
        <family val="2"/>
        <scheme val="none"/>
      </font>
      <alignment horizontal="center" vertical="center" textRotation="0" indent="0" justifyLastLine="0" shrinkToFit="0" readingOrder="0"/>
    </dxf>
    <dxf>
      <font>
        <b val="0"/>
        <i val="0"/>
        <strike val="0"/>
        <condense val="0"/>
        <extend val="0"/>
        <outline val="0"/>
        <shadow val="0"/>
        <u val="none"/>
        <vertAlign val="baseline"/>
        <sz val="9"/>
        <color theme="1"/>
        <name val="Arial"/>
        <family val="2"/>
        <scheme val="none"/>
      </font>
      <alignment horizontal="center" vertical="center"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9"/>
        <color theme="1"/>
        <name val="Arial"/>
        <family val="2"/>
        <scheme val="none"/>
      </font>
      <alignment horizontal="center" vertical="center" textRotation="0" wrapText="1" indent="0" justifyLastLine="0" shrinkToFit="0" readingOrder="0"/>
      <border diagonalUp="0" diagonalDown="0" outline="0">
        <left/>
        <right/>
        <top style="thin">
          <color theme="4" tint="0.39997558519241921"/>
        </top>
        <bottom/>
      </border>
    </dxf>
    <dxf>
      <font>
        <strike val="0"/>
        <outline val="0"/>
        <shadow val="0"/>
        <vertAlign val="baseline"/>
        <sz val="9"/>
        <name val="Arial"/>
        <family val="2"/>
        <scheme val="none"/>
      </font>
      <alignment horizontal="center" vertical="center" textRotation="0" indent="0" justifyLastLine="0" shrinkToFit="0" readingOrder="0"/>
    </dxf>
    <dxf>
      <font>
        <b val="0"/>
        <i val="0"/>
        <strike val="0"/>
        <condense val="0"/>
        <extend val="0"/>
        <outline val="0"/>
        <shadow val="0"/>
        <u val="none"/>
        <vertAlign val="baseline"/>
        <sz val="9"/>
        <color theme="1"/>
        <name val="Arial"/>
        <family val="2"/>
        <scheme val="none"/>
      </font>
      <alignment horizontal="center" vertical="center"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9"/>
        <color theme="1"/>
        <name val="Arial"/>
        <family val="2"/>
        <scheme val="none"/>
      </font>
      <alignment horizontal="center" vertical="center" textRotation="0" wrapText="1" indent="0" justifyLastLine="0" shrinkToFit="0" readingOrder="0"/>
      <border diagonalUp="0" diagonalDown="0" outline="0">
        <left/>
        <right/>
        <top style="thin">
          <color theme="4" tint="0.39997558519241921"/>
        </top>
        <bottom/>
      </border>
    </dxf>
    <dxf>
      <font>
        <strike val="0"/>
        <outline val="0"/>
        <shadow val="0"/>
        <vertAlign val="baseline"/>
        <sz val="9"/>
        <name val="Arial"/>
        <family val="2"/>
        <scheme val="none"/>
      </font>
      <alignment horizontal="center" vertical="center" textRotation="0" indent="0" justifyLastLine="0" shrinkToFit="0" readingOrder="0"/>
    </dxf>
    <dxf>
      <font>
        <strike val="0"/>
        <outline val="0"/>
        <shadow val="0"/>
        <vertAlign val="baseline"/>
        <sz val="9"/>
        <color theme="1"/>
        <name val="Arial"/>
        <family val="2"/>
        <scheme val="none"/>
      </font>
      <alignment horizontal="center" vertical="center" textRotation="0" wrapText="1" indent="0" justifyLastLine="0" shrinkToFit="0" readingOrder="0"/>
      <border diagonalUp="0" diagonalDown="0" outline="0">
        <left/>
        <right/>
        <top style="thin">
          <color theme="4" tint="0.39997558519241921"/>
        </top>
        <bottom/>
      </border>
    </dxf>
    <dxf>
      <font>
        <strike val="0"/>
        <outline val="0"/>
        <shadow val="0"/>
        <vertAlign val="baseline"/>
        <sz val="9"/>
        <name val="Arial"/>
        <family val="2"/>
        <scheme val="none"/>
      </font>
      <alignment horizontal="center" vertical="center" textRotation="0" indent="0" justifyLastLine="0" shrinkToFit="0" readingOrder="0"/>
    </dxf>
    <dxf>
      <font>
        <b val="0"/>
        <i val="0"/>
        <strike val="0"/>
        <condense val="0"/>
        <extend val="0"/>
        <outline val="0"/>
        <shadow val="0"/>
        <u val="none"/>
        <vertAlign val="baseline"/>
        <sz val="9"/>
        <color theme="1"/>
        <name val="Arial"/>
        <family val="2"/>
        <scheme val="none"/>
      </font>
      <alignment horizontal="center" vertical="center"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9"/>
        <color theme="1"/>
        <name val="Arial"/>
        <family val="2"/>
        <scheme val="none"/>
      </font>
      <alignment horizontal="center" vertical="center" textRotation="0" wrapText="1" indent="0" justifyLastLine="0" shrinkToFit="0" readingOrder="0"/>
      <border diagonalUp="0" diagonalDown="0" outline="0">
        <left/>
        <right/>
        <top style="thin">
          <color theme="4" tint="0.39997558519241921"/>
        </top>
        <bottom/>
      </border>
    </dxf>
    <dxf>
      <font>
        <strike val="0"/>
        <outline val="0"/>
        <shadow val="0"/>
        <vertAlign val="baseline"/>
        <sz val="9"/>
        <name val="Arial"/>
        <family val="2"/>
        <scheme val="none"/>
      </font>
      <alignment horizontal="center" vertical="center" textRotation="0" indent="0" justifyLastLine="0" shrinkToFit="0" readingOrder="0"/>
    </dxf>
    <dxf>
      <font>
        <b val="0"/>
        <i val="0"/>
        <strike val="0"/>
        <condense val="0"/>
        <extend val="0"/>
        <outline val="0"/>
        <shadow val="0"/>
        <u val="none"/>
        <vertAlign val="baseline"/>
        <sz val="9"/>
        <color theme="1"/>
        <name val="Arial"/>
        <family val="2"/>
        <scheme val="none"/>
      </font>
      <alignment horizontal="center" vertical="center"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9"/>
        <color theme="1"/>
        <name val="Arial"/>
        <family val="2"/>
        <scheme val="none"/>
      </font>
      <alignment horizontal="center" vertical="center" textRotation="0" wrapText="1" indent="0" justifyLastLine="0" shrinkToFit="0" readingOrder="0"/>
    </dxf>
    <dxf>
      <font>
        <strike val="0"/>
        <outline val="0"/>
        <shadow val="0"/>
        <vertAlign val="baseline"/>
        <sz val="9"/>
        <name val="Arial"/>
        <family val="2"/>
        <scheme val="none"/>
      </font>
      <alignment horizontal="center" vertical="center" textRotation="0" indent="0" justifyLastLine="0" shrinkToFit="0" readingOrder="0"/>
    </dxf>
    <dxf>
      <font>
        <b val="0"/>
        <i val="0"/>
        <strike val="0"/>
        <condense val="0"/>
        <extend val="0"/>
        <outline val="0"/>
        <shadow val="0"/>
        <u val="none"/>
        <vertAlign val="baseline"/>
        <sz val="9"/>
        <color theme="1"/>
        <name val="Arial"/>
        <family val="2"/>
        <scheme val="none"/>
      </font>
      <alignment horizontal="center" vertical="center"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9"/>
        <color theme="1"/>
        <name val="Arial"/>
        <family val="2"/>
        <scheme val="none"/>
      </font>
      <alignment horizontal="center" vertical="center" textRotation="0" wrapText="1" indent="0" justifyLastLine="0" shrinkToFit="0" readingOrder="0"/>
      <border diagonalUp="0" diagonalDown="0" outline="0">
        <left/>
        <right/>
        <top style="thin">
          <color theme="4" tint="0.39997558519241921"/>
        </top>
        <bottom/>
      </border>
    </dxf>
    <dxf>
      <font>
        <strike val="0"/>
        <outline val="0"/>
        <shadow val="0"/>
        <vertAlign val="baseline"/>
        <sz val="9"/>
        <name val="Arial"/>
        <family val="2"/>
        <scheme val="none"/>
      </font>
      <alignment horizontal="center" vertical="center" textRotation="0" indent="0" justifyLastLine="0" shrinkToFit="0" readingOrder="0"/>
    </dxf>
    <dxf>
      <font>
        <strike val="0"/>
        <outline val="0"/>
        <shadow val="0"/>
        <vertAlign val="baseline"/>
        <sz val="9"/>
        <name val="Arial"/>
        <family val="2"/>
        <scheme val="none"/>
      </font>
      <alignment horizontal="center" vertical="center" textRotation="0" wrapText="1" indent="0" justifyLastLine="0" shrinkToFit="0" readingOrder="0"/>
    </dxf>
    <dxf>
      <font>
        <strike val="0"/>
        <outline val="0"/>
        <shadow val="0"/>
        <vertAlign val="baseline"/>
        <sz val="9"/>
        <name val="Arial"/>
        <family val="2"/>
        <scheme val="none"/>
      </font>
      <alignment horizontal="center" vertical="center" textRotation="0" wrapText="1" indent="0" justifyLastLine="0" shrinkToFit="0" readingOrder="0"/>
    </dxf>
    <dxf>
      <font>
        <strike val="0"/>
        <outline val="0"/>
        <shadow val="0"/>
        <vertAlign val="baseline"/>
        <sz val="9"/>
        <name val="Arial"/>
        <family val="2"/>
        <scheme val="none"/>
      </font>
      <alignment horizontal="center" vertical="center" textRotation="0" indent="0" justifyLastLine="0" shrinkToFit="0" readingOrder="0"/>
    </dxf>
    <dxf>
      <font>
        <strike val="0"/>
        <outline val="0"/>
        <shadow val="0"/>
        <vertAlign val="baseline"/>
        <sz val="9"/>
        <name val="Arial"/>
        <family val="2"/>
        <scheme val="none"/>
      </font>
      <alignment horizontal="center" vertical="center" textRotation="0" wrapText="1" indent="0" justifyLastLine="0" shrinkToFit="0" readingOrder="0"/>
    </dxf>
    <dxf>
      <font>
        <strike val="0"/>
        <outline val="0"/>
        <shadow val="0"/>
        <vertAlign val="baseline"/>
        <sz val="9"/>
        <name val="Arial"/>
        <family val="2"/>
        <scheme val="none"/>
      </font>
      <alignment horizontal="center" vertical="center" textRotation="0" indent="0" justifyLastLine="0" shrinkToFit="0" readingOrder="0"/>
    </dxf>
    <dxf>
      <font>
        <strike val="0"/>
        <outline val="0"/>
        <shadow val="0"/>
        <vertAlign val="baseline"/>
        <sz val="9"/>
        <name val="Arial"/>
        <family val="2"/>
        <scheme val="none"/>
      </font>
      <alignment horizontal="center" vertical="center" textRotation="0" indent="0" justifyLastLine="0" shrinkToFit="0" readingOrder="0"/>
    </dxf>
    <dxf>
      <font>
        <strike val="0"/>
        <outline val="0"/>
        <shadow val="0"/>
        <vertAlign val="baseline"/>
        <sz val="9"/>
        <name val="Arial"/>
        <family val="2"/>
        <scheme val="none"/>
      </font>
      <alignment horizontal="center" vertical="center" textRotation="0" indent="0" justifyLastLine="0" shrinkToFit="0" readingOrder="0"/>
    </dxf>
    <dxf>
      <font>
        <strike val="0"/>
        <outline val="0"/>
        <shadow val="0"/>
        <vertAlign val="baseline"/>
        <sz val="9"/>
        <name val="Arial"/>
        <family val="2"/>
        <scheme val="none"/>
      </font>
      <alignment horizontal="center" vertical="center" textRotation="0" indent="0" justifyLastLine="0" shrinkToFit="0" readingOrder="0"/>
    </dxf>
    <dxf>
      <font>
        <strike val="0"/>
        <outline val="0"/>
        <shadow val="0"/>
        <vertAlign val="baseline"/>
        <sz val="9"/>
        <name val="Arial"/>
        <family val="2"/>
        <scheme val="none"/>
      </font>
      <alignment horizontal="center" vertical="center" textRotation="0" indent="0" justifyLastLine="0" shrinkToFit="0" readingOrder="0"/>
    </dxf>
    <dxf>
      <font>
        <strike val="0"/>
        <outline val="0"/>
        <shadow val="0"/>
        <vertAlign val="baseline"/>
        <sz val="9"/>
        <name val="Arial"/>
        <family val="2"/>
        <scheme val="none"/>
      </font>
      <alignment horizontal="center" vertical="center" textRotation="0" indent="0" justifyLastLine="0" shrinkToFit="0" readingOrder="0"/>
    </dxf>
    <dxf>
      <font>
        <strike val="0"/>
        <outline val="0"/>
        <shadow val="0"/>
        <vertAlign val="baseline"/>
        <sz val="9"/>
        <name val="Arial"/>
        <family val="2"/>
        <scheme val="none"/>
      </font>
      <alignment horizontal="center" vertical="center" textRotation="0" indent="0" justifyLastLine="0" shrinkToFit="0" readingOrder="0"/>
    </dxf>
    <dxf>
      <font>
        <strike val="0"/>
        <outline val="0"/>
        <shadow val="0"/>
        <vertAlign val="baseline"/>
        <sz val="9"/>
        <name val="Arial"/>
        <family val="2"/>
        <scheme val="none"/>
      </font>
      <alignment horizontal="center" vertical="center" textRotation="0" indent="0" justifyLastLine="0" shrinkToFit="0" readingOrder="0"/>
    </dxf>
    <dxf>
      <font>
        <strike val="0"/>
        <outline val="0"/>
        <shadow val="0"/>
        <vertAlign val="baseline"/>
        <sz val="9"/>
        <name val="Arial"/>
        <family val="2"/>
        <scheme val="none"/>
      </font>
      <alignment horizontal="center" vertical="center" textRotation="0" indent="0" justifyLastLine="0" shrinkToFit="0" readingOrder="0"/>
    </dxf>
    <dxf>
      <font>
        <strike val="0"/>
        <outline val="0"/>
        <shadow val="0"/>
        <vertAlign val="baseline"/>
        <sz val="9"/>
        <name val="Arial"/>
        <family val="2"/>
        <scheme val="none"/>
      </font>
      <alignment horizontal="center" vertical="center" textRotation="0" indent="0" justifyLastLine="0" shrinkToFit="0" readingOrder="0"/>
    </dxf>
    <dxf>
      <font>
        <strike val="0"/>
        <outline val="0"/>
        <shadow val="0"/>
        <vertAlign val="baseline"/>
        <sz val="9"/>
        <name val="Arial"/>
        <family val="2"/>
        <scheme val="none"/>
      </font>
      <alignment horizontal="center" vertical="center" textRotation="0" indent="0" justifyLastLine="0" shrinkToFit="0" readingOrder="0"/>
    </dxf>
    <dxf>
      <font>
        <strike val="0"/>
        <outline val="0"/>
        <shadow val="0"/>
        <vertAlign val="baseline"/>
        <sz val="9"/>
        <name val="Arial"/>
        <family val="2"/>
        <scheme val="none"/>
      </font>
      <alignment horizontal="center" vertical="center" textRotation="0" indent="0" justifyLastLine="0" shrinkToFit="0" readingOrder="0"/>
    </dxf>
    <dxf>
      <font>
        <strike val="0"/>
        <outline val="0"/>
        <shadow val="0"/>
        <vertAlign val="baseline"/>
        <sz val="9"/>
        <name val="Arial"/>
        <family val="2"/>
        <scheme val="none"/>
      </font>
      <alignment horizontal="center" vertical="center" textRotation="0" indent="0" justifyLastLine="0" shrinkToFit="0" readingOrder="0"/>
    </dxf>
    <dxf>
      <font>
        <strike val="0"/>
        <outline val="0"/>
        <shadow val="0"/>
        <vertAlign val="baseline"/>
        <sz val="9"/>
        <name val="Arial"/>
        <family val="2"/>
        <scheme val="none"/>
      </font>
      <alignment horizontal="center" vertical="center" textRotation="0" indent="0" justifyLastLine="0" shrinkToFit="0" readingOrder="0"/>
    </dxf>
    <dxf>
      <font>
        <strike val="0"/>
        <outline val="0"/>
        <shadow val="0"/>
        <vertAlign val="baseline"/>
        <sz val="9"/>
        <name val="Arial"/>
        <family val="2"/>
        <scheme val="none"/>
      </font>
      <alignment horizontal="center" vertical="center" textRotation="0" indent="0" justifyLastLine="0" shrinkToFit="0" readingOrder="0"/>
    </dxf>
    <dxf>
      <font>
        <strike val="0"/>
        <outline val="0"/>
        <shadow val="0"/>
        <vertAlign val="baseline"/>
        <sz val="9"/>
        <name val="Arial"/>
        <family val="2"/>
        <scheme val="none"/>
      </font>
      <alignment horizontal="center" vertical="center" textRotation="0" indent="0" justifyLastLine="0" shrinkToFit="0" readingOrder="0"/>
    </dxf>
    <dxf>
      <font>
        <strike val="0"/>
        <outline val="0"/>
        <shadow val="0"/>
        <vertAlign val="baseline"/>
        <sz val="9"/>
        <name val="Arial"/>
        <family val="2"/>
        <scheme val="none"/>
      </font>
      <alignment horizontal="center" vertical="center" textRotation="0" indent="0" justifyLastLine="0" shrinkToFit="0" readingOrder="0"/>
    </dxf>
    <dxf>
      <font>
        <b val="0"/>
        <i val="0"/>
        <strike val="0"/>
        <condense val="0"/>
        <extend val="0"/>
        <outline val="0"/>
        <shadow val="0"/>
        <u val="none"/>
        <vertAlign val="baseline"/>
        <sz val="9"/>
        <color theme="1"/>
        <name val="Arial"/>
        <family val="2"/>
        <scheme val="none"/>
      </font>
      <alignment horizontal="center" vertical="center"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9"/>
        <color theme="1"/>
        <name val="Arial"/>
        <family val="2"/>
        <scheme val="none"/>
      </font>
      <alignment horizontal="center" vertical="center"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9"/>
        <color theme="1"/>
        <name val="Arial"/>
        <family val="2"/>
        <scheme val="none"/>
      </font>
      <alignment horizontal="center" vertical="center" textRotation="0" wrapText="1" indent="0" justifyLastLine="0" shrinkToFit="0" readingOrder="0"/>
      <border diagonalUp="0" diagonalDown="0" outline="0">
        <left/>
        <right/>
        <top style="thin">
          <color theme="4" tint="0.39997558519241921"/>
        </top>
        <bottom/>
      </border>
    </dxf>
    <dxf>
      <font>
        <strike val="0"/>
        <outline val="0"/>
        <shadow val="0"/>
        <vertAlign val="baseline"/>
        <sz val="9"/>
        <name val="Arial"/>
        <family val="2"/>
        <scheme val="none"/>
      </font>
      <alignment horizontal="center" vertical="center" textRotation="0" indent="0" justifyLastLine="0" shrinkToFit="0" readingOrder="0"/>
    </dxf>
    <dxf>
      <font>
        <b val="0"/>
        <i val="0"/>
        <strike val="0"/>
        <condense val="0"/>
        <extend val="0"/>
        <outline val="0"/>
        <shadow val="0"/>
        <u val="none"/>
        <vertAlign val="baseline"/>
        <sz val="9"/>
        <color theme="1"/>
        <name val="Arial"/>
        <family val="2"/>
        <scheme val="none"/>
      </font>
      <alignment horizontal="center" vertical="center"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9"/>
        <color theme="1"/>
        <name val="Arial"/>
        <family val="2"/>
        <scheme val="none"/>
      </font>
      <alignment horizontal="center" vertical="center" textRotation="0" wrapText="1" indent="0" justifyLastLine="0" shrinkToFit="0" readingOrder="0"/>
      <border diagonalUp="0" diagonalDown="0" outline="0">
        <left/>
        <right/>
        <top style="thin">
          <color theme="4" tint="0.39997558519241921"/>
        </top>
        <bottom/>
      </border>
    </dxf>
    <dxf>
      <font>
        <strike val="0"/>
        <outline val="0"/>
        <shadow val="0"/>
        <vertAlign val="baseline"/>
        <sz val="9"/>
        <name val="Arial"/>
        <family val="2"/>
        <scheme val="none"/>
      </font>
      <alignment horizontal="center" vertical="center" textRotation="0" indent="0" justifyLastLine="0" shrinkToFit="0" readingOrder="0"/>
    </dxf>
    <dxf>
      <font>
        <strike val="0"/>
        <outline val="0"/>
        <shadow val="0"/>
        <vertAlign val="baseline"/>
        <sz val="9"/>
        <color theme="1"/>
        <name val="Arial"/>
        <family val="2"/>
        <scheme val="none"/>
      </font>
      <alignment horizontal="center" vertical="center" textRotation="0" wrapText="1" indent="0" justifyLastLine="0" shrinkToFit="0" readingOrder="0"/>
      <border diagonalUp="0" diagonalDown="0" outline="0">
        <left/>
        <right/>
        <top style="thin">
          <color theme="4" tint="0.39997558519241921"/>
        </top>
        <bottom/>
      </border>
    </dxf>
    <dxf>
      <font>
        <strike val="0"/>
        <outline val="0"/>
        <shadow val="0"/>
        <vertAlign val="baseline"/>
        <sz val="9"/>
        <name val="Arial"/>
        <family val="2"/>
        <scheme val="none"/>
      </font>
      <alignment horizontal="center" vertical="center" textRotation="0" indent="0" justifyLastLine="0" shrinkToFit="0" readingOrder="0"/>
    </dxf>
    <dxf>
      <font>
        <b val="0"/>
        <i val="0"/>
        <strike val="0"/>
        <condense val="0"/>
        <extend val="0"/>
        <outline val="0"/>
        <shadow val="0"/>
        <u val="none"/>
        <vertAlign val="baseline"/>
        <sz val="9"/>
        <color theme="1"/>
        <name val="Arial"/>
        <family val="2"/>
        <scheme val="none"/>
      </font>
      <alignment horizontal="center" vertical="center"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9"/>
        <color theme="1"/>
        <name val="Arial"/>
        <family val="2"/>
        <scheme val="none"/>
      </font>
      <alignment horizontal="center" vertical="center" textRotation="0" wrapText="1" indent="0" justifyLastLine="0" shrinkToFit="0" readingOrder="0"/>
      <border diagonalUp="0" diagonalDown="0" outline="0">
        <left/>
        <right/>
        <top style="thin">
          <color theme="4" tint="0.39997558519241921"/>
        </top>
        <bottom/>
      </border>
    </dxf>
    <dxf>
      <font>
        <strike val="0"/>
        <outline val="0"/>
        <shadow val="0"/>
        <vertAlign val="baseline"/>
        <sz val="9"/>
        <name val="Arial"/>
        <family val="2"/>
        <scheme val="none"/>
      </font>
      <alignment horizontal="center" vertical="center" textRotation="0" indent="0" justifyLastLine="0" shrinkToFit="0" readingOrder="0"/>
    </dxf>
    <dxf>
      <font>
        <b val="0"/>
        <i val="0"/>
        <strike val="0"/>
        <condense val="0"/>
        <extend val="0"/>
        <outline val="0"/>
        <shadow val="0"/>
        <u val="none"/>
        <vertAlign val="baseline"/>
        <sz val="9"/>
        <color theme="1"/>
        <name val="Arial"/>
        <family val="2"/>
        <scheme val="none"/>
      </font>
      <alignment horizontal="center" vertical="center"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9"/>
        <color theme="1"/>
        <name val="Arial"/>
        <family val="2"/>
        <scheme val="none"/>
      </font>
      <alignment horizontal="center" vertical="center" textRotation="0" wrapText="1" indent="0" justifyLastLine="0" shrinkToFit="0" readingOrder="0"/>
    </dxf>
    <dxf>
      <font>
        <strike val="0"/>
        <outline val="0"/>
        <shadow val="0"/>
        <vertAlign val="baseline"/>
        <sz val="9"/>
        <name val="Arial"/>
        <family val="2"/>
        <scheme val="none"/>
      </font>
      <alignment horizontal="center" vertical="center" textRotation="0" indent="0" justifyLastLine="0" shrinkToFit="0" readingOrder="0"/>
    </dxf>
    <dxf>
      <font>
        <b val="0"/>
        <i val="0"/>
        <strike val="0"/>
        <condense val="0"/>
        <extend val="0"/>
        <outline val="0"/>
        <shadow val="0"/>
        <u val="none"/>
        <vertAlign val="baseline"/>
        <sz val="9"/>
        <color theme="1"/>
        <name val="Arial"/>
        <family val="2"/>
        <scheme val="none"/>
      </font>
      <alignment horizontal="center" vertical="center"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9"/>
        <color theme="1"/>
        <name val="Arial"/>
        <family val="2"/>
        <scheme val="none"/>
      </font>
      <alignment horizontal="center" vertical="center"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9"/>
        <color theme="1"/>
        <name val="Arial"/>
        <family val="2"/>
        <scheme val="none"/>
      </font>
      <alignment horizontal="center" vertical="center" textRotation="0" wrapText="1" indent="0" justifyLastLine="0" shrinkToFit="0" readingOrder="0"/>
      <border diagonalUp="0" diagonalDown="0" outline="0">
        <left/>
        <right/>
        <top style="thin">
          <color theme="4" tint="0.39997558519241921"/>
        </top>
        <bottom/>
      </border>
    </dxf>
    <dxf>
      <font>
        <strike val="0"/>
        <outline val="0"/>
        <shadow val="0"/>
        <vertAlign val="baseline"/>
        <sz val="9"/>
        <name val="Arial"/>
        <family val="2"/>
        <scheme val="none"/>
      </font>
      <alignment horizontal="center" vertical="center" textRotation="0" indent="0" justifyLastLine="0" shrinkToFit="0" readingOrder="0"/>
    </dxf>
    <dxf>
      <font>
        <b val="0"/>
        <i val="0"/>
        <strike val="0"/>
        <condense val="0"/>
        <extend val="0"/>
        <outline val="0"/>
        <shadow val="0"/>
        <u val="none"/>
        <vertAlign val="baseline"/>
        <sz val="9"/>
        <color auto="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9"/>
        <color auto="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9"/>
        <color auto="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9"/>
        <color auto="1"/>
        <name val="Arial"/>
        <family val="2"/>
        <scheme val="none"/>
      </font>
      <alignment horizontal="center" vertical="center" textRotation="0" wrapText="1" indent="0" justifyLastLine="0" shrinkToFit="0" readingOrder="0"/>
    </dxf>
    <dxf>
      <font>
        <strike val="0"/>
        <outline val="0"/>
        <shadow val="0"/>
        <vertAlign val="baseline"/>
        <sz val="9"/>
        <name val="Arial"/>
        <family val="2"/>
        <scheme val="none"/>
      </font>
      <alignment horizontal="center" vertical="center" textRotation="0" wrapText="1" indent="0" justifyLastLine="0" shrinkToFit="0" readingOrder="0"/>
    </dxf>
    <dxf>
      <font>
        <strike val="0"/>
        <outline val="0"/>
        <shadow val="0"/>
        <vertAlign val="baseline"/>
        <sz val="9"/>
        <name val="Arial"/>
        <family val="2"/>
        <scheme val="none"/>
      </font>
      <alignment horizontal="center" vertical="center" textRotation="0" wrapText="1" indent="0" justifyLastLine="0" shrinkToFit="0" readingOrder="0"/>
    </dxf>
    <dxf>
      <font>
        <strike val="0"/>
        <outline val="0"/>
        <shadow val="0"/>
        <vertAlign val="baseline"/>
        <sz val="9"/>
        <name val="Arial"/>
        <family val="2"/>
        <scheme val="none"/>
      </font>
      <alignment horizontal="center" vertical="center" textRotation="0" indent="0" justifyLastLine="0" shrinkToFit="0" readingOrder="0"/>
    </dxf>
    <dxf>
      <font>
        <strike val="0"/>
        <outline val="0"/>
        <shadow val="0"/>
        <vertAlign val="baseline"/>
        <sz val="9"/>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9"/>
        <color theme="1"/>
        <name val="Arial"/>
        <family val="2"/>
        <scheme val="none"/>
      </font>
      <alignment horizontal="center" vertical="center" textRotation="0" wrapText="1" indent="0" justifyLastLine="0" shrinkToFit="0" readingOrder="0"/>
    </dxf>
    <dxf>
      <font>
        <strike val="0"/>
        <outline val="0"/>
        <shadow val="0"/>
        <vertAlign val="baseline"/>
        <sz val="9"/>
        <name val="Arial"/>
        <family val="2"/>
        <scheme val="none"/>
      </font>
      <alignment horizontal="center" vertical="center" textRotation="0" indent="0" justifyLastLine="0" shrinkToFit="0" readingOrder="0"/>
    </dxf>
    <dxf>
      <font>
        <strike val="0"/>
        <outline val="0"/>
        <shadow val="0"/>
        <vertAlign val="baseline"/>
        <sz val="9"/>
        <name val="Arial"/>
        <family val="2"/>
        <scheme val="none"/>
      </font>
      <alignment horizontal="center" vertical="center" textRotation="0" indent="0" justifyLastLine="0" shrinkToFit="0" readingOrder="0"/>
    </dxf>
    <dxf>
      <font>
        <strike val="0"/>
        <outline val="0"/>
        <shadow val="0"/>
        <vertAlign val="baseline"/>
        <sz val="9"/>
        <name val="Arial"/>
        <family val="2"/>
        <scheme val="none"/>
      </font>
      <alignment horizontal="center" vertical="center" textRotation="0" indent="0" justifyLastLine="0" shrinkToFit="0" readingOrder="0"/>
    </dxf>
    <dxf>
      <font>
        <strike val="0"/>
        <outline val="0"/>
        <shadow val="0"/>
        <vertAlign val="baseline"/>
        <sz val="9"/>
        <name val="Arial"/>
        <family val="2"/>
        <scheme val="none"/>
      </font>
      <alignment horizontal="center" vertical="center" textRotation="0" indent="0" justifyLastLine="0" shrinkToFit="0" readingOrder="0"/>
    </dxf>
    <dxf>
      <font>
        <strike val="0"/>
        <outline val="0"/>
        <shadow val="0"/>
        <vertAlign val="baseline"/>
        <sz val="9"/>
        <name val="Arial"/>
        <family val="2"/>
        <scheme val="none"/>
      </font>
      <alignment horizontal="center" vertical="center" textRotation="0" indent="0" justifyLastLine="0" shrinkToFit="0" readingOrder="0"/>
    </dxf>
    <dxf>
      <font>
        <strike val="0"/>
        <outline val="0"/>
        <shadow val="0"/>
        <vertAlign val="baseline"/>
        <sz val="9"/>
        <name val="Arial"/>
        <family val="2"/>
        <scheme val="none"/>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barChart>
        <c:barDir val="col"/>
        <c:grouping val="clustered"/>
        <c:varyColors val="0"/>
        <c:ser>
          <c:idx val="0"/>
          <c:order val="0"/>
          <c:tx>
            <c:v>Count</c:v>
          </c:tx>
          <c:invertIfNegative val="1"/>
          <c:cat>
            <c:strRef>
              <c:f>Dashboard!$A$15:$A$30</c:f>
              <c:strCache>
                <c:ptCount val="14"/>
                <c:pt idx="0">
                  <c:v>Prospect Identified</c:v>
                </c:pt>
                <c:pt idx="1">
                  <c:v>Research Complete</c:v>
                </c:pt>
                <c:pt idx="2">
                  <c:v>Executive Packet Sent</c:v>
                </c:pt>
                <c:pt idx="3">
                  <c:v>Discovery Call Scheduled</c:v>
                </c:pt>
                <c:pt idx="4">
                  <c:v>Discovery Call Completed</c:v>
                </c:pt>
                <c:pt idx="5">
                  <c:v>Proposal Sent</c:v>
                </c:pt>
                <c:pt idx="6">
                  <c:v>Negotiation</c:v>
                </c:pt>
                <c:pt idx="7">
                  <c:v>Contract Signed</c:v>
                </c:pt>
                <c:pt idx="8">
                  <c:v>Retreat/Engagement Scheduled</c:v>
                </c:pt>
                <c:pt idx="9">
                  <c:v>Engagement Complete</c:v>
                </c:pt>
                <c:pt idx="10">
                  <c:v>Follow-up Services</c:v>
                </c:pt>
                <c:pt idx="11">
                  <c:v>Annual Advisory Relationship</c:v>
                </c:pt>
                <c:pt idx="12">
                  <c:v>Closed Won</c:v>
                </c:pt>
                <c:pt idx="13">
                  <c:v>Closed Lost</c:v>
                </c:pt>
              </c:strCache>
            </c:strRef>
          </c:cat>
          <c:val>
            <c:numRef>
              <c:f>Dashboard!$B$15:$B$30</c:f>
              <c:numCache>
                <c:formatCode>0</c:formatCode>
                <c:ptCount val="16"/>
                <c:pt idx="0">
                  <c:v>0</c:v>
                </c:pt>
                <c:pt idx="1">
                  <c:v>1</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00-C9B5-447E-B771-D3273E10A249}"/>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barChart>
        <c:barDir val="col"/>
        <c:grouping val="clustered"/>
        <c:varyColors val="0"/>
        <c:ser>
          <c:idx val="0"/>
          <c:order val="0"/>
          <c:tx>
            <c:v>Count</c:v>
          </c:tx>
          <c:invertIfNegative val="1"/>
          <c:cat>
            <c:strRef>
              <c:f>Dashboard!$A$15:$A$30</c:f>
              <c:strCache>
                <c:ptCount val="14"/>
                <c:pt idx="0">
                  <c:v>Prospect Identified</c:v>
                </c:pt>
                <c:pt idx="1">
                  <c:v>Research Complete</c:v>
                </c:pt>
                <c:pt idx="2">
                  <c:v>Executive Packet Sent</c:v>
                </c:pt>
                <c:pt idx="3">
                  <c:v>Discovery Call Scheduled</c:v>
                </c:pt>
                <c:pt idx="4">
                  <c:v>Discovery Call Completed</c:v>
                </c:pt>
                <c:pt idx="5">
                  <c:v>Proposal Sent</c:v>
                </c:pt>
                <c:pt idx="6">
                  <c:v>Negotiation</c:v>
                </c:pt>
                <c:pt idx="7">
                  <c:v>Contract Signed</c:v>
                </c:pt>
                <c:pt idx="8">
                  <c:v>Retreat/Engagement Scheduled</c:v>
                </c:pt>
                <c:pt idx="9">
                  <c:v>Engagement Complete</c:v>
                </c:pt>
                <c:pt idx="10">
                  <c:v>Follow-up Services</c:v>
                </c:pt>
                <c:pt idx="11">
                  <c:v>Annual Advisory Relationship</c:v>
                </c:pt>
                <c:pt idx="12">
                  <c:v>Closed Won</c:v>
                </c:pt>
                <c:pt idx="13">
                  <c:v>Closed Lost</c:v>
                </c:pt>
              </c:strCache>
            </c:strRef>
          </c:cat>
          <c:val>
            <c:numRef>
              <c:f>Dashboard!$B$15:$B$30</c:f>
              <c:numCache>
                <c:formatCode>0</c:formatCode>
                <c:ptCount val="16"/>
                <c:pt idx="0">
                  <c:v>0</c:v>
                </c:pt>
                <c:pt idx="1">
                  <c:v>1</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00-377E-49DA-BFE7-AB9F320ECAB3}"/>
            </c:ext>
          </c:extLst>
        </c:ser>
        <c:ser>
          <c:idx val="1"/>
          <c:order val="1"/>
          <c:tx>
            <c:v>Weighted Value</c:v>
          </c:tx>
          <c:invertIfNegative val="1"/>
          <c:cat>
            <c:strRef>
              <c:f>Dashboard!$A$15:$A$30</c:f>
              <c:strCache>
                <c:ptCount val="14"/>
                <c:pt idx="0">
                  <c:v>Prospect Identified</c:v>
                </c:pt>
                <c:pt idx="1">
                  <c:v>Research Complete</c:v>
                </c:pt>
                <c:pt idx="2">
                  <c:v>Executive Packet Sent</c:v>
                </c:pt>
                <c:pt idx="3">
                  <c:v>Discovery Call Scheduled</c:v>
                </c:pt>
                <c:pt idx="4">
                  <c:v>Discovery Call Completed</c:v>
                </c:pt>
                <c:pt idx="5">
                  <c:v>Proposal Sent</c:v>
                </c:pt>
                <c:pt idx="6">
                  <c:v>Negotiation</c:v>
                </c:pt>
                <c:pt idx="7">
                  <c:v>Contract Signed</c:v>
                </c:pt>
                <c:pt idx="8">
                  <c:v>Retreat/Engagement Scheduled</c:v>
                </c:pt>
                <c:pt idx="9">
                  <c:v>Engagement Complete</c:v>
                </c:pt>
                <c:pt idx="10">
                  <c:v>Follow-up Services</c:v>
                </c:pt>
                <c:pt idx="11">
                  <c:v>Annual Advisory Relationship</c:v>
                </c:pt>
                <c:pt idx="12">
                  <c:v>Closed Won</c:v>
                </c:pt>
                <c:pt idx="13">
                  <c:v>Closed Lost</c:v>
                </c:pt>
              </c:strCache>
            </c:strRef>
          </c:cat>
          <c:val>
            <c:numRef>
              <c:f>Dashboard!$C$15:$C$30</c:f>
              <c:numCache>
                <c:formatCode>\$#,##0</c:formatCode>
                <c:ptCount val="16"/>
                <c:pt idx="0">
                  <c:v>0</c:v>
                </c:pt>
                <c:pt idx="1">
                  <c:v>9000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01-377E-49DA-BFE7-AB9F320ECAB3}"/>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0</xdr:colOff>
      <xdr:row>2</xdr:row>
      <xdr:rowOff>0</xdr:rowOff>
    </xdr:from>
    <xdr:to>
      <xdr:col>14</xdr:col>
      <xdr:colOff>0</xdr:colOff>
      <xdr:row>18</xdr:row>
      <xdr:rowOff>0</xdr:rowOff>
    </xdr:to>
    <xdr:graphicFrame macro="">
      <xdr:nvGraphicFramePr>
        <xdr:cNvPr id="2" nam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19</xdr:row>
      <xdr:rowOff>0</xdr:rowOff>
    </xdr:from>
    <xdr:to>
      <xdr:col>14</xdr:col>
      <xdr:colOff>0</xdr:colOff>
      <xdr:row>35</xdr:row>
      <xdr:rowOff>0</xdr:rowOff>
    </xdr:to>
    <xdr:graphicFrame macro="">
      <xdr:nvGraphicFramePr>
        <xdr:cNvPr id="3" name="Chart">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rganizationsTable" displayName="OrganizationsTable" ref="A1:AP318" headerRowDxfId="114" dataDxfId="113" totalsRowDxfId="112">
  <autoFilter ref="A1:AP318" xr:uid="{00000000-000C-0000-FFFF-FFFF00000000}"/>
  <sortState xmlns:xlrd2="http://schemas.microsoft.com/office/spreadsheetml/2017/richdata2" ref="A2:AP317">
    <sortCondition ref="A1:A317"/>
  </sortState>
  <tableColumns count="42">
    <tableColumn id="1" xr3:uid="{00000000-0010-0000-0000-000001000000}" name="Org ID" dataDxfId="111"/>
    <tableColumn id="2" xr3:uid="{00000000-0010-0000-0000-000002000000}" name="Organization" dataDxfId="110"/>
    <tableColumn id="3" xr3:uid="{00000000-0010-0000-0000-000003000000}" name="Institution Type" dataDxfId="109"/>
    <tableColumn id="42" xr3:uid="{92B6F75C-89BF-4E85-8B83-772D3DFEAAA2}" name="District" dataDxfId="108"/>
    <tableColumn id="4" xr3:uid="{00000000-0010-0000-0000-000004000000}" name="State" dataDxfId="107"/>
    <tableColumn id="5" xr3:uid="{00000000-0010-0000-0000-000005000000}" name="Region" dataDxfId="106"/>
    <tableColumn id="6" xr3:uid="{00000000-0010-0000-0000-000006000000}" name="Website" dataDxfId="105"/>
    <tableColumn id="14" xr3:uid="{00000000-0010-0000-0000-00000E000000}" name="Board Page" dataDxfId="104" dataCellStyle="Normal 6"/>
    <tableColumn id="27" xr3:uid="{299A0547-F4D9-4C78-A717-2C6CE39F2187}" name="Chancellor" dataDxfId="103" dataCellStyle="Normal 6"/>
    <tableColumn id="41" xr3:uid="{E3EB5E5F-A32B-4044-A02C-D514917E60A3}" name="Chancellor Phone" dataDxfId="102" dataCellStyle="Normal 6"/>
    <tableColumn id="38" xr3:uid="{55FC2892-C662-42FA-A603-CB4B9F517E31}" name="Chancellor Address" dataDxfId="101" dataCellStyle="Normal 6"/>
    <tableColumn id="31" xr3:uid="{220437BF-77F3-4F96-8E4B-BEA785A3C03A}" name="Chancellor Email" dataDxfId="100" dataCellStyle="Normal 6"/>
    <tableColumn id="7" xr3:uid="{00000000-0010-0000-0000-000007000000}" name="President/CEO" dataDxfId="99"/>
    <tableColumn id="35" xr3:uid="{A258230A-C48E-46CF-9AFA-B94BD93DEFD0}" name="Appointed" dataDxfId="98"/>
    <tableColumn id="30" xr3:uid="{E5B4A677-4A4E-4049-B419-2EFBEE7A75E3}" name="Interim (Y/N)" dataDxfId="97"/>
    <tableColumn id="39" xr3:uid="{AC88F53D-933A-4206-BAFE-EB50EE6709BE}" name="Primary Email" dataDxfId="96"/>
    <tableColumn id="8" xr3:uid="{00000000-0010-0000-0000-000008000000}" name="Board Chair" dataDxfId="95"/>
    <tableColumn id="37" xr3:uid="{1F91B00C-FB29-4C89-89C0-4434D0EAD13F}" name="Term Begin (C) " dataDxfId="94"/>
    <tableColumn id="28" xr3:uid="{6AEB0734-B89D-4CA1-962C-803D25108B29}" name="Term End (C) " dataDxfId="93"/>
    <tableColumn id="9" xr3:uid="{00000000-0010-0000-0000-000009000000}" name="Board Vice Chair" dataDxfId="92"/>
    <tableColumn id="29" xr3:uid="{7B2CCF20-F9D6-40A9-AF76-2FE13686D1F1}" name="Term Begin (VC)" dataDxfId="91"/>
    <tableColumn id="40" xr3:uid="{9B85A461-537B-42EC-A67C-1CEB821BB3B6}" name="Term End (VC)" dataDxfId="90"/>
    <tableColumn id="10" xr3:uid="{00000000-0010-0000-0000-00000A000000}" name="Board email" dataDxfId="89"/>
    <tableColumn id="13" xr3:uid="{00000000-0010-0000-0000-00000D000000}" name="Primary Phone" dataDxfId="88"/>
    <tableColumn id="11" xr3:uid="{00000000-0010-0000-0000-00000B000000}" name="Executive Assistant/Office Manager" dataDxfId="87"/>
    <tableColumn id="12" xr3:uid="{CF415099-D7E3-4294-80DB-C7A2528F5B66}" name="Executive Assistant Email" dataDxfId="86"/>
    <tableColumn id="36" xr3:uid="{156BE287-DF2E-4782-8814-5C613DD2612E}" name="Mailing Address" dataDxfId="85"/>
    <tableColumn id="15" xr3:uid="{00000000-0010-0000-0000-00000F000000}" name="Strategic Priorities" dataDxfId="84"/>
    <tableColumn id="32" xr3:uid="{12CF9C15-B591-44A3-8AF4-B9ED559B83AB}" name="Strategic Plan" dataDxfId="83"/>
    <tableColumn id="34" xr3:uid="{847E3CC7-5859-45FD-8E66-0A30F2A5BAE9}" name="Strategic Plan Years" dataDxfId="82"/>
    <tableColumn id="33" xr3:uid="{CFA21D14-678D-4D37-8852-DA54A88772FD}" name="President's Workplan" dataDxfId="81"/>
    <tableColumn id="16" xr3:uid="{00000000-0010-0000-0000-000010000000}" name="Current Initiatives" dataDxfId="80"/>
    <tableColumn id="17" xr3:uid="{00000000-0010-0000-0000-000011000000}" name="Accreditation Cycle" dataDxfId="79"/>
    <tableColumn id="18" xr3:uid="{00000000-0010-0000-0000-000012000000}" name="Recent News/Governance Notes" dataDxfId="78"/>
    <tableColumn id="19" xr3:uid="{00000000-0010-0000-0000-000013000000}" name="Date Identified" dataDxfId="77"/>
    <tableColumn id="20" xr3:uid="{00000000-0010-0000-0000-000014000000}" name="Last Contact" dataDxfId="76"/>
    <tableColumn id="21" xr3:uid="{00000000-0010-0000-0000-000015000000}" name="Next Follow-up" dataDxfId="75"/>
    <tableColumn id="22" xr3:uid="{00000000-0010-0000-0000-000016000000}" name="Relationship Status" dataDxfId="74"/>
    <tableColumn id="23" xr3:uid="{00000000-0010-0000-0000-000017000000}" name="Priority" dataDxfId="73"/>
    <tableColumn id="24" xr3:uid="{00000000-0010-0000-0000-000018000000}" name="Fit Score" dataDxfId="72"/>
    <tableColumn id="25" xr3:uid="{00000000-0010-0000-0000-000019000000}" name="Packet Sent?" dataDxfId="71"/>
    <tableColumn id="26" xr3:uid="{00000000-0010-0000-0000-00001A000000}" name="Notes" dataDxfId="7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DC36971-44C0-49F9-BD8F-CADD873B580D}" name="OrganizationsTable13" displayName="OrganizationsTable13" ref="A1:AI317" headerRowDxfId="69" dataDxfId="68" totalsRowDxfId="67">
  <tableColumns count="35">
    <tableColumn id="1" xr3:uid="{B007CE51-59B9-4056-8F5D-5F7A5F1C16BB}" name="Org ID" dataDxfId="66"/>
    <tableColumn id="2" xr3:uid="{5F95B595-63D2-4D93-951F-2AB05150B85D}" name="Organization" dataDxfId="65"/>
    <tableColumn id="3" xr3:uid="{26018B20-486D-489F-9EBC-7E62F1CEDB61}" name="Institution Type" dataDxfId="64"/>
    <tableColumn id="4" xr3:uid="{379D637E-2CD0-478D-BEC0-3022B749D2D5}" name="State" dataDxfId="63"/>
    <tableColumn id="5" xr3:uid="{9DEED5B5-7668-498D-8998-E38C754C09FD}" name="Region" dataDxfId="62"/>
    <tableColumn id="6" xr3:uid="{3058129E-0C24-403F-AB7D-FABD88E8BE65}" name="Website" dataDxfId="61"/>
    <tableColumn id="14" xr3:uid="{B7694CD3-84FE-4A18-AD73-05B623980C84}" name="Board Page" dataDxfId="60" dataCellStyle="Normal 6"/>
    <tableColumn id="7" xr3:uid="{55836767-F6A9-4A5B-9203-AFAE36E81089}" name="President/CEO" dataDxfId="59"/>
    <tableColumn id="30" xr3:uid="{17548BCE-7C6E-47C7-8166-83CB164F340E}" name="Interim (Y/N)" dataDxfId="58"/>
    <tableColumn id="39" xr3:uid="{9F34C71F-E5C3-4419-A864-649878D7AFB3}" name="Primary Email" dataDxfId="57"/>
    <tableColumn id="8" xr3:uid="{4953F33A-BA0D-4EA6-A476-34E0186A65E8}" name="Board Chair" dataDxfId="56"/>
    <tableColumn id="37" xr3:uid="{26EE7761-030D-42EA-A373-66EC87955B88}" name="Term Begin (C) " dataDxfId="55"/>
    <tableColumn id="28" xr3:uid="{EEAC1611-E3A6-4E83-B2A2-E246E90276E5}" name="Term End (C) " dataDxfId="54"/>
    <tableColumn id="9" xr3:uid="{99907984-AB7D-47CE-8F39-087E8A1B245D}" name="Board Vice Chair" dataDxfId="53"/>
    <tableColumn id="29" xr3:uid="{2B759995-5195-469C-8C99-A8540A96E02C}" name="Term Begin (VC)" dataDxfId="52"/>
    <tableColumn id="40" xr3:uid="{C332AF49-F4F8-4F7B-99DC-10FF5FD70165}" name="Term End (VC)" dataDxfId="51"/>
    <tableColumn id="10" xr3:uid="{C0AA9700-AB4E-4105-9AF8-90D99C820A35}" name="Board email" dataDxfId="50"/>
    <tableColumn id="13" xr3:uid="{9287E298-2268-43A1-B363-077F15E88123}" name="Primary Phone" dataDxfId="49"/>
    <tableColumn id="11" xr3:uid="{AADB8F34-C297-4CA1-B0AC-0F5BDC87CE92}" name="Executive Assistant/Office Manager" dataDxfId="48"/>
    <tableColumn id="12" xr3:uid="{687BC9F3-DAA4-4FF5-BFB0-604F3B77E889}" name="Executive Assistant Email" dataDxfId="47"/>
    <tableColumn id="36" xr3:uid="{57267CC7-3453-47C9-8C5C-1B53E292BC9B}" name="Mailing Address" dataDxfId="46"/>
    <tableColumn id="15" xr3:uid="{DECF2258-7315-44F8-A9FA-C11A0BEE3E5C}" name="Strategic Priorities" dataDxfId="45"/>
    <tableColumn id="32" xr3:uid="{B53EEFA2-BB4D-4F9F-891C-F48506763224}" name="Strategic Plan" dataDxfId="44"/>
    <tableColumn id="34" xr3:uid="{536781C0-16EA-48D1-8E19-AE34CAD08D72}" name="Strategic Plan Years" dataDxfId="43"/>
    <tableColumn id="16" xr3:uid="{E64D1D9D-DA9F-4895-A87F-669EB6497537}" name="Current Initiatives" dataDxfId="42"/>
    <tableColumn id="17" xr3:uid="{D0B69B73-A604-4D39-AC5F-FA60101979A0}" name="Accreditation Cycle" dataDxfId="41"/>
    <tableColumn id="18" xr3:uid="{078ED848-BBAC-4189-B20C-8500A0BB44B4}" name="Recent News/Governance Notes" dataDxfId="40"/>
    <tableColumn id="19" xr3:uid="{F77DEE32-DC9C-4B3C-B7F1-1D63FEF7E93E}" name="Date Identified" dataDxfId="39"/>
    <tableColumn id="20" xr3:uid="{702CE573-6B65-4E6F-AD09-4BC390376A3E}" name="Last Contact" dataDxfId="38"/>
    <tableColumn id="21" xr3:uid="{EB698F7A-5BB9-4629-ABA8-7D09D8513E70}" name="Next Follow-up" dataDxfId="37"/>
    <tableColumn id="22" xr3:uid="{3E21E571-E0BB-48BD-9F70-5AB31C099944}" name="Relationship Status" dataDxfId="36"/>
    <tableColumn id="23" xr3:uid="{5E9CB8E7-C612-400E-B795-221B3E6E70FE}" name="Priority" dataDxfId="35"/>
    <tableColumn id="24" xr3:uid="{BC08007C-32BC-4C4E-9C5D-3B3A656D09DC}" name="Fit Score" dataDxfId="34"/>
    <tableColumn id="25" xr3:uid="{D082B43A-429E-4EB7-AA6E-CD82B257CA46}" name="Packet Sent?" dataDxfId="33"/>
    <tableColumn id="26" xr3:uid="{63C85F45-C6AD-4B61-A6F6-79612CD4A935}" name="Notes" dataDxfId="3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ontactsTable" displayName="ContactsTable" ref="A1:O101">
  <tableColumns count="15">
    <tableColumn id="1" xr3:uid="{00000000-0010-0000-0100-000001000000}" name="Contact ID"/>
    <tableColumn id="2" xr3:uid="{00000000-0010-0000-0100-000002000000}" name="Organization"/>
    <tableColumn id="3" xr3:uid="{00000000-0010-0000-0100-000003000000}" name="First Name"/>
    <tableColumn id="4" xr3:uid="{00000000-0010-0000-0100-000004000000}" name="Last Name"/>
    <tableColumn id="5" xr3:uid="{00000000-0010-0000-0100-000005000000}" name="Title"/>
    <tableColumn id="6" xr3:uid="{00000000-0010-0000-0100-000006000000}" name="Role Type"/>
    <tableColumn id="7" xr3:uid="{00000000-0010-0000-0100-000007000000}" name="Email"/>
    <tableColumn id="8" xr3:uid="{00000000-0010-0000-0100-000008000000}" name="Phone"/>
    <tableColumn id="9" xr3:uid="{00000000-0010-0000-0100-000009000000}" name="LinkedIn"/>
    <tableColumn id="10" xr3:uid="{00000000-0010-0000-0100-00000A000000}" name="Preferred Contact"/>
    <tableColumn id="11" xr3:uid="{00000000-0010-0000-0100-00000B000000}" name="Influence Level"/>
    <tableColumn id="12" xr3:uid="{00000000-0010-0000-0100-00000C000000}" name="Relationship Strength"/>
    <tableColumn id="13" xr3:uid="{00000000-0010-0000-0100-00000D000000}" name="Last Contact"/>
    <tableColumn id="14" xr3:uid="{00000000-0010-0000-0100-00000E000000}" name="Next Follow-up"/>
    <tableColumn id="15" xr3:uid="{00000000-0010-0000-0100-00000F000000}" name="Note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OpportunitiesTable" displayName="OpportunitiesTable" ref="A1:P101">
  <tableColumns count="16">
    <tableColumn id="1" xr3:uid="{00000000-0010-0000-0200-000001000000}" name="Opportunity ID"/>
    <tableColumn id="2" xr3:uid="{00000000-0010-0000-0200-000002000000}" name="Opportunity Name"/>
    <tableColumn id="3" xr3:uid="{00000000-0010-0000-0200-000003000000}" name="Organization"/>
    <tableColumn id="4" xr3:uid="{00000000-0010-0000-0200-000004000000}" name="Service Type"/>
    <tableColumn id="5" xr3:uid="{00000000-0010-0000-0200-000005000000}" name="Estimated Value"/>
    <tableColumn id="6" xr3:uid="{00000000-0010-0000-0200-000006000000}" name="Probability %"/>
    <tableColumn id="7" xr3:uid="{00000000-0010-0000-0200-000007000000}" name="Weighted Pipeline"/>
    <tableColumn id="8" xr3:uid="{00000000-0010-0000-0200-000008000000}" name="Stage"/>
    <tableColumn id="9" xr3:uid="{00000000-0010-0000-0200-000009000000}" name="Expected Close"/>
    <tableColumn id="10" xr3:uid="{00000000-0010-0000-0200-00000A000000}" name="Lead Source"/>
    <tableColumn id="11" xr3:uid="{00000000-0010-0000-0200-00000B000000}" name="Priority"/>
    <tableColumn id="12" xr3:uid="{00000000-0010-0000-0200-00000C000000}" name="Last Activity"/>
    <tableColumn id="13" xr3:uid="{00000000-0010-0000-0200-00000D000000}" name="Next Follow-up"/>
    <tableColumn id="14" xr3:uid="{00000000-0010-0000-0200-00000E000000}" name="Days Since Last Activity"/>
    <tableColumn id="15" xr3:uid="{00000000-0010-0000-0200-00000F000000}" name="Status"/>
    <tableColumn id="16" xr3:uid="{00000000-0010-0000-0200-000010000000}" name="Note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OutreachActivitiesTable" displayName="OutreachActivitiesTable" ref="A1:L101">
  <tableColumns count="12">
    <tableColumn id="1" xr3:uid="{00000000-0010-0000-0300-000001000000}" name="Activity ID"/>
    <tableColumn id="2" xr3:uid="{00000000-0010-0000-0300-000002000000}" name="Date"/>
    <tableColumn id="3" xr3:uid="{00000000-0010-0000-0300-000003000000}" name="Organization"/>
    <tableColumn id="4" xr3:uid="{00000000-0010-0000-0300-000004000000}" name="Contact"/>
    <tableColumn id="5" xr3:uid="{00000000-0010-0000-0300-000005000000}" name="Activity Type"/>
    <tableColumn id="6" xr3:uid="{00000000-0010-0000-0300-000006000000}" name="Channel"/>
    <tableColumn id="7" xr3:uid="{00000000-0010-0000-0300-000007000000}" name="Summary"/>
    <tableColumn id="8" xr3:uid="{00000000-0010-0000-0300-000008000000}" name="Outcome"/>
    <tableColumn id="9" xr3:uid="{00000000-0010-0000-0300-000009000000}" name="Next Action"/>
    <tableColumn id="10" xr3:uid="{00000000-0010-0000-0300-00000A000000}" name="Next Follow-up"/>
    <tableColumn id="11" xr3:uid="{00000000-0010-0000-0300-00000B000000}" name="Completed?"/>
    <tableColumn id="12" xr3:uid="{00000000-0010-0000-0300-00000C000000}" name="Related Opportunity"/>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ProposalsTable" displayName="ProposalsTable" ref="A1:K101">
  <tableColumns count="11">
    <tableColumn id="1" xr3:uid="{00000000-0010-0000-0400-000001000000}" name="Proposal ID"/>
    <tableColumn id="2" xr3:uid="{00000000-0010-0000-0400-000002000000}" name="Organization"/>
    <tableColumn id="3" xr3:uid="{00000000-0010-0000-0400-000003000000}" name="Opportunity"/>
    <tableColumn id="4" xr3:uid="{00000000-0010-0000-0400-000004000000}" name="Date Sent"/>
    <tableColumn id="5" xr3:uid="{00000000-0010-0000-0400-000005000000}" name="Services Offered"/>
    <tableColumn id="6" xr3:uid="{00000000-0010-0000-0400-000006000000}" name="Amount"/>
    <tableColumn id="7" xr3:uid="{00000000-0010-0000-0400-000007000000}" name="Status"/>
    <tableColumn id="8" xr3:uid="{00000000-0010-0000-0400-000008000000}" name="Decision Date"/>
    <tableColumn id="9" xr3:uid="{00000000-0010-0000-0400-000009000000}" name="Days Pending"/>
    <tableColumn id="10" xr3:uid="{00000000-0010-0000-0400-00000A000000}" name="Follow-up Date"/>
    <tableColumn id="11" xr3:uid="{00000000-0010-0000-0400-00000B000000}" name="Note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EngagementsTable" displayName="EngagementsTable" ref="A1:K101">
  <tableColumns count="11">
    <tableColumn id="1" xr3:uid="{00000000-0010-0000-0500-000001000000}" name="Engagement ID"/>
    <tableColumn id="2" xr3:uid="{00000000-0010-0000-0500-000002000000}" name="Organization"/>
    <tableColumn id="3" xr3:uid="{00000000-0010-0000-0500-000003000000}" name="Engagement Type"/>
    <tableColumn id="4" xr3:uid="{00000000-0010-0000-0500-000004000000}" name="Start Date"/>
    <tableColumn id="5" xr3:uid="{00000000-0010-0000-0500-000005000000}" name="End Date"/>
    <tableColumn id="6" xr3:uid="{00000000-0010-0000-0500-000006000000}" name="Status"/>
    <tableColumn id="7" xr3:uid="{00000000-0010-0000-0500-000007000000}" name="Travel Required?"/>
    <tableColumn id="8" xr3:uid="{00000000-0010-0000-0500-000008000000}" name="Lead Consultant"/>
    <tableColumn id="9" xr3:uid="{00000000-0010-0000-0500-000009000000}" name="Contract Value"/>
    <tableColumn id="10" xr3:uid="{00000000-0010-0000-0500-00000A000000}" name="Follow-up Service Opportunity"/>
    <tableColumn id="11" xr3:uid="{00000000-0010-0000-0500-00000B000000}" name="Notes"/>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RevenueTable" displayName="RevenueTable" ref="A1:J101">
  <tableColumns count="10">
    <tableColumn id="1" xr3:uid="{00000000-0010-0000-0600-000001000000}" name="Revenue ID"/>
    <tableColumn id="2" xr3:uid="{00000000-0010-0000-0600-000002000000}" name="Organization"/>
    <tableColumn id="3" xr3:uid="{00000000-0010-0000-0600-000003000000}" name="Opportunity"/>
    <tableColumn id="4" xr3:uid="{00000000-0010-0000-0600-000004000000}" name="Estimated Revenue"/>
    <tableColumn id="5" xr3:uid="{00000000-0010-0000-0600-000005000000}" name="Contracted Revenue"/>
    <tableColumn id="6" xr3:uid="{00000000-0010-0000-0600-000006000000}" name="Invoice Date"/>
    <tableColumn id="7" xr3:uid="{00000000-0010-0000-0600-000007000000}" name="Payment Received"/>
    <tableColumn id="8" xr3:uid="{00000000-0010-0000-0600-000008000000}" name="Payment Status"/>
    <tableColumn id="9" xr3:uid="{00000000-0010-0000-0600-000009000000}" name="Travel Reimbursed"/>
    <tableColumn id="10" xr3:uid="{00000000-0010-0000-0600-00000A000000}" name="Profitability Notes"/>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SpeakingTable" displayName="SpeakingTable" ref="A1:L101">
  <tableColumns count="12">
    <tableColumn id="1" xr3:uid="{00000000-0010-0000-0700-000001000000}" name="Event ID"/>
    <tableColumn id="2" xr3:uid="{00000000-0010-0000-0700-000002000000}" name="Event"/>
    <tableColumn id="3" xr3:uid="{00000000-0010-0000-0700-000003000000}" name="Organization/Host"/>
    <tableColumn id="4" xr3:uid="{00000000-0010-0000-0700-000004000000}" name="Date"/>
    <tableColumn id="5" xr3:uid="{00000000-0010-0000-0700-000005000000}" name="Location"/>
    <tableColumn id="6" xr3:uid="{00000000-0010-0000-0700-000006000000}" name="Audience"/>
    <tableColumn id="7" xr3:uid="{00000000-0010-0000-0700-000007000000}" name="Proposal Status"/>
    <tableColumn id="8" xr3:uid="{00000000-0010-0000-0700-000008000000}" name="Fee"/>
    <tableColumn id="9" xr3:uid="{00000000-0010-0000-0700-000009000000}" name="Attendees"/>
    <tableColumn id="10" xr3:uid="{00000000-0010-0000-0700-00000A000000}" name="Leads Generated"/>
    <tableColumn id="11" xr3:uid="{00000000-0010-0000-0700-00000B000000}" name="Follow-up Date"/>
    <tableColumn id="12" xr3:uid="{00000000-0010-0000-0700-00000C000000}" name="Notes"/>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ReferralsTable" displayName="ReferralsTable" ref="A1:I101">
  <tableColumns count="9">
    <tableColumn id="1" xr3:uid="{00000000-0010-0000-0800-000001000000}" name="Referral ID"/>
    <tableColumn id="2" xr3:uid="{00000000-0010-0000-0800-000002000000}" name="Referral Source"/>
    <tableColumn id="3" xr3:uid="{00000000-0010-0000-0800-000003000000}" name="Source Type"/>
    <tableColumn id="4" xr3:uid="{00000000-0010-0000-0800-000004000000}" name="Organization Referred"/>
    <tableColumn id="5" xr3:uid="{00000000-0010-0000-0800-000005000000}" name="Contact"/>
    <tableColumn id="6" xr3:uid="{00000000-0010-0000-0800-000006000000}" name="Date"/>
    <tableColumn id="7" xr3:uid="{00000000-0010-0000-0800-000007000000}" name="Outcome"/>
    <tableColumn id="8" xr3:uid="{00000000-0010-0000-0800-000008000000}" name="Estimated Value"/>
    <tableColumn id="9" xr3:uid="{00000000-0010-0000-0800-000009000000}" name="Notes"/>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ContentMarketingTable" displayName="ContentMarketingTable" ref="A1:I101">
  <tableColumns count="9">
    <tableColumn id="1" xr3:uid="{00000000-0010-0000-0900-000001000000}" name="Content ID"/>
    <tableColumn id="2" xr3:uid="{00000000-0010-0000-0900-000002000000}" name="Content Title"/>
    <tableColumn id="3" xr3:uid="{00000000-0010-0000-0900-000003000000}" name="Type"/>
    <tableColumn id="4" xr3:uid="{00000000-0010-0000-0900-000004000000}" name="Publish Date"/>
    <tableColumn id="5" xr3:uid="{00000000-0010-0000-0900-000005000000}" name="Channel"/>
    <tableColumn id="6" xr3:uid="{00000000-0010-0000-0900-000006000000}" name="CTA"/>
    <tableColumn id="7" xr3:uid="{00000000-0010-0000-0900-000007000000}" name="Leads Generated"/>
    <tableColumn id="8" xr3:uid="{00000000-0010-0000-0900-000008000000}" name="Inquiries"/>
    <tableColumn id="9" xr3:uid="{00000000-0010-0000-0900-000009000000}" name="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7" Type="http://schemas.openxmlformats.org/officeDocument/2006/relationships/hyperlink" Target="https://www.pierce.ctc.edu/about/mission-vision/board/index.html" TargetMode="External"/><Relationship Id="rId21" Type="http://schemas.openxmlformats.org/officeDocument/2006/relationships/hyperlink" Target="tel:%20(509)%20793-2001" TargetMode="External"/><Relationship Id="rId324" Type="http://schemas.openxmlformats.org/officeDocument/2006/relationships/hyperlink" Target="mailto:kinethac@cos.edu" TargetMode="External"/><Relationship Id="rId531" Type="http://schemas.openxmlformats.org/officeDocument/2006/relationships/hyperlink" Target="mailto:Rachelle.Arisbe@rccd.edu%20%20" TargetMode="External"/><Relationship Id="rId629" Type="http://schemas.openxmlformats.org/officeDocument/2006/relationships/hyperlink" Target="mailto:mcolcleaser@swccd.edu" TargetMode="External"/><Relationship Id="rId170" Type="http://schemas.openxmlformats.org/officeDocument/2006/relationships/hyperlink" Target="https://www.whatcom.edu/about-wcc/college-leadership/board-of-trustees" TargetMode="External"/><Relationship Id="rId268" Type="http://schemas.openxmlformats.org/officeDocument/2006/relationships/hyperlink" Target="mailto:mesteban@ccsf.edu" TargetMode="External"/><Relationship Id="rId475" Type="http://schemas.openxmlformats.org/officeDocument/2006/relationships/hyperlink" Target="https://www.socccd.edu/board-trustees" TargetMode="External"/><Relationship Id="rId32" Type="http://schemas.openxmlformats.org/officeDocument/2006/relationships/hyperlink" Target="https://www.centralia.edu/about/leadership/trustees.aspx" TargetMode="External"/><Relationship Id="rId128" Type="http://schemas.openxmlformats.org/officeDocument/2006/relationships/hyperlink" Target="https://www.shoreline.edu/about-shoreline/board/" TargetMode="External"/><Relationship Id="rId335" Type="http://schemas.openxmlformats.org/officeDocument/2006/relationships/hyperlink" Target="https://www.yosemite.edu/trustees/index.html" TargetMode="External"/><Relationship Id="rId542" Type="http://schemas.openxmlformats.org/officeDocument/2006/relationships/hyperlink" Target="mailto:martha.garcia@mtsac.edu" TargetMode="External"/><Relationship Id="rId181" Type="http://schemas.openxmlformats.org/officeDocument/2006/relationships/hyperlink" Target="https://www.hancockcollege.edu/planning/index.php" TargetMode="External"/><Relationship Id="rId402" Type="http://schemas.openxmlformats.org/officeDocument/2006/relationships/hyperlink" Target="mailto:colivo@fullcoll.edu" TargetMode="External"/><Relationship Id="rId279" Type="http://schemas.openxmlformats.org/officeDocument/2006/relationships/hyperlink" Target="https://www.westhillscollege.com/lemoore" TargetMode="External"/><Relationship Id="rId486" Type="http://schemas.openxmlformats.org/officeDocument/2006/relationships/hyperlink" Target="https://www.lassencollege.edu/" TargetMode="External"/><Relationship Id="rId43" Type="http://schemas.openxmlformats.org/officeDocument/2006/relationships/hyperlink" Target="https://www.cptc.edu/about/president" TargetMode="External"/><Relationship Id="rId139" Type="http://schemas.openxmlformats.org/officeDocument/2006/relationships/hyperlink" Target="mailto:dtoledo@spscc.edu" TargetMode="External"/><Relationship Id="rId346" Type="http://schemas.openxmlformats.org/officeDocument/2006/relationships/hyperlink" Target="https://www.4cd.edu/gb/index.html" TargetMode="External"/><Relationship Id="rId553" Type="http://schemas.openxmlformats.org/officeDocument/2006/relationships/hyperlink" Target="mailto:ehernandez39@ohlone.edu" TargetMode="External"/><Relationship Id="rId192" Type="http://schemas.openxmlformats.org/officeDocument/2006/relationships/hyperlink" Target="https://www.avc.edu/" TargetMode="External"/><Relationship Id="rId206" Type="http://schemas.openxmlformats.org/officeDocument/2006/relationships/hyperlink" Target="mailto:steven.bloomberg@kccd.edu" TargetMode="External"/><Relationship Id="rId413" Type="http://schemas.openxmlformats.org/officeDocument/2006/relationships/hyperlink" Target="https://www.laccd.edu/board" TargetMode="External"/><Relationship Id="rId497" Type="http://schemas.openxmlformats.org/officeDocument/2006/relationships/hyperlink" Target="https://www.mccd.edu/" TargetMode="External"/><Relationship Id="rId620" Type="http://schemas.openxmlformats.org/officeDocument/2006/relationships/hyperlink" Target="https://www.sierracollege.edu/administration/board-of-trustees/" TargetMode="External"/><Relationship Id="rId357" Type="http://schemas.openxmlformats.org/officeDocument/2006/relationships/hyperlink" Target="mailto:dotten@cmccd.edu" TargetMode="External"/><Relationship Id="rId54" Type="http://schemas.openxmlformats.org/officeDocument/2006/relationships/hyperlink" Target="mailto:president@columbiabasin.edu" TargetMode="External"/><Relationship Id="rId217" Type="http://schemas.openxmlformats.org/officeDocument/2006/relationships/hyperlink" Target="mailto:drichardson@peralta.edu" TargetMode="External"/><Relationship Id="rId564" Type="http://schemas.openxmlformats.org/officeDocument/2006/relationships/hyperlink" Target="mailto:agalukyan@pasadena.edu" TargetMode="External"/><Relationship Id="rId424" Type="http://schemas.openxmlformats.org/officeDocument/2006/relationships/hyperlink" Target="mailto:barry.gribbons@lavc.edu" TargetMode="External"/><Relationship Id="rId631" Type="http://schemas.openxmlformats.org/officeDocument/2006/relationships/hyperlink" Target="https://www.taftcollege.edu/o/campusleadership/page/board-members" TargetMode="External"/><Relationship Id="rId270" Type="http://schemas.openxmlformats.org/officeDocument/2006/relationships/hyperlink" Target="mailto:kim.armstrong@cloviscollege.edu" TargetMode="External"/><Relationship Id="rId65" Type="http://schemas.openxmlformats.org/officeDocument/2006/relationships/hyperlink" Target="https://www.ghc.edu/" TargetMode="External"/><Relationship Id="rId130" Type="http://schemas.openxmlformats.org/officeDocument/2006/relationships/hyperlink" Target="mailto:lyonemitsu@shoreline.edu" TargetMode="External"/><Relationship Id="rId368" Type="http://schemas.openxmlformats.org/officeDocument/2006/relationships/hyperlink" Target="mailto:Pimentel@flc.losrios.edu" TargetMode="External"/><Relationship Id="rId575" Type="http://schemas.openxmlformats.org/officeDocument/2006/relationships/hyperlink" Target="mailto:gsmith@sdccd.edu" TargetMode="External"/><Relationship Id="rId228" Type="http://schemas.openxmlformats.org/officeDocument/2006/relationships/hyperlink" Target="https://www.calbright.org/" TargetMode="External"/><Relationship Id="rId435" Type="http://schemas.openxmlformats.org/officeDocument/2006/relationships/hyperlink" Target="https://www.elcamino.edu/leadership/trustees/" TargetMode="External"/><Relationship Id="rId642" Type="http://schemas.openxmlformats.org/officeDocument/2006/relationships/hyperlink" Target="https://www.yccd.edu/board/" TargetMode="External"/><Relationship Id="rId281" Type="http://schemas.openxmlformats.org/officeDocument/2006/relationships/hyperlink" Target="https://www.coastline.edu/" TargetMode="External"/><Relationship Id="rId502" Type="http://schemas.openxmlformats.org/officeDocument/2006/relationships/hyperlink" Target="https://www.miracosta.edu/office-of-the-president/board-of-trustees/index.html" TargetMode="External"/><Relationship Id="rId76" Type="http://schemas.openxmlformats.org/officeDocument/2006/relationships/hyperlink" Target="tel:+1-(206)592-4943" TargetMode="External"/><Relationship Id="rId141" Type="http://schemas.openxmlformats.org/officeDocument/2006/relationships/hyperlink" Target="https://southseattle.edu/" TargetMode="External"/><Relationship Id="rId379" Type="http://schemas.openxmlformats.org/officeDocument/2006/relationships/hyperlink" Target="mailto:drodriguez@sbccd.edu" TargetMode="External"/><Relationship Id="rId586" Type="http://schemas.openxmlformats.org/officeDocument/2006/relationships/hyperlink" Target="https://www.sdmiramar.edu/" TargetMode="External"/><Relationship Id="rId7" Type="http://schemas.openxmlformats.org/officeDocument/2006/relationships/hyperlink" Target="https://www.bellevuecollege.edu/about-us/college-leadership/president/" TargetMode="External"/><Relationship Id="rId239" Type="http://schemas.openxmlformats.org/officeDocument/2006/relationships/hyperlink" Target="https://smccd.edu/strategicplanning/Updated_2025_DistrictStrategicPlan_11x8.5in.pdf" TargetMode="External"/><Relationship Id="rId446" Type="http://schemas.openxmlformats.org/officeDocument/2006/relationships/hyperlink" Target="mailto:Darlene.Specht@sjcc.edu" TargetMode="External"/><Relationship Id="rId292" Type="http://schemas.openxmlformats.org/officeDocument/2006/relationships/hyperlink" Target="mailto:dretes@gwc.cccd.edu" TargetMode="External"/><Relationship Id="rId306" Type="http://schemas.openxmlformats.org/officeDocument/2006/relationships/hyperlink" Target="mailto:jmei@peralta.edu" TargetMode="External"/><Relationship Id="rId87" Type="http://schemas.openxmlformats.org/officeDocument/2006/relationships/hyperlink" Target="https://www.lwtech.edu/about-us/our-story/mission.aspx" TargetMode="External"/><Relationship Id="rId513" Type="http://schemas.openxmlformats.org/officeDocument/2006/relationships/hyperlink" Target="https://www.mpc.edu/" TargetMode="External"/><Relationship Id="rId597" Type="http://schemas.openxmlformats.org/officeDocument/2006/relationships/hyperlink" Target="mailto:schumacher_leisa@sac.edu" TargetMode="External"/><Relationship Id="rId152" Type="http://schemas.openxmlformats.org/officeDocument/2006/relationships/hyperlink" Target="https://ccs.spokane.edu/About-Us/Leadership/Board-of-Trustees" TargetMode="External"/><Relationship Id="rId457" Type="http://schemas.openxmlformats.org/officeDocument/2006/relationships/hyperlink" Target="mailto:laura.choi@fresnocitycollege.edu" TargetMode="External"/><Relationship Id="rId14" Type="http://schemas.openxmlformats.org/officeDocument/2006/relationships/hyperlink" Target="https://www.btc.edu/AboutBTC/OfficeofthePresident.html" TargetMode="External"/><Relationship Id="rId317" Type="http://schemas.openxmlformats.org/officeDocument/2006/relationships/hyperlink" Target="https://www.collegeofthedesert.edu/" TargetMode="External"/><Relationship Id="rId524" Type="http://schemas.openxmlformats.org/officeDocument/2006/relationships/hyperlink" Target="mailto:jsokenu@vcccd.edu" TargetMode="External"/><Relationship Id="rId98" Type="http://schemas.openxmlformats.org/officeDocument/2006/relationships/hyperlink" Target="https://www.seattlecolleges.edu/about/leadership-and-organization/board-trustees" TargetMode="External"/><Relationship Id="rId163" Type="http://schemas.openxmlformats.org/officeDocument/2006/relationships/hyperlink" Target="https://www.wvc.edu/" TargetMode="External"/><Relationship Id="rId370" Type="http://schemas.openxmlformats.org/officeDocument/2006/relationships/hyperlink" Target="https://flc.losrios.edu/flc/shared/doc/about-us/College-Strategic-Plan.pdf" TargetMode="External"/><Relationship Id="rId230" Type="http://schemas.openxmlformats.org/officeDocument/2006/relationships/hyperlink" Target="mailto:carmen@calbright.org" TargetMode="External"/><Relationship Id="rId468" Type="http://schemas.openxmlformats.org/officeDocument/2006/relationships/hyperlink" Target="https://www.glendale.edu/" TargetMode="External"/><Relationship Id="rId25" Type="http://schemas.openxmlformats.org/officeDocument/2006/relationships/hyperlink" Target="https://www.cascadia.edu/" TargetMode="External"/><Relationship Id="rId328" Type="http://schemas.openxmlformats.org/officeDocument/2006/relationships/hyperlink" Target="https://www.siskiyous.edu/board/" TargetMode="External"/><Relationship Id="rId535" Type="http://schemas.openxmlformats.org/officeDocument/2006/relationships/hyperlink" Target="mailto:Irene.Morales@mvc.edu" TargetMode="External"/><Relationship Id="rId174" Type="http://schemas.openxmlformats.org/officeDocument/2006/relationships/hyperlink" Target="mailto:jsheehan@yvcc.edu" TargetMode="External"/><Relationship Id="rId381" Type="http://schemas.openxmlformats.org/officeDocument/2006/relationships/hyperlink" Target="mailto:khoran@craftonhills.edu" TargetMode="External"/><Relationship Id="rId602" Type="http://schemas.openxmlformats.org/officeDocument/2006/relationships/hyperlink" Target="mailto:eaendrijonas@pipeline.sbcc.edu" TargetMode="External"/><Relationship Id="rId241" Type="http://schemas.openxmlformats.org/officeDocument/2006/relationships/hyperlink" Target="mailto:carternate@smccd.edu" TargetMode="External"/><Relationship Id="rId479" Type="http://schemas.openxmlformats.org/officeDocument/2006/relationships/hyperlink" Target="https://www.ivc.edu/" TargetMode="External"/><Relationship Id="rId36" Type="http://schemas.openxmlformats.org/officeDocument/2006/relationships/hyperlink" Target="https://www.clark.edu/" TargetMode="External"/><Relationship Id="rId339" Type="http://schemas.openxmlformats.org/officeDocument/2006/relationships/hyperlink" Target="https://yosemiteccd.sharepoint.com/teams/MJCInstitutionalEffectivenessandAccreditationCommittee-2023ISER2/Shared%20Documents/Forms/AllItems.aspx?id=%2Fteams%2FMJCInstitutionalEffectivenessandAccreditationCommittee%2D2023ISER2%2FShared%20Documents%2F2023%20ISER%2FPlans%20for%20Public%20View%2F2023%2D2028%20MJC%20Strategic%20Plan%20%28Accessible%20Version%29%2Epdf&amp;parent=%2Fteams%2FMJCInstitutionalEffectivenessandAccreditationCommittee%2D2023ISER2%2FShared%20Documents%2F2023%20ISER%2FPlans%20for%20Public%20View&amp;p=true&amp;ga=1" TargetMode="External"/><Relationship Id="rId546" Type="http://schemas.openxmlformats.org/officeDocument/2006/relationships/hyperlink" Target="mailto:tdotson@msjc.edu" TargetMode="External"/><Relationship Id="rId101" Type="http://schemas.openxmlformats.org/officeDocument/2006/relationships/hyperlink" Target="https://www.seattlecolleges.edu/about/leadership-and-organization/board-trustees" TargetMode="External"/><Relationship Id="rId185" Type="http://schemas.openxmlformats.org/officeDocument/2006/relationships/hyperlink" Target="tel:3607044313" TargetMode="External"/><Relationship Id="rId406" Type="http://schemas.openxmlformats.org/officeDocument/2006/relationships/hyperlink" Target="https://www.laccd.edu/board" TargetMode="External"/><Relationship Id="rId392" Type="http://schemas.openxmlformats.org/officeDocument/2006/relationships/hyperlink" Target="mailto:valeri.wilson@gcccd.edu" TargetMode="External"/><Relationship Id="rId613" Type="http://schemas.openxmlformats.org/officeDocument/2006/relationships/hyperlink" Target="mailto:angelicagarcia@santarosa.edu" TargetMode="External"/><Relationship Id="rId252" Type="http://schemas.openxmlformats.org/officeDocument/2006/relationships/hyperlink" Target="mailto:rgerhard@clpccd.org" TargetMode="External"/><Relationship Id="rId47" Type="http://schemas.openxmlformats.org/officeDocument/2006/relationships/hyperlink" Target="https://www.columbiabasin.edu/" TargetMode="External"/><Relationship Id="rId112" Type="http://schemas.openxmlformats.org/officeDocument/2006/relationships/hyperlink" Target="https://www.pierce.ctc.edu/about/mission-vision/board/index.html" TargetMode="External"/><Relationship Id="rId557" Type="http://schemas.openxmlformats.org/officeDocument/2006/relationships/hyperlink" Target="https://www.palomar.edu/" TargetMode="External"/><Relationship Id="rId196" Type="http://schemas.openxmlformats.org/officeDocument/2006/relationships/hyperlink" Target="mailto:michele.schottelkorb@avc.edu" TargetMode="External"/><Relationship Id="rId417" Type="http://schemas.openxmlformats.org/officeDocument/2006/relationships/hyperlink" Target="mailto:gebrua@lacitycollege.edu" TargetMode="External"/><Relationship Id="rId459" Type="http://schemas.openxmlformats.org/officeDocument/2006/relationships/hyperlink" Target="mailto:monica.armenta@maderacollege.edu" TargetMode="External"/><Relationship Id="rId624" Type="http://schemas.openxmlformats.org/officeDocument/2006/relationships/hyperlink" Target="mailto:Tiffany.Casimere@solano.edu" TargetMode="External"/><Relationship Id="rId16" Type="http://schemas.openxmlformats.org/officeDocument/2006/relationships/hyperlink" Target="https://www.btc.edu/AboutBTC/ReportsandPolicies/InstitutionalEffectiveness.html" TargetMode="External"/><Relationship Id="rId221" Type="http://schemas.openxmlformats.org/officeDocument/2006/relationships/hyperlink" Target="https://www.butte.edu/directory/profiles/cafferataainsworthme.html" TargetMode="External"/><Relationship Id="rId263" Type="http://schemas.openxmlformats.org/officeDocument/2006/relationships/hyperlink" Target="https://files.citruscollege.edu/research/planning/sp2631ada.pdf" TargetMode="External"/><Relationship Id="rId319" Type="http://schemas.openxmlformats.org/officeDocument/2006/relationships/hyperlink" Target="https://www.redwoods.edu/about/board/index.php" TargetMode="External"/><Relationship Id="rId470" Type="http://schemas.openxmlformats.org/officeDocument/2006/relationships/hyperlink" Target="https://www.hartnell.edu/" TargetMode="External"/><Relationship Id="rId526" Type="http://schemas.openxmlformats.org/officeDocument/2006/relationships/hyperlink" Target="mailto:rogonzalez@vcccd.edu" TargetMode="External"/><Relationship Id="rId58" Type="http://schemas.openxmlformats.org/officeDocument/2006/relationships/hyperlink" Target="https://www.edmonds.edu/about-edmonds/about-our-college/comprehensive-plan/?_gl=1*63x9lv*_up*MQ..*_ga*MTQxNDM4MjE0OS4xNzgzMDQxNzQ1*_ga_BFCK93FZ9X*czE3ODMwNDE3NDUkbzEkZzEkdDE3ODMwNDE5MTkkajQ5JGwwJGgxNTg5NjI3NTUx" TargetMode="External"/><Relationship Id="rId123" Type="http://schemas.openxmlformats.org/officeDocument/2006/relationships/hyperlink" Target="mailto:yharden@rtc.edu" TargetMode="External"/><Relationship Id="rId330" Type="http://schemas.openxmlformats.org/officeDocument/2006/relationships/hyperlink" Target="mailto:sedlmeyerj@yosemite.edu" TargetMode="External"/><Relationship Id="rId568" Type="http://schemas.openxmlformats.org/officeDocument/2006/relationships/hyperlink" Target="https://www.riohondo.edu/" TargetMode="External"/><Relationship Id="rId165" Type="http://schemas.openxmlformats.org/officeDocument/2006/relationships/hyperlink" Target="mailto:fharrison@wvc.edu" TargetMode="External"/><Relationship Id="rId372" Type="http://schemas.openxmlformats.org/officeDocument/2006/relationships/hyperlink" Target="mailto:MejiaA@scc.losrios.edu" TargetMode="External"/><Relationship Id="rId428" Type="http://schemas.openxmlformats.org/officeDocument/2006/relationships/hyperlink" Target="https://www.fhda.edu/_about-us/_board/index.html" TargetMode="External"/><Relationship Id="rId635" Type="http://schemas.openxmlformats.org/officeDocument/2006/relationships/hyperlink" Target="https://wcc.yccd.edu/" TargetMode="External"/><Relationship Id="rId232" Type="http://schemas.openxmlformats.org/officeDocument/2006/relationships/hyperlink" Target="https://www.calbright.edu/wp-content/uploads/2024/01/Calbright-College-Strategic-Vision-2024-2027.pdf" TargetMode="External"/><Relationship Id="rId274" Type="http://schemas.openxmlformats.org/officeDocument/2006/relationships/hyperlink" Target="https://issuu.com/westhillsmagazine/docs/64506727_whcc_strategic_plan_2021-2026?mode=window" TargetMode="External"/><Relationship Id="rId481" Type="http://schemas.openxmlformats.org/officeDocument/2006/relationships/hyperlink" Target="mailto:jbarnes@soccd.edu" TargetMode="External"/><Relationship Id="rId27" Type="http://schemas.openxmlformats.org/officeDocument/2006/relationships/hyperlink" Target="mailto:emurray@cascadia.edu" TargetMode="External"/><Relationship Id="rId69" Type="http://schemas.openxmlformats.org/officeDocument/2006/relationships/hyperlink" Target="mailto:carli.schiffner@ghc.edu%20" TargetMode="External"/><Relationship Id="rId134" Type="http://schemas.openxmlformats.org/officeDocument/2006/relationships/hyperlink" Target="https://www.skagit.edu/leadership/trustees/" TargetMode="External"/><Relationship Id="rId537" Type="http://schemas.openxmlformats.org/officeDocument/2006/relationships/hyperlink" Target="mailto:monica.green@norcocollege.edu" TargetMode="External"/><Relationship Id="rId579" Type="http://schemas.openxmlformats.org/officeDocument/2006/relationships/hyperlink" Target="mailto:amaua@sdccd.edu" TargetMode="External"/><Relationship Id="rId80" Type="http://schemas.openxmlformats.org/officeDocument/2006/relationships/hyperlink" Target="https://www.lwtech.edu/about-us/index.aspx" TargetMode="External"/><Relationship Id="rId176" Type="http://schemas.openxmlformats.org/officeDocument/2006/relationships/hyperlink" Target="https://yvcc.edu/presidents-office/strategic-plan.php" TargetMode="External"/><Relationship Id="rId341" Type="http://schemas.openxmlformats.org/officeDocument/2006/relationships/hyperlink" Target="mailto:kcurry@compton.edu" TargetMode="External"/><Relationship Id="rId383" Type="http://schemas.openxmlformats.org/officeDocument/2006/relationships/hyperlink" Target="https://www.craftonhills.edu/visitors-and-alumni/giving-to-chc/about-the-foundation/documents/strategic-plan.pdf" TargetMode="External"/><Relationship Id="rId439" Type="http://schemas.openxmlformats.org/officeDocument/2006/relationships/hyperlink" Target="https://sjeccd.edu/discover-sjeccd/board-of-trustees" TargetMode="External"/><Relationship Id="rId590" Type="http://schemas.openxmlformats.org/officeDocument/2006/relationships/hyperlink" Target="https://www.deltacollege.edu/about/offices/board-trustees" TargetMode="External"/><Relationship Id="rId604" Type="http://schemas.openxmlformats.org/officeDocument/2006/relationships/hyperlink" Target="https://www.smc.edu/" TargetMode="External"/><Relationship Id="rId201" Type="http://schemas.openxmlformats.org/officeDocument/2006/relationships/hyperlink" Target="https://www.kccd.edu/board-trustees/index.html" TargetMode="External"/><Relationship Id="rId243" Type="http://schemas.openxmlformats.org/officeDocument/2006/relationships/hyperlink" Target="mailto:canexasst@smccd.edu" TargetMode="External"/><Relationship Id="rId285" Type="http://schemas.openxmlformats.org/officeDocument/2006/relationships/hyperlink" Target="mailto:vrodriguez@coastline.edu" TargetMode="External"/><Relationship Id="rId450" Type="http://schemas.openxmlformats.org/officeDocument/2006/relationships/hyperlink" Target="mailto:ckolb@frc.edu" TargetMode="External"/><Relationship Id="rId506" Type="http://schemas.openxmlformats.org/officeDocument/2006/relationships/hyperlink" Target="mailto:bradley.davis@westvalley.edu" TargetMode="External"/><Relationship Id="rId38" Type="http://schemas.openxmlformats.org/officeDocument/2006/relationships/hyperlink" Target="mailto:kedwards@clark.edu" TargetMode="External"/><Relationship Id="rId103" Type="http://schemas.openxmlformats.org/officeDocument/2006/relationships/hyperlink" Target="https://www.olympic.edu/about/board-trustees" TargetMode="External"/><Relationship Id="rId310" Type="http://schemas.openxmlformats.org/officeDocument/2006/relationships/hyperlink" Target="https://www.marin.edu/" TargetMode="External"/><Relationship Id="rId492" Type="http://schemas.openxmlformats.org/officeDocument/2006/relationships/hyperlink" Target="mailto:mmunoz@lbcc.edu" TargetMode="External"/><Relationship Id="rId548" Type="http://schemas.openxmlformats.org/officeDocument/2006/relationships/hyperlink" Target="https://www.napavalley.edu/about/board-of-trustees/index.html" TargetMode="External"/><Relationship Id="rId91" Type="http://schemas.openxmlformats.org/officeDocument/2006/relationships/hyperlink" Target="https://northseattle.edu/media/document/3901" TargetMode="External"/><Relationship Id="rId145" Type="http://schemas.openxmlformats.org/officeDocument/2006/relationships/hyperlink" Target="mailto:nancy.delgado@scc.spokane.edu" TargetMode="External"/><Relationship Id="rId187" Type="http://schemas.openxmlformats.org/officeDocument/2006/relationships/hyperlink" Target="mailto:powellt@losrios.edu" TargetMode="External"/><Relationship Id="rId352" Type="http://schemas.openxmlformats.org/officeDocument/2006/relationships/hyperlink" Target="https://www.4cd.edu/research/district-strategic-plan/index.html" TargetMode="External"/><Relationship Id="rId394" Type="http://schemas.openxmlformats.org/officeDocument/2006/relationships/hyperlink" Target="mailto:pamela.luster@gcccd.edu" TargetMode="External"/><Relationship Id="rId408" Type="http://schemas.openxmlformats.org/officeDocument/2006/relationships/hyperlink" Target="https://www.laccd.edu/board" TargetMode="External"/><Relationship Id="rId615" Type="http://schemas.openxmlformats.org/officeDocument/2006/relationships/hyperlink" Target="https://www.shastacollege.edu/" TargetMode="External"/><Relationship Id="rId212" Type="http://schemas.openxmlformats.org/officeDocument/2006/relationships/hyperlink" Target="mailto:mhenderson@barstow.edu" TargetMode="External"/><Relationship Id="rId254" Type="http://schemas.openxmlformats.org/officeDocument/2006/relationships/hyperlink" Target="mailto:dfoster@laspositascollege.edu" TargetMode="External"/><Relationship Id="rId49" Type="http://schemas.openxmlformats.org/officeDocument/2006/relationships/hyperlink" Target="mailto:rwoods@columbiabasin.edu" TargetMode="External"/><Relationship Id="rId114" Type="http://schemas.openxmlformats.org/officeDocument/2006/relationships/hyperlink" Target="mailto:MCampbell@pierce.ctc.edu" TargetMode="External"/><Relationship Id="rId296" Type="http://schemas.openxmlformats.org/officeDocument/2006/relationships/hyperlink" Target="https://www.peralta.edu/boardoftrustees" TargetMode="External"/><Relationship Id="rId461" Type="http://schemas.openxmlformats.org/officeDocument/2006/relationships/hyperlink" Target="mailto:sarina.navarro@reedlycollege.edu" TargetMode="External"/><Relationship Id="rId517" Type="http://schemas.openxmlformats.org/officeDocument/2006/relationships/hyperlink" Target="mailto:rmaclennan@vcccd.edu" TargetMode="External"/><Relationship Id="rId559" Type="http://schemas.openxmlformats.org/officeDocument/2006/relationships/hyperlink" Target="mailto:trecalde@palomar.edu" TargetMode="External"/><Relationship Id="rId60" Type="http://schemas.openxmlformats.org/officeDocument/2006/relationships/hyperlink" Target="https://www.everettcc.edu/" TargetMode="External"/><Relationship Id="rId156" Type="http://schemas.openxmlformats.org/officeDocument/2006/relationships/hyperlink" Target="mailto:nboes@tacomacc.edu" TargetMode="External"/><Relationship Id="rId198" Type="http://schemas.openxmlformats.org/officeDocument/2006/relationships/hyperlink" Target="mailto:catherine.guerrero@bakersfieldcollege.edu" TargetMode="External"/><Relationship Id="rId321" Type="http://schemas.openxmlformats.org/officeDocument/2006/relationships/hyperlink" Target="https://www.cos.edu/" TargetMode="External"/><Relationship Id="rId363" Type="http://schemas.openxmlformats.org/officeDocument/2006/relationships/hyperlink" Target="mailto:powellt@losrios.edu" TargetMode="External"/><Relationship Id="rId419" Type="http://schemas.openxmlformats.org/officeDocument/2006/relationships/hyperlink" Target="mailto:sancheo@lamission.edu" TargetMode="External"/><Relationship Id="rId570" Type="http://schemas.openxmlformats.org/officeDocument/2006/relationships/hyperlink" Target="https://www.sdccd.edu/about/leadership/board-of-trustees/index.aspx" TargetMode="External"/><Relationship Id="rId626" Type="http://schemas.openxmlformats.org/officeDocument/2006/relationships/hyperlink" Target="https://www.swccd.edu/" TargetMode="External"/><Relationship Id="rId223" Type="http://schemas.openxmlformats.org/officeDocument/2006/relationships/hyperlink" Target="mailto:guleffvi@butte.edu" TargetMode="External"/><Relationship Id="rId430" Type="http://schemas.openxmlformats.org/officeDocument/2006/relationships/hyperlink" Target="mailto:lambertlee@fhda.edu" TargetMode="External"/><Relationship Id="rId18" Type="http://schemas.openxmlformats.org/officeDocument/2006/relationships/hyperlink" Target="https://www.bigbend.edu/" TargetMode="External"/><Relationship Id="rId265" Type="http://schemas.openxmlformats.org/officeDocument/2006/relationships/hyperlink" Target="mailto:gschulz@citruscollege.edu" TargetMode="External"/><Relationship Id="rId472" Type="http://schemas.openxmlformats.org/officeDocument/2006/relationships/hyperlink" Target="mailto:mjgutierrez@hartnell.edu" TargetMode="External"/><Relationship Id="rId528" Type="http://schemas.openxmlformats.org/officeDocument/2006/relationships/hyperlink" Target="mailto:llewis@vcccd.edu" TargetMode="External"/><Relationship Id="rId125" Type="http://schemas.openxmlformats.org/officeDocument/2006/relationships/hyperlink" Target="https://seattlecentral.edu/" TargetMode="External"/><Relationship Id="rId167" Type="http://schemas.openxmlformats.org/officeDocument/2006/relationships/hyperlink" Target="https://www.whatcom.edu/" TargetMode="External"/><Relationship Id="rId332" Type="http://schemas.openxmlformats.org/officeDocument/2006/relationships/hyperlink" Target="https://gocolumbia.edu/administration/research_planning/content/planning_documents/cc_strategic_plan_2022.pdf" TargetMode="External"/><Relationship Id="rId374" Type="http://schemas.openxmlformats.org/officeDocument/2006/relationships/hyperlink" Target="https://sbccd.edu/about-sbccd/board-of-trustees/index.php" TargetMode="External"/><Relationship Id="rId581" Type="http://schemas.openxmlformats.org/officeDocument/2006/relationships/hyperlink" Target="https://sdcce.edu/" TargetMode="External"/><Relationship Id="rId71" Type="http://schemas.openxmlformats.org/officeDocument/2006/relationships/hyperlink" Target="https://www.greenriver.edu/" TargetMode="External"/><Relationship Id="rId234" Type="http://schemas.openxmlformats.org/officeDocument/2006/relationships/hyperlink" Target="tel:(650)%20306-3456" TargetMode="External"/><Relationship Id="rId637" Type="http://schemas.openxmlformats.org/officeDocument/2006/relationships/hyperlink" Target="mailto:cmichel3@yccd.edu" TargetMode="External"/><Relationship Id="rId2" Type="http://schemas.openxmlformats.org/officeDocument/2006/relationships/hyperlink" Target="https://www.batestech.edu/" TargetMode="External"/><Relationship Id="rId29" Type="http://schemas.openxmlformats.org/officeDocument/2006/relationships/hyperlink" Target="https://www.cascadia.edu/_resources/documents/about/governance-accreditation/Strategic%20Plan%202024-25%20v1_Apr11.pdf" TargetMode="External"/><Relationship Id="rId276" Type="http://schemas.openxmlformats.org/officeDocument/2006/relationships/hyperlink" Target="mailto:robertpimentel@whccd.edu" TargetMode="External"/><Relationship Id="rId441" Type="http://schemas.openxmlformats.org/officeDocument/2006/relationships/hyperlink" Target="tel:1-408-270-6402" TargetMode="External"/><Relationship Id="rId483" Type="http://schemas.openxmlformats.org/officeDocument/2006/relationships/hyperlink" Target="mailto:tfain@saddleback.edu" TargetMode="External"/><Relationship Id="rId539" Type="http://schemas.openxmlformats.org/officeDocument/2006/relationships/hyperlink" Target="mailto:heidi.gonsier@rccd.edu" TargetMode="External"/><Relationship Id="rId40" Type="http://schemas.openxmlformats.org/officeDocument/2006/relationships/hyperlink" Target="https://www.clark.edu/about/governance/strategic_plan/strategic-plan.pdf" TargetMode="External"/><Relationship Id="rId136" Type="http://schemas.openxmlformats.org/officeDocument/2006/relationships/hyperlink" Target="https://www.skagit.edu/institutional-planning-student-success/accreditation/assets/25-26-261%20strategic-plan-v4.pdf" TargetMode="External"/><Relationship Id="rId178" Type="http://schemas.openxmlformats.org/officeDocument/2006/relationships/hyperlink" Target="https://www.hancockcollege.edu/board/index.php" TargetMode="External"/><Relationship Id="rId301" Type="http://schemas.openxmlformats.org/officeDocument/2006/relationships/hyperlink" Target="mailto:tgilkerson@peralta.edu%20" TargetMode="External"/><Relationship Id="rId343" Type="http://schemas.openxmlformats.org/officeDocument/2006/relationships/hyperlink" Target="https://www.compton.edu/district/board-of-trustees/index.aspx" TargetMode="External"/><Relationship Id="rId550" Type="http://schemas.openxmlformats.org/officeDocument/2006/relationships/hyperlink" Target="mailto:grace.bungart@napavalley.edu" TargetMode="External"/><Relationship Id="rId82" Type="http://schemas.openxmlformats.org/officeDocument/2006/relationships/hyperlink" Target="https://www.lowercolumbia.edu/" TargetMode="External"/><Relationship Id="rId203" Type="http://schemas.openxmlformats.org/officeDocument/2006/relationships/hyperlink" Target="https://www.kccd.edu/board-trustees/index.html" TargetMode="External"/><Relationship Id="rId385" Type="http://schemas.openxmlformats.org/officeDocument/2006/relationships/hyperlink" Target="mailto:cynthia_dilbeck@cuesta.edu" TargetMode="External"/><Relationship Id="rId592" Type="http://schemas.openxmlformats.org/officeDocument/2006/relationships/hyperlink" Target="mailto:lisa.lawrenson@deltacollege.edu" TargetMode="External"/><Relationship Id="rId606" Type="http://schemas.openxmlformats.org/officeDocument/2006/relationships/hyperlink" Target="mailto:kelly_ann@sccollege.edu" TargetMode="External"/><Relationship Id="rId245" Type="http://schemas.openxmlformats.org/officeDocument/2006/relationships/hyperlink" Target="mailto:jfierro@cerritos.edu." TargetMode="External"/><Relationship Id="rId287" Type="http://schemas.openxmlformats.org/officeDocument/2006/relationships/hyperlink" Target="https://www.cccd.edu/boardoftrustees/index.html" TargetMode="External"/><Relationship Id="rId410" Type="http://schemas.openxmlformats.org/officeDocument/2006/relationships/hyperlink" Target="https://www.laccd.edu/board" TargetMode="External"/><Relationship Id="rId452" Type="http://schemas.openxmlformats.org/officeDocument/2006/relationships/hyperlink" Target="https://www.scccd.edu/about/board-of-trustees/index.html" TargetMode="External"/><Relationship Id="rId494" Type="http://schemas.openxmlformats.org/officeDocument/2006/relationships/hyperlink" Target="https://www.mendocino.edu/" TargetMode="External"/><Relationship Id="rId508" Type="http://schemas.openxmlformats.org/officeDocument/2006/relationships/hyperlink" Target="https://www.missioncollege.edu/" TargetMode="External"/><Relationship Id="rId105" Type="http://schemas.openxmlformats.org/officeDocument/2006/relationships/hyperlink" Target="tel:360-475-7105" TargetMode="External"/><Relationship Id="rId147" Type="http://schemas.openxmlformats.org/officeDocument/2006/relationships/hyperlink" Target="mailto:Jenni.Martin@scc.spokane.edu" TargetMode="External"/><Relationship Id="rId312" Type="http://schemas.openxmlformats.org/officeDocument/2006/relationships/hyperlink" Target="https://prie.marin.edu/sites/default/files/Strategic-Plan-2022-2025-e.pdf" TargetMode="External"/><Relationship Id="rId354" Type="http://schemas.openxmlformats.org/officeDocument/2006/relationships/hyperlink" Target="mailto:pralston@losmedanos.edu" TargetMode="External"/><Relationship Id="rId51" Type="http://schemas.openxmlformats.org/officeDocument/2006/relationships/hyperlink" Target="https://www.columbiabasin.edu/connect/about-cbc/our-leadership/board-of-trustees.html" TargetMode="External"/><Relationship Id="rId93" Type="http://schemas.openxmlformats.org/officeDocument/2006/relationships/hyperlink" Target="mailto:Rosie.Rimando@seattlecolleges.edu" TargetMode="External"/><Relationship Id="rId189" Type="http://schemas.openxmlformats.org/officeDocument/2006/relationships/hyperlink" Target="mailto:lewisa@arc.losrios.edu" TargetMode="External"/><Relationship Id="rId396" Type="http://schemas.openxmlformats.org/officeDocument/2006/relationships/hyperlink" Target="https://www.nocccd.edu/board-trustees" TargetMode="External"/><Relationship Id="rId561" Type="http://schemas.openxmlformats.org/officeDocument/2006/relationships/hyperlink" Target="https://www.pasadena.edu/" TargetMode="External"/><Relationship Id="rId617" Type="http://schemas.openxmlformats.org/officeDocument/2006/relationships/hyperlink" Target="mailto:fnigro@shastacollege.edu" TargetMode="External"/><Relationship Id="rId214" Type="http://schemas.openxmlformats.org/officeDocument/2006/relationships/hyperlink" Target="https://www.barstow.edu/about-bcc/institutional-effectiveness/strategic-plan" TargetMode="External"/><Relationship Id="rId256" Type="http://schemas.openxmlformats.org/officeDocument/2006/relationships/hyperlink" Target="mailto:rgerhard@clpccd.org" TargetMode="External"/><Relationship Id="rId298" Type="http://schemas.openxmlformats.org/officeDocument/2006/relationships/hyperlink" Target="https://www.peralta.edu/boardoftrustees" TargetMode="External"/><Relationship Id="rId421" Type="http://schemas.openxmlformats.org/officeDocument/2006/relationships/hyperlink" Target="mailto:koanimk@piercecollege.edu" TargetMode="External"/><Relationship Id="rId463" Type="http://schemas.openxmlformats.org/officeDocument/2006/relationships/hyperlink" Target="mailto:vmartinezgarcia@collegeofthedesert.edu" TargetMode="External"/><Relationship Id="rId519" Type="http://schemas.openxmlformats.org/officeDocument/2006/relationships/hyperlink" Target="tel:8056525507" TargetMode="External"/><Relationship Id="rId116" Type="http://schemas.openxmlformats.org/officeDocument/2006/relationships/hyperlink" Target="mailto:JUWhite@pierce.ctc.edu" TargetMode="External"/><Relationship Id="rId158" Type="http://schemas.openxmlformats.org/officeDocument/2006/relationships/hyperlink" Target="https://www.wwcc.edu/" TargetMode="External"/><Relationship Id="rId323" Type="http://schemas.openxmlformats.org/officeDocument/2006/relationships/hyperlink" Target="mailto:brentc@cos.edu" TargetMode="External"/><Relationship Id="rId530" Type="http://schemas.openxmlformats.org/officeDocument/2006/relationships/hyperlink" Target="https://rccd.edu/bot/index.html" TargetMode="External"/><Relationship Id="rId20" Type="http://schemas.openxmlformats.org/officeDocument/2006/relationships/hyperlink" Target="https://www.bigbend.edu/about-us/board-of-trustees.html" TargetMode="External"/><Relationship Id="rId62" Type="http://schemas.openxmlformats.org/officeDocument/2006/relationships/hyperlink" Target="https://www.everettcc.edu/about/governance/board-of-trustees/" TargetMode="External"/><Relationship Id="rId365" Type="http://schemas.openxmlformats.org/officeDocument/2006/relationships/hyperlink" Target="mailto:BushE@crc.losrios.edu" TargetMode="External"/><Relationship Id="rId572" Type="http://schemas.openxmlformats.org/officeDocument/2006/relationships/hyperlink" Target="https://www.sdccd.edu/about/leadership/board-of-trustees/index.aspx" TargetMode="External"/><Relationship Id="rId628" Type="http://schemas.openxmlformats.org/officeDocument/2006/relationships/hyperlink" Target="mailto:msanchez@swccd.edu" TargetMode="External"/><Relationship Id="rId225" Type="http://schemas.openxmlformats.org/officeDocument/2006/relationships/hyperlink" Target="https://www.cabrillo.edu/about-cabrillo/" TargetMode="External"/><Relationship Id="rId267" Type="http://schemas.openxmlformats.org/officeDocument/2006/relationships/hyperlink" Target="mailto:kmessina@ccsf.edu" TargetMode="External"/><Relationship Id="rId432" Type="http://schemas.openxmlformats.org/officeDocument/2006/relationships/hyperlink" Target="mailto:aguilarnathaly@deanza.edu" TargetMode="External"/><Relationship Id="rId474" Type="http://schemas.openxmlformats.org/officeDocument/2006/relationships/hyperlink" Target="https://imperial.community.diligentoneplatform.com/Portal/" TargetMode="External"/><Relationship Id="rId127" Type="http://schemas.openxmlformats.org/officeDocument/2006/relationships/hyperlink" Target="https://www.shoreline.edu/" TargetMode="External"/><Relationship Id="rId31" Type="http://schemas.openxmlformats.org/officeDocument/2006/relationships/hyperlink" Target="https://www.cascadia.edu/about/executive-team/default.aspx" TargetMode="External"/><Relationship Id="rId73" Type="http://schemas.openxmlformats.org/officeDocument/2006/relationships/hyperlink" Target="mailto:gfrasier@greenriver.edu" TargetMode="External"/><Relationship Id="rId169" Type="http://schemas.openxmlformats.org/officeDocument/2006/relationships/hyperlink" Target="https://www.whatcom.edu/about-wcc/about-the-college/mission-strategic-plan" TargetMode="External"/><Relationship Id="rId334" Type="http://schemas.openxmlformats.org/officeDocument/2006/relationships/hyperlink" Target="mailto:tranl@yosemite.edu" TargetMode="External"/><Relationship Id="rId376" Type="http://schemas.openxmlformats.org/officeDocument/2006/relationships/hyperlink" Target="tel:(909)%20388-6901" TargetMode="External"/><Relationship Id="rId541" Type="http://schemas.openxmlformats.org/officeDocument/2006/relationships/hyperlink" Target="https://www.mtsac.edu/governance/trustees/index.html" TargetMode="External"/><Relationship Id="rId583" Type="http://schemas.openxmlformats.org/officeDocument/2006/relationships/hyperlink" Target="mailto:dredulla@sdccd.edu" TargetMode="External"/><Relationship Id="rId639" Type="http://schemas.openxmlformats.org/officeDocument/2006/relationships/hyperlink" Target="mailto:gdiaz@yccd.edu" TargetMode="External"/><Relationship Id="rId4" Type="http://schemas.openxmlformats.org/officeDocument/2006/relationships/hyperlink" Target="https://dms.batestech.edu/wp-content/uploads/documents-directory/offices/president/President_WorkPlan_FY2025-26(1).pdf" TargetMode="External"/><Relationship Id="rId180" Type="http://schemas.openxmlformats.org/officeDocument/2006/relationships/hyperlink" Target="mailto:kevin.walthers@hancockcollege.edu%20" TargetMode="External"/><Relationship Id="rId236" Type="http://schemas.openxmlformats.org/officeDocument/2006/relationships/hyperlink" Target="mailto:morenomelissa@smccd.edu" TargetMode="External"/><Relationship Id="rId278" Type="http://schemas.openxmlformats.org/officeDocument/2006/relationships/hyperlink" Target="mailto:robertpimentel@whccd.edu" TargetMode="External"/><Relationship Id="rId401" Type="http://schemas.openxmlformats.org/officeDocument/2006/relationships/hyperlink" Target="mailto:sthayer@cypresscollege.edu" TargetMode="External"/><Relationship Id="rId443" Type="http://schemas.openxmlformats.org/officeDocument/2006/relationships/hyperlink" Target="mailto:beatriz.chaidez@sjeccd.edu" TargetMode="External"/><Relationship Id="rId303" Type="http://schemas.openxmlformats.org/officeDocument/2006/relationships/hyperlink" Target="https://www.alameda.edu/" TargetMode="External"/><Relationship Id="rId485" Type="http://schemas.openxmlformats.org/officeDocument/2006/relationships/hyperlink" Target="https://www.ltcc.edu/about/board-of-trustees/index.php" TargetMode="External"/><Relationship Id="rId42" Type="http://schemas.openxmlformats.org/officeDocument/2006/relationships/hyperlink" Target="https://www.cptc.edu/about/trustees" TargetMode="External"/><Relationship Id="rId84" Type="http://schemas.openxmlformats.org/officeDocument/2006/relationships/hyperlink" Target="https://lowercolumbia.edu/trustees/" TargetMode="External"/><Relationship Id="rId138" Type="http://schemas.openxmlformats.org/officeDocument/2006/relationships/hyperlink" Target="mailto:tstokes@spscc.edu" TargetMode="External"/><Relationship Id="rId345" Type="http://schemas.openxmlformats.org/officeDocument/2006/relationships/hyperlink" Target="mailto:mojdeh@4cd.edu" TargetMode="External"/><Relationship Id="rId387" Type="http://schemas.openxmlformats.org/officeDocument/2006/relationships/hyperlink" Target="mailto:lynn.neault@gcccd.edu" TargetMode="External"/><Relationship Id="rId510" Type="http://schemas.openxmlformats.org/officeDocument/2006/relationships/hyperlink" Target="mailto:Marie.Keith@missioncollege.edu" TargetMode="External"/><Relationship Id="rId552" Type="http://schemas.openxmlformats.org/officeDocument/2006/relationships/hyperlink" Target="https://www.ohlone.edu/board" TargetMode="External"/><Relationship Id="rId594" Type="http://schemas.openxmlformats.org/officeDocument/2006/relationships/hyperlink" Target="mailto:martinez_marvin@rsccd.edu" TargetMode="External"/><Relationship Id="rId608" Type="http://schemas.openxmlformats.org/officeDocument/2006/relationships/hyperlink" Target="mailto:rose_lisa@smc.edu" TargetMode="External"/><Relationship Id="rId191" Type="http://schemas.openxmlformats.org/officeDocument/2006/relationships/hyperlink" Target="https://losrios.edu/about-los-rios/board-of-trustees" TargetMode="External"/><Relationship Id="rId205" Type="http://schemas.openxmlformats.org/officeDocument/2006/relationships/hyperlink" Target="https://www.kccd.edu/board-trustees/index.html" TargetMode="External"/><Relationship Id="rId247" Type="http://schemas.openxmlformats.org/officeDocument/2006/relationships/hyperlink" Target="https://www.cerrocoso.edu/" TargetMode="External"/><Relationship Id="rId412" Type="http://schemas.openxmlformats.org/officeDocument/2006/relationships/hyperlink" Target="https://www.laccd.edu/board" TargetMode="External"/><Relationship Id="rId107" Type="http://schemas.openxmlformats.org/officeDocument/2006/relationships/hyperlink" Target="https://www.olympic.edu/about/strategic-plan-2024-2028" TargetMode="External"/><Relationship Id="rId289" Type="http://schemas.openxmlformats.org/officeDocument/2006/relationships/hyperlink" Target="https://www.cccd.edu/boardoftrustees/index.html" TargetMode="External"/><Relationship Id="rId454" Type="http://schemas.openxmlformats.org/officeDocument/2006/relationships/hyperlink" Target="https://www.scccd.edu/about/board-of-trustees/index.html" TargetMode="External"/><Relationship Id="rId496" Type="http://schemas.openxmlformats.org/officeDocument/2006/relationships/hyperlink" Target="mailto:tkaras@mendocino.edu" TargetMode="External"/><Relationship Id="rId11" Type="http://schemas.openxmlformats.org/officeDocument/2006/relationships/hyperlink" Target="mailto:david.may@bellevuecollege.edu" TargetMode="External"/><Relationship Id="rId53" Type="http://schemas.openxmlformats.org/officeDocument/2006/relationships/hyperlink" Target="mailto:kharper@columbiabasin.edu" TargetMode="External"/><Relationship Id="rId149" Type="http://schemas.openxmlformats.org/officeDocument/2006/relationships/hyperlink" Target="mailto:megan.gibson@sfcc.spokane.edu" TargetMode="External"/><Relationship Id="rId314" Type="http://schemas.openxmlformats.org/officeDocument/2006/relationships/hyperlink" Target="https://www.canyons.edu/administration/board/" TargetMode="External"/><Relationship Id="rId356" Type="http://schemas.openxmlformats.org/officeDocument/2006/relationships/hyperlink" Target="https://www.cmccd.edu/" TargetMode="External"/><Relationship Id="rId398" Type="http://schemas.openxmlformats.org/officeDocument/2006/relationships/hyperlink" Target="mailto:bbreland@nocccd.edu" TargetMode="External"/><Relationship Id="rId521" Type="http://schemas.openxmlformats.org/officeDocument/2006/relationships/hyperlink" Target="https://www.vcccd.edu/board-of-trustees" TargetMode="External"/><Relationship Id="rId563" Type="http://schemas.openxmlformats.org/officeDocument/2006/relationships/hyperlink" Target="mailto:pccprez@pasadena.edu" TargetMode="External"/><Relationship Id="rId619" Type="http://schemas.openxmlformats.org/officeDocument/2006/relationships/hyperlink" Target="https://www.sierracollege.edu/" TargetMode="External"/><Relationship Id="rId95" Type="http://schemas.openxmlformats.org/officeDocument/2006/relationships/hyperlink" Target="mailto:Rachel.Solemsaas@seattlecolleges.edu" TargetMode="External"/><Relationship Id="rId160" Type="http://schemas.openxmlformats.org/officeDocument/2006/relationships/hyperlink" Target="mailto:chad.hickox@wwcc.edu" TargetMode="External"/><Relationship Id="rId216" Type="http://schemas.openxmlformats.org/officeDocument/2006/relationships/hyperlink" Target="mailto:bcc-president@peralta.edu" TargetMode="External"/><Relationship Id="rId423" Type="http://schemas.openxmlformats.org/officeDocument/2006/relationships/hyperlink" Target="mailto:mcquarad@lattc.edu" TargetMode="External"/><Relationship Id="rId258" Type="http://schemas.openxmlformats.org/officeDocument/2006/relationships/hyperlink" Target="mailto:kreddy@chabotcollege.edu" TargetMode="External"/><Relationship Id="rId465" Type="http://schemas.openxmlformats.org/officeDocument/2006/relationships/hyperlink" Target="https://www.gavilan.edu/administration/board/index.php" TargetMode="External"/><Relationship Id="rId630" Type="http://schemas.openxmlformats.org/officeDocument/2006/relationships/hyperlink" Target="https://www.taftcollege.edu/" TargetMode="External"/><Relationship Id="rId22" Type="http://schemas.openxmlformats.org/officeDocument/2006/relationships/hyperlink" Target="mailto:SaraT@bigbend.edu" TargetMode="External"/><Relationship Id="rId64" Type="http://schemas.openxmlformats.org/officeDocument/2006/relationships/hyperlink" Target="https://www.everettcc.edu/wp-content/uploads/2026/06/strategic-plan-adopted-121421-FINAL-1.pdf" TargetMode="External"/><Relationship Id="rId118" Type="http://schemas.openxmlformats.org/officeDocument/2006/relationships/hyperlink" Target="mailto:JUWhite@pierce.ctc.edu" TargetMode="External"/><Relationship Id="rId325" Type="http://schemas.openxmlformats.org/officeDocument/2006/relationships/hyperlink" Target="https://www.cos.edu/en-us/Accreditation/Documents/Institutional%20Planning%20Documents/2025_2028%20Strategic%20Plan.pdf" TargetMode="External"/><Relationship Id="rId367" Type="http://schemas.openxmlformats.org/officeDocument/2006/relationships/hyperlink" Target="https://employees.crc.losrios.edu/institutional-equity-and-research-and-planning/planning/college-strategic-plan-area-goals-and-strategies" TargetMode="External"/><Relationship Id="rId532" Type="http://schemas.openxmlformats.org/officeDocument/2006/relationships/hyperlink" Target="mailto:Rachelle.Arisbe@rccd.edu" TargetMode="External"/><Relationship Id="rId574" Type="http://schemas.openxmlformats.org/officeDocument/2006/relationships/hyperlink" Target="mailto:gsmith@sdccd.edu" TargetMode="External"/><Relationship Id="rId171" Type="http://schemas.openxmlformats.org/officeDocument/2006/relationships/hyperlink" Target="mailto:jguillory@whtacom.edu" TargetMode="External"/><Relationship Id="rId227" Type="http://schemas.openxmlformats.org/officeDocument/2006/relationships/hyperlink" Target="https://www.cabrillo.edu/2030/" TargetMode="External"/><Relationship Id="rId269" Type="http://schemas.openxmlformats.org/officeDocument/2006/relationships/hyperlink" Target="https://www.cloviscollege.edu/" TargetMode="External"/><Relationship Id="rId434" Type="http://schemas.openxmlformats.org/officeDocument/2006/relationships/hyperlink" Target="https://www.elcamino.edu/" TargetMode="External"/><Relationship Id="rId476" Type="http://schemas.openxmlformats.org/officeDocument/2006/relationships/hyperlink" Target="https://www.socccd.edu/board-trustees" TargetMode="External"/><Relationship Id="rId641" Type="http://schemas.openxmlformats.org/officeDocument/2006/relationships/hyperlink" Target="https://www.yccd.edu/board/" TargetMode="External"/><Relationship Id="rId33" Type="http://schemas.openxmlformats.org/officeDocument/2006/relationships/hyperlink" Target="https://www.centralia.edu/about/leadership/administration.aspx" TargetMode="External"/><Relationship Id="rId129" Type="http://schemas.openxmlformats.org/officeDocument/2006/relationships/hyperlink" Target="mailto:jkahn@shoreline.edu" TargetMode="External"/><Relationship Id="rId280" Type="http://schemas.openxmlformats.org/officeDocument/2006/relationships/hyperlink" Target="https://issuu.com/westhillsmagazine/docs/64506728_whcl_strategic_plan_2021-2026?mode=window" TargetMode="External"/><Relationship Id="rId336" Type="http://schemas.openxmlformats.org/officeDocument/2006/relationships/hyperlink" Target="mailto:tranl@yosemite.edu" TargetMode="External"/><Relationship Id="rId501" Type="http://schemas.openxmlformats.org/officeDocument/2006/relationships/hyperlink" Target="https://www.miracosta.edu/" TargetMode="External"/><Relationship Id="rId543" Type="http://schemas.openxmlformats.org/officeDocument/2006/relationships/hyperlink" Target="mailto:yadira.santiago@mtsac.edu" TargetMode="External"/><Relationship Id="rId75" Type="http://schemas.openxmlformats.org/officeDocument/2006/relationships/hyperlink" Target="https://www.highline.edu/" TargetMode="External"/><Relationship Id="rId140" Type="http://schemas.openxmlformats.org/officeDocument/2006/relationships/hyperlink" Target="https://spscc.edu/sites/default/files/2025-05/FINAL_Foundation_Strategic_0.pdf" TargetMode="External"/><Relationship Id="rId182" Type="http://schemas.openxmlformats.org/officeDocument/2006/relationships/hyperlink" Target="https://www.sbctc.edu/colleges-staff/commissions-councils/wactc/default.aspx" TargetMode="External"/><Relationship Id="rId378" Type="http://schemas.openxmlformats.org/officeDocument/2006/relationships/hyperlink" Target="mailto:drodriguez@sbccd.edu" TargetMode="External"/><Relationship Id="rId403" Type="http://schemas.openxmlformats.org/officeDocument/2006/relationships/hyperlink" Target="mailto:vpurtell@noce.edu" TargetMode="External"/><Relationship Id="rId585" Type="http://schemas.openxmlformats.org/officeDocument/2006/relationships/hyperlink" Target="mailto:ahands@sdccd.edu" TargetMode="External"/><Relationship Id="rId6" Type="http://schemas.openxmlformats.org/officeDocument/2006/relationships/hyperlink" Target="https://www.bellevuecollege.edu/" TargetMode="External"/><Relationship Id="rId238" Type="http://schemas.openxmlformats.org/officeDocument/2006/relationships/hyperlink" Target="mailto:morenomelissa@smccd.edu" TargetMode="External"/><Relationship Id="rId445" Type="http://schemas.openxmlformats.org/officeDocument/2006/relationships/hyperlink" Target="mailto:Vinicio.L&#243;pez@evc.edu" TargetMode="External"/><Relationship Id="rId487" Type="http://schemas.openxmlformats.org/officeDocument/2006/relationships/hyperlink" Target="https://www.lassencollege.edu/about-lcc/board-of-trustees/" TargetMode="External"/><Relationship Id="rId610" Type="http://schemas.openxmlformats.org/officeDocument/2006/relationships/hyperlink" Target="https://www.sbcc.edu/boardoftrustees/" TargetMode="External"/><Relationship Id="rId291" Type="http://schemas.openxmlformats.org/officeDocument/2006/relationships/hyperlink" Target="mailto:mrandall12@gwc.cccd.edu" TargetMode="External"/><Relationship Id="rId305" Type="http://schemas.openxmlformats.org/officeDocument/2006/relationships/hyperlink" Target="mailto:NHEREDIA@peralta.edu" TargetMode="External"/><Relationship Id="rId347" Type="http://schemas.openxmlformats.org/officeDocument/2006/relationships/hyperlink" Target="mailto:mojdeh@4cd.edu" TargetMode="External"/><Relationship Id="rId512" Type="http://schemas.openxmlformats.org/officeDocument/2006/relationships/hyperlink" Target="mailto:elizabeth.tablan@westvalley.edu" TargetMode="External"/><Relationship Id="rId44" Type="http://schemas.openxmlformats.org/officeDocument/2006/relationships/hyperlink" Target="https://www.cptc.edu/sites/default/files/2026-04/Strategic%20Plan%2023%20rev%2010-2-2023_0.pdf" TargetMode="External"/><Relationship Id="rId86" Type="http://schemas.openxmlformats.org/officeDocument/2006/relationships/hyperlink" Target="https://lowercolumbia.edu/publications/strategic-plan/" TargetMode="External"/><Relationship Id="rId151" Type="http://schemas.openxmlformats.org/officeDocument/2006/relationships/hyperlink" Target="https://ccs.spokane.edu/About-Us/Leadership/Board-of-Trustees" TargetMode="External"/><Relationship Id="rId389" Type="http://schemas.openxmlformats.org/officeDocument/2006/relationships/hyperlink" Target="https://www.gcccd.edu/governing-board/index.php" TargetMode="External"/><Relationship Id="rId554" Type="http://schemas.openxmlformats.org/officeDocument/2006/relationships/hyperlink" Target="mailto:ehernandez39@ohlone.edu" TargetMode="External"/><Relationship Id="rId596" Type="http://schemas.openxmlformats.org/officeDocument/2006/relationships/hyperlink" Target="https://rsccd.edu/BOT/" TargetMode="External"/><Relationship Id="rId193" Type="http://schemas.openxmlformats.org/officeDocument/2006/relationships/hyperlink" Target="https://www.avc.edu/board-trustees" TargetMode="External"/><Relationship Id="rId207" Type="http://schemas.openxmlformats.org/officeDocument/2006/relationships/hyperlink" Target="https://www.kccd.edu/chancellors-office/_documents/strategic-plan/kccd-strategic-plan-june-2025-bot.pdf" TargetMode="External"/><Relationship Id="rId249" Type="http://schemas.openxmlformats.org/officeDocument/2006/relationships/hyperlink" Target="mailto:sean.hancock@cerrocoso.edu" TargetMode="External"/><Relationship Id="rId414" Type="http://schemas.openxmlformats.org/officeDocument/2006/relationships/hyperlink" Target="mailto:romanaj@email.laccd.edu" TargetMode="External"/><Relationship Id="rId456" Type="http://schemas.openxmlformats.org/officeDocument/2006/relationships/hyperlink" Target="mailto:denise.whisenhunt@fresnocitycollege.edu%20" TargetMode="External"/><Relationship Id="rId498" Type="http://schemas.openxmlformats.org/officeDocument/2006/relationships/hyperlink" Target="https://www.mccd.edu/about-merced-college/leadership/board-of-trustees/" TargetMode="External"/><Relationship Id="rId621" Type="http://schemas.openxmlformats.org/officeDocument/2006/relationships/hyperlink" Target="mailto:wduncan@sierracollege.edu" TargetMode="External"/><Relationship Id="rId13" Type="http://schemas.openxmlformats.org/officeDocument/2006/relationships/hyperlink" Target="https://www.btc.edu/AboutBTC/OfficeofthePresident.html" TargetMode="External"/><Relationship Id="rId109" Type="http://schemas.openxmlformats.org/officeDocument/2006/relationships/hyperlink" Target="mailto:sames@pencol.edu" TargetMode="External"/><Relationship Id="rId260" Type="http://schemas.openxmlformats.org/officeDocument/2006/relationships/hyperlink" Target="mailto:Eva.Ramirez@chaffey.edu" TargetMode="External"/><Relationship Id="rId316" Type="http://schemas.openxmlformats.org/officeDocument/2006/relationships/hyperlink" Target="https://www.canyons.edu/_documents/administration/pio/2023-26-Strategic-Plan-rev011824-508.pdf" TargetMode="External"/><Relationship Id="rId523" Type="http://schemas.openxmlformats.org/officeDocument/2006/relationships/hyperlink" Target="https://www.vcccd.edu/board-of-trustees" TargetMode="External"/><Relationship Id="rId55" Type="http://schemas.openxmlformats.org/officeDocument/2006/relationships/hyperlink" Target="https://www.edmonds.edu/" TargetMode="External"/><Relationship Id="rId97" Type="http://schemas.openxmlformats.org/officeDocument/2006/relationships/hyperlink" Target="mailto:Rosie.Rimando@seattlecolleges.edu" TargetMode="External"/><Relationship Id="rId120" Type="http://schemas.openxmlformats.org/officeDocument/2006/relationships/hyperlink" Target="https://www.pierce.ctc.edu/documents/2025/08/25-32-StrategicPlan.pdf" TargetMode="External"/><Relationship Id="rId358" Type="http://schemas.openxmlformats.org/officeDocument/2006/relationships/hyperlink" Target="mailto:amuniz@cmccd.edu" TargetMode="External"/><Relationship Id="rId565" Type="http://schemas.openxmlformats.org/officeDocument/2006/relationships/hyperlink" Target="https://www.portervillecollege.edu/" TargetMode="External"/><Relationship Id="rId162" Type="http://schemas.openxmlformats.org/officeDocument/2006/relationships/hyperlink" Target="https://www.wwcc.edu/about/leadership/board-of-trustees/" TargetMode="External"/><Relationship Id="rId218" Type="http://schemas.openxmlformats.org/officeDocument/2006/relationships/hyperlink" Target="https://www.berkeleycitycollege.edu/hubfs/Berkeley%20City%20College%202023-28%20Strategic%20Plan.pdf" TargetMode="External"/><Relationship Id="rId425" Type="http://schemas.openxmlformats.org/officeDocument/2006/relationships/hyperlink" Target="mailto:sirkinta@lavc.edu" TargetMode="External"/><Relationship Id="rId467" Type="http://schemas.openxmlformats.org/officeDocument/2006/relationships/hyperlink" Target="mailto:pedroavila@gavilan.edu" TargetMode="External"/><Relationship Id="rId632" Type="http://schemas.openxmlformats.org/officeDocument/2006/relationships/hyperlink" Target="mailto:lminor@taftcollege.edu" TargetMode="External"/><Relationship Id="rId271" Type="http://schemas.openxmlformats.org/officeDocument/2006/relationships/hyperlink" Target="https://www.westhillscollege.com/coalinga" TargetMode="External"/><Relationship Id="rId24" Type="http://schemas.openxmlformats.org/officeDocument/2006/relationships/hyperlink" Target="https://www.btc.edu/AboutBTC/ReportsandPolicies/InstitutionalEffectiveness.html" TargetMode="External"/><Relationship Id="rId66" Type="http://schemas.openxmlformats.org/officeDocument/2006/relationships/hyperlink" Target="https://www.everettcc.edu/about/governance/office-of-the-president/" TargetMode="External"/><Relationship Id="rId131" Type="http://schemas.openxmlformats.org/officeDocument/2006/relationships/hyperlink" Target="https://www.shoreline.edu/about-shoreline/board/documents/BoardOfTrusteesGoals2024-25.docx" TargetMode="External"/><Relationship Id="rId327" Type="http://schemas.openxmlformats.org/officeDocument/2006/relationships/hyperlink" Target="mailto:cperlas@siskiyous.edu" TargetMode="External"/><Relationship Id="rId369" Type="http://schemas.openxmlformats.org/officeDocument/2006/relationships/hyperlink" Target="mailto:LozanoK@flc.losrios.edu" TargetMode="External"/><Relationship Id="rId534" Type="http://schemas.openxmlformats.org/officeDocument/2006/relationships/hyperlink" Target="mailto:rudy.besikof@mvc.edu" TargetMode="External"/><Relationship Id="rId576" Type="http://schemas.openxmlformats.org/officeDocument/2006/relationships/hyperlink" Target="mailto:gsmith@sdccd.edu" TargetMode="External"/><Relationship Id="rId173" Type="http://schemas.openxmlformats.org/officeDocument/2006/relationships/hyperlink" Target="mailto:teresarich@yvcc.edu" TargetMode="External"/><Relationship Id="rId229" Type="http://schemas.openxmlformats.org/officeDocument/2006/relationships/hyperlink" Target="https://www.calbright.edu/about/board/" TargetMode="External"/><Relationship Id="rId380" Type="http://schemas.openxmlformats.org/officeDocument/2006/relationships/hyperlink" Target="mailto:gcontreras@valleycollege.edu" TargetMode="External"/><Relationship Id="rId436" Type="http://schemas.openxmlformats.org/officeDocument/2006/relationships/hyperlink" Target="mailto:bthames@elcamino.edu" TargetMode="External"/><Relationship Id="rId601" Type="http://schemas.openxmlformats.org/officeDocument/2006/relationships/hyperlink" Target="https://www.sbcc.edu/" TargetMode="External"/><Relationship Id="rId643" Type="http://schemas.openxmlformats.org/officeDocument/2006/relationships/hyperlink" Target="mailto:span@yccd.edu" TargetMode="External"/><Relationship Id="rId240" Type="http://schemas.openxmlformats.org/officeDocument/2006/relationships/hyperlink" Target="https://smccd.edu/strategicplanning/Updated_2025_DistrictStrategicPlan_11x8.5in.pdf" TargetMode="External"/><Relationship Id="rId478" Type="http://schemas.openxmlformats.org/officeDocument/2006/relationships/hyperlink" Target="mailto:jbarnes@soccd.edu" TargetMode="External"/><Relationship Id="rId35" Type="http://schemas.openxmlformats.org/officeDocument/2006/relationships/hyperlink" Target="https://www.centralia.edu/about/leadership/institutional-research/docs/strategic-plan-one-pager.pdf" TargetMode="External"/><Relationship Id="rId77" Type="http://schemas.openxmlformats.org/officeDocument/2006/relationships/hyperlink" Target="mailto:jpenn@highline.edu" TargetMode="External"/><Relationship Id="rId100" Type="http://schemas.openxmlformats.org/officeDocument/2006/relationships/hyperlink" Target="mailto:Rosie.Rimando@seattlecolleges.edu" TargetMode="External"/><Relationship Id="rId282" Type="http://schemas.openxmlformats.org/officeDocument/2006/relationships/hyperlink" Target="https://www.cccd.edu/boardoftrustees/index.html" TargetMode="External"/><Relationship Id="rId338" Type="http://schemas.openxmlformats.org/officeDocument/2006/relationships/hyperlink" Target="mailto:wagnerj@yosemite.edu" TargetMode="External"/><Relationship Id="rId503" Type="http://schemas.openxmlformats.org/officeDocument/2006/relationships/hyperlink" Target="mailto:JBollerud@miracosta.edu" TargetMode="External"/><Relationship Id="rId545" Type="http://schemas.openxmlformats.org/officeDocument/2006/relationships/hyperlink" Target="https://www.msjc.edu/boardoftrustees/" TargetMode="External"/><Relationship Id="rId587" Type="http://schemas.openxmlformats.org/officeDocument/2006/relationships/hyperlink" Target="mailto:wlundburg@sdccd.edu" TargetMode="External"/><Relationship Id="rId8" Type="http://schemas.openxmlformats.org/officeDocument/2006/relationships/hyperlink" Target="mailto:president@batestech.edu" TargetMode="External"/><Relationship Id="rId142" Type="http://schemas.openxmlformats.org/officeDocument/2006/relationships/hyperlink" Target="mailto:Monica.Brown@seattlecolleges.edu" TargetMode="External"/><Relationship Id="rId184" Type="http://schemas.openxmlformats.org/officeDocument/2006/relationships/hyperlink" Target="mailto:nangel@sbctc.edu" TargetMode="External"/><Relationship Id="rId391" Type="http://schemas.openxmlformats.org/officeDocument/2006/relationships/hyperlink" Target="mailto:jessica.robinson@gcccd.edu" TargetMode="External"/><Relationship Id="rId405" Type="http://schemas.openxmlformats.org/officeDocument/2006/relationships/hyperlink" Target="mailto:mmilner@cypresscollege.edu" TargetMode="External"/><Relationship Id="rId447" Type="http://schemas.openxmlformats.org/officeDocument/2006/relationships/hyperlink" Target="mailto:marilyn.flores@sjcc.edu" TargetMode="External"/><Relationship Id="rId612" Type="http://schemas.openxmlformats.org/officeDocument/2006/relationships/hyperlink" Target="https://trustees.santarosa.edu/" TargetMode="External"/><Relationship Id="rId251" Type="http://schemas.openxmlformats.org/officeDocument/2006/relationships/hyperlink" Target="https://www.clpccd.org/bot/index.php" TargetMode="External"/><Relationship Id="rId489" Type="http://schemas.openxmlformats.org/officeDocument/2006/relationships/hyperlink" Target="mailto:stewarcr@lasc.edu" TargetMode="External"/><Relationship Id="rId46" Type="http://schemas.openxmlformats.org/officeDocument/2006/relationships/hyperlink" Target="mailto:president@cptc.edu" TargetMode="External"/><Relationship Id="rId293" Type="http://schemas.openxmlformats.org/officeDocument/2006/relationships/hyperlink" Target="https://www.orangecoastcollege.edu/" TargetMode="External"/><Relationship Id="rId307" Type="http://schemas.openxmlformats.org/officeDocument/2006/relationships/hyperlink" Target="mailto:ropsata@peralta.edu" TargetMode="External"/><Relationship Id="rId349" Type="http://schemas.openxmlformats.org/officeDocument/2006/relationships/hyperlink" Target="mailto:mojdeh@4cd.edu" TargetMode="External"/><Relationship Id="rId514" Type="http://schemas.openxmlformats.org/officeDocument/2006/relationships/hyperlink" Target="https://www.mpc.edu/about/leadership/board-of-trustees/index.html" TargetMode="External"/><Relationship Id="rId556" Type="http://schemas.openxmlformats.org/officeDocument/2006/relationships/hyperlink" Target="https://www.paloverde.edu/board/index.html" TargetMode="External"/><Relationship Id="rId88" Type="http://schemas.openxmlformats.org/officeDocument/2006/relationships/hyperlink" Target="mailto:Amy.Morrison@lwtech.edu" TargetMode="External"/><Relationship Id="rId111" Type="http://schemas.openxmlformats.org/officeDocument/2006/relationships/hyperlink" Target="tel:2538643104" TargetMode="External"/><Relationship Id="rId153" Type="http://schemas.openxmlformats.org/officeDocument/2006/relationships/hyperlink" Target="https://www.tacomacc.edu/" TargetMode="External"/><Relationship Id="rId195" Type="http://schemas.openxmlformats.org/officeDocument/2006/relationships/hyperlink" Target="mailto:jennifer.zellet@avc.edu" TargetMode="External"/><Relationship Id="rId209" Type="http://schemas.openxmlformats.org/officeDocument/2006/relationships/hyperlink" Target="https://www.barstow.edu/" TargetMode="External"/><Relationship Id="rId360" Type="http://schemas.openxmlformats.org/officeDocument/2006/relationships/hyperlink" Target="https://losrios.edu/about-los-rios/board-of-trustees" TargetMode="External"/><Relationship Id="rId416" Type="http://schemas.openxmlformats.org/officeDocument/2006/relationships/hyperlink" Target="mailto:perezme@elac.edu" TargetMode="External"/><Relationship Id="rId598" Type="http://schemas.openxmlformats.org/officeDocument/2006/relationships/hyperlink" Target="mailto:Nery_Annebelle@sac.edu" TargetMode="External"/><Relationship Id="rId220" Type="http://schemas.openxmlformats.org/officeDocument/2006/relationships/hyperlink" Target="https://www.butte.edu/about/leadership/board-of-trustees/index.html" TargetMode="External"/><Relationship Id="rId458" Type="http://schemas.openxmlformats.org/officeDocument/2006/relationships/hyperlink" Target="mailto:angel.reyna@maderacollege.edu" TargetMode="External"/><Relationship Id="rId623" Type="http://schemas.openxmlformats.org/officeDocument/2006/relationships/hyperlink" Target="https://www.solano.edu/boards-committees/sccd-governing-board/index.php" TargetMode="External"/><Relationship Id="rId15" Type="http://schemas.openxmlformats.org/officeDocument/2006/relationships/hyperlink" Target="tel:+13607528334" TargetMode="External"/><Relationship Id="rId57" Type="http://schemas.openxmlformats.org/officeDocument/2006/relationships/hyperlink" Target="https://www.edmonds.edu/about-edmonds/governance-and-policy/trustees/?_gl=1*a1x78f*_up*MQ..*_ga*MTQxNDM4MjE0OS4xNzgzMDQxNzQ1*_ga_BFCK93FZ9X*czE3ODMwNDE3NDUkbzEkZzEkdDE3ODMwNDE3NjQkajQxJGwwJGgxNTg5NjI3NTUx" TargetMode="External"/><Relationship Id="rId262" Type="http://schemas.openxmlformats.org/officeDocument/2006/relationships/hyperlink" Target="https://www.chaffey.edu/about/accreditation/docs/strategic_plans_chaffey_college_23-26.pdf" TargetMode="External"/><Relationship Id="rId318" Type="http://schemas.openxmlformats.org/officeDocument/2006/relationships/hyperlink" Target="mailto:maordaz@collegeofthedesert.edu" TargetMode="External"/><Relationship Id="rId525" Type="http://schemas.openxmlformats.org/officeDocument/2006/relationships/hyperlink" Target="mailto:lresendiz@vcccd.edu" TargetMode="External"/><Relationship Id="rId567" Type="http://schemas.openxmlformats.org/officeDocument/2006/relationships/hyperlink" Target="mailto:pmonarrez@portervillecollege.edu&#160;" TargetMode="External"/><Relationship Id="rId99" Type="http://schemas.openxmlformats.org/officeDocument/2006/relationships/hyperlink" Target="https://www.seattlecolleges.edu/about/leadership-and-organization/chancellors-office/about-chancellor" TargetMode="External"/><Relationship Id="rId122" Type="http://schemas.openxmlformats.org/officeDocument/2006/relationships/hyperlink" Target="https://rtc.edu/about-rtc/office-of-the-president/board.php" TargetMode="External"/><Relationship Id="rId164" Type="http://schemas.openxmlformats.org/officeDocument/2006/relationships/hyperlink" Target="mailto:miniguez@wvc.edu" TargetMode="External"/><Relationship Id="rId371" Type="http://schemas.openxmlformats.org/officeDocument/2006/relationships/hyperlink" Target="mailto:GarciaAJ@scc.losrios.edu" TargetMode="External"/><Relationship Id="rId427" Type="http://schemas.openxmlformats.org/officeDocument/2006/relationships/hyperlink" Target="mailto:ordanmt@lavc.edu" TargetMode="External"/><Relationship Id="rId469" Type="http://schemas.openxmlformats.org/officeDocument/2006/relationships/hyperlink" Target="mailto:myemail@glendale.edu" TargetMode="External"/><Relationship Id="rId634" Type="http://schemas.openxmlformats.org/officeDocument/2006/relationships/hyperlink" Target="mailto:Daniel.Walden@vvc.edu" TargetMode="External"/><Relationship Id="rId26" Type="http://schemas.openxmlformats.org/officeDocument/2006/relationships/hyperlink" Target="https://www.cascadia.edu/about/governance-accreditation/trustees.aspx" TargetMode="External"/><Relationship Id="rId231" Type="http://schemas.openxmlformats.org/officeDocument/2006/relationships/hyperlink" Target="mailto:ajita@calbright.org" TargetMode="External"/><Relationship Id="rId273" Type="http://schemas.openxmlformats.org/officeDocument/2006/relationships/hyperlink" Target="mailto:jamespreston@whccd.edu%20" TargetMode="External"/><Relationship Id="rId329" Type="http://schemas.openxmlformats.org/officeDocument/2006/relationships/hyperlink" Target="https://www.gocolumbia.edu/" TargetMode="External"/><Relationship Id="rId480" Type="http://schemas.openxmlformats.org/officeDocument/2006/relationships/hyperlink" Target="mailto:johnhernandez@ivc.edu" TargetMode="External"/><Relationship Id="rId536" Type="http://schemas.openxmlformats.org/officeDocument/2006/relationships/hyperlink" Target="mailto:denise.terrazas@norcocollege.edu" TargetMode="External"/><Relationship Id="rId68" Type="http://schemas.openxmlformats.org/officeDocument/2006/relationships/hyperlink" Target="https://www.ghc.edu/presidents-cabinet" TargetMode="External"/><Relationship Id="rId133" Type="http://schemas.openxmlformats.org/officeDocument/2006/relationships/hyperlink" Target="mailto:pam.davis@skagit.edu?subject=" TargetMode="External"/><Relationship Id="rId175" Type="http://schemas.openxmlformats.org/officeDocument/2006/relationships/hyperlink" Target="https://yvcc.edu/board-of-trustees.php" TargetMode="External"/><Relationship Id="rId340" Type="http://schemas.openxmlformats.org/officeDocument/2006/relationships/hyperlink" Target="https://www.compton.edu/" TargetMode="External"/><Relationship Id="rId578" Type="http://schemas.openxmlformats.org/officeDocument/2006/relationships/hyperlink" Target="https://www.sdcity.edu/" TargetMode="External"/><Relationship Id="rId200" Type="http://schemas.openxmlformats.org/officeDocument/2006/relationships/hyperlink" Target="https://www.kccd.edu/index.html" TargetMode="External"/><Relationship Id="rId382" Type="http://schemas.openxmlformats.org/officeDocument/2006/relationships/hyperlink" Target="mailto:stjean@craftonhills.edu%20" TargetMode="External"/><Relationship Id="rId438" Type="http://schemas.openxmlformats.org/officeDocument/2006/relationships/hyperlink" Target="https://sjeccd.edu/discover-sjeccd/board-of-trustees" TargetMode="External"/><Relationship Id="rId603" Type="http://schemas.openxmlformats.org/officeDocument/2006/relationships/hyperlink" Target="mailto:rsboss@pipeline.sbcc.edu" TargetMode="External"/><Relationship Id="rId645" Type="http://schemas.openxmlformats.org/officeDocument/2006/relationships/table" Target="../tables/table1.xml"/><Relationship Id="rId242" Type="http://schemas.openxmlformats.org/officeDocument/2006/relationships/hyperlink" Target="https://directory.smccd.edu/" TargetMode="External"/><Relationship Id="rId284" Type="http://schemas.openxmlformats.org/officeDocument/2006/relationships/hyperlink" Target="mailto:pfranco@coastline.edu" TargetMode="External"/><Relationship Id="rId491" Type="http://schemas.openxmlformats.org/officeDocument/2006/relationships/hyperlink" Target="https://www.lbcc.edu/board-trustees" TargetMode="External"/><Relationship Id="rId505" Type="http://schemas.openxmlformats.org/officeDocument/2006/relationships/hyperlink" Target="https://www.wvm.edu/board/" TargetMode="External"/><Relationship Id="rId37" Type="http://schemas.openxmlformats.org/officeDocument/2006/relationships/hyperlink" Target="https://www.clark.edu/about/governance/leadership/board/" TargetMode="External"/><Relationship Id="rId79" Type="http://schemas.openxmlformats.org/officeDocument/2006/relationships/hyperlink" Target="https://www.lwtech.edu/" TargetMode="External"/><Relationship Id="rId102" Type="http://schemas.openxmlformats.org/officeDocument/2006/relationships/hyperlink" Target="https://www.olympic.edu/" TargetMode="External"/><Relationship Id="rId144" Type="http://schemas.openxmlformats.org/officeDocument/2006/relationships/hyperlink" Target="https://scc.spokane.edu/" TargetMode="External"/><Relationship Id="rId547" Type="http://schemas.openxmlformats.org/officeDocument/2006/relationships/hyperlink" Target="https://www.napavalley.edu/" TargetMode="External"/><Relationship Id="rId589" Type="http://schemas.openxmlformats.org/officeDocument/2006/relationships/hyperlink" Target="https://www.deltacollege.edu/" TargetMode="External"/><Relationship Id="rId90" Type="http://schemas.openxmlformats.org/officeDocument/2006/relationships/hyperlink" Target="https://northseattle.edu/leadership-organization/college-president" TargetMode="External"/><Relationship Id="rId186" Type="http://schemas.openxmlformats.org/officeDocument/2006/relationships/hyperlink" Target="https://arc.losrios.edu/" TargetMode="External"/><Relationship Id="rId351" Type="http://schemas.openxmlformats.org/officeDocument/2006/relationships/hyperlink" Target="mailto:mchahal@dvc.edu" TargetMode="External"/><Relationship Id="rId393" Type="http://schemas.openxmlformats.org/officeDocument/2006/relationships/hyperlink" Target="mailto:Bernadette.Black@gcccd.edu" TargetMode="External"/><Relationship Id="rId407" Type="http://schemas.openxmlformats.org/officeDocument/2006/relationships/hyperlink" Target="https://www.laccd.edu/board" TargetMode="External"/><Relationship Id="rId449" Type="http://schemas.openxmlformats.org/officeDocument/2006/relationships/hyperlink" Target="https://www.frc.edu/administration/board-of-trustees" TargetMode="External"/><Relationship Id="rId614" Type="http://schemas.openxmlformats.org/officeDocument/2006/relationships/hyperlink" Target="mailto:kfronda@santarosa" TargetMode="External"/><Relationship Id="rId211" Type="http://schemas.openxmlformats.org/officeDocument/2006/relationships/hyperlink" Target="https://www.barstow.edu/sites/default/files/media/pdf_document/2026/BOARD-Goals-2026_2028_Final.pdf" TargetMode="External"/><Relationship Id="rId253" Type="http://schemas.openxmlformats.org/officeDocument/2006/relationships/hyperlink" Target="mailto:acazarez@laspositascollege.edu" TargetMode="External"/><Relationship Id="rId295" Type="http://schemas.openxmlformats.org/officeDocument/2006/relationships/hyperlink" Target="mailto:tnguyen@occ.cccd.edu" TargetMode="External"/><Relationship Id="rId309" Type="http://schemas.openxmlformats.org/officeDocument/2006/relationships/hyperlink" Target="mailto:bherrera@peralta.edu" TargetMode="External"/><Relationship Id="rId460" Type="http://schemas.openxmlformats.org/officeDocument/2006/relationships/hyperlink" Target="mailto:jerry.buckley@reedlycollege.edu" TargetMode="External"/><Relationship Id="rId516" Type="http://schemas.openxmlformats.org/officeDocument/2006/relationships/hyperlink" Target="mailto:rmaclennan@vcccd.edu" TargetMode="External"/><Relationship Id="rId48" Type="http://schemas.openxmlformats.org/officeDocument/2006/relationships/hyperlink" Target="https://www.columbiabasin.edu/connect/about-cbc/our-leadership/index.html" TargetMode="External"/><Relationship Id="rId113" Type="http://schemas.openxmlformats.org/officeDocument/2006/relationships/hyperlink" Target="https://www.pierce.ctc.edu/documents/2025/08/25-32-StrategicPlan.pdf" TargetMode="External"/><Relationship Id="rId320" Type="http://schemas.openxmlformats.org/officeDocument/2006/relationships/hyperlink" Target="mailto:keith-flamer@redwoods.edu" TargetMode="External"/><Relationship Id="rId558" Type="http://schemas.openxmlformats.org/officeDocument/2006/relationships/hyperlink" Target="https://www.palomar.edu/governingboard/" TargetMode="External"/><Relationship Id="rId155" Type="http://schemas.openxmlformats.org/officeDocument/2006/relationships/hyperlink" Target="mailto:iharrell@tacomacc.edu" TargetMode="External"/><Relationship Id="rId197" Type="http://schemas.openxmlformats.org/officeDocument/2006/relationships/hyperlink" Target="https://www.bakersfieldcollege.edu/" TargetMode="External"/><Relationship Id="rId362" Type="http://schemas.openxmlformats.org/officeDocument/2006/relationships/hyperlink" Target="https://losrios.edu/about-los-rios/board-of-trustees" TargetMode="External"/><Relationship Id="rId418" Type="http://schemas.openxmlformats.org/officeDocument/2006/relationships/hyperlink" Target="mailto:MARTINA3@LAHC.EDU" TargetMode="External"/><Relationship Id="rId625" Type="http://schemas.openxmlformats.org/officeDocument/2006/relationships/hyperlink" Target="mailto:kellie.butler@solano.edu" TargetMode="External"/><Relationship Id="rId222" Type="http://schemas.openxmlformats.org/officeDocument/2006/relationships/hyperlink" Target="mailto:cafferataainsworthme@butte.edu" TargetMode="External"/><Relationship Id="rId264" Type="http://schemas.openxmlformats.org/officeDocument/2006/relationships/hyperlink" Target="mailto:cleon@citruscollege.edu" TargetMode="External"/><Relationship Id="rId471" Type="http://schemas.openxmlformats.org/officeDocument/2006/relationships/hyperlink" Target="https://www.hartnell.edu/about/hccdgb/" TargetMode="External"/><Relationship Id="rId17" Type="http://schemas.openxmlformats.org/officeDocument/2006/relationships/hyperlink" Target="mailto:jlemerond@btc.edu" TargetMode="External"/><Relationship Id="rId59" Type="http://schemas.openxmlformats.org/officeDocument/2006/relationships/hyperlink" Target="mailto:amit.singh@edmonds.edu" TargetMode="External"/><Relationship Id="rId124" Type="http://schemas.openxmlformats.org/officeDocument/2006/relationships/hyperlink" Target="mailto:jmellott@rtc.edu" TargetMode="External"/><Relationship Id="rId527" Type="http://schemas.openxmlformats.org/officeDocument/2006/relationships/hyperlink" Target="mailto:celestina_chavez1@vcccd.edu" TargetMode="External"/><Relationship Id="rId569" Type="http://schemas.openxmlformats.org/officeDocument/2006/relationships/hyperlink" Target="mailto:tdreyfuss@riohondo.edu" TargetMode="External"/><Relationship Id="rId70" Type="http://schemas.openxmlformats.org/officeDocument/2006/relationships/hyperlink" Target="https://www.ghc.edu/wp-content/uploads/2025/12/CollegePlan2019-2026.pdf" TargetMode="External"/><Relationship Id="rId166" Type="http://schemas.openxmlformats.org/officeDocument/2006/relationships/hyperlink" Target="https://wvc.edu/about/about-wvc/institutional-effectiveness/strategicplanning/index.html" TargetMode="External"/><Relationship Id="rId331" Type="http://schemas.openxmlformats.org/officeDocument/2006/relationships/hyperlink" Target="mailto:redwingc@yosemite.edu" TargetMode="External"/><Relationship Id="rId373" Type="http://schemas.openxmlformats.org/officeDocument/2006/relationships/hyperlink" Target="https://inside.scc.losrios.edu/scc/inside/doc/e4-planning-and-research/planning/scc-strategic-master-plan.pdf" TargetMode="External"/><Relationship Id="rId429" Type="http://schemas.openxmlformats.org/officeDocument/2006/relationships/hyperlink" Target="https://www.fhda.edu/_about-us/_board/index.html" TargetMode="External"/><Relationship Id="rId580" Type="http://schemas.openxmlformats.org/officeDocument/2006/relationships/hyperlink" Target="mailto:rshabazz@sdccd.edu" TargetMode="External"/><Relationship Id="rId636" Type="http://schemas.openxmlformats.org/officeDocument/2006/relationships/hyperlink" Target="mailto:kmorehouse@yccd.edu" TargetMode="External"/><Relationship Id="rId1" Type="http://schemas.openxmlformats.org/officeDocument/2006/relationships/hyperlink" Target="https://www.batestech.edu/about-bates/college-governance/" TargetMode="External"/><Relationship Id="rId233" Type="http://schemas.openxmlformats.org/officeDocument/2006/relationships/hyperlink" Target="https://www.canadacollege.edu/" TargetMode="External"/><Relationship Id="rId440" Type="http://schemas.openxmlformats.org/officeDocument/2006/relationships/hyperlink" Target="tel:1-408-270-6402" TargetMode="External"/><Relationship Id="rId28" Type="http://schemas.openxmlformats.org/officeDocument/2006/relationships/hyperlink" Target="tel:(425)%20352-8810" TargetMode="External"/><Relationship Id="rId275" Type="http://schemas.openxmlformats.org/officeDocument/2006/relationships/hyperlink" Target="https://westhillscollege.com/district/administration/board-of-trustees/" TargetMode="External"/><Relationship Id="rId300" Type="http://schemas.openxmlformats.org/officeDocument/2006/relationships/hyperlink" Target="mailto:tgilkerson@peralta.edu%20" TargetMode="External"/><Relationship Id="rId482" Type="http://schemas.openxmlformats.org/officeDocument/2006/relationships/hyperlink" Target="tel:%28949%29582-4722" TargetMode="External"/><Relationship Id="rId538" Type="http://schemas.openxmlformats.org/officeDocument/2006/relationships/hyperlink" Target="mailto:Eric.Bishop@rcc.edu" TargetMode="External"/><Relationship Id="rId81" Type="http://schemas.openxmlformats.org/officeDocument/2006/relationships/hyperlink" Target="https://www.lwtech.edu/about-us/trustees/index.aspx" TargetMode="External"/><Relationship Id="rId135" Type="http://schemas.openxmlformats.org/officeDocument/2006/relationships/hyperlink" Target="mailto:Thomas.Keegan@skagit.edu" TargetMode="External"/><Relationship Id="rId177" Type="http://schemas.openxmlformats.org/officeDocument/2006/relationships/hyperlink" Target="https://www.hancockcollege.edu/" TargetMode="External"/><Relationship Id="rId342" Type="http://schemas.openxmlformats.org/officeDocument/2006/relationships/hyperlink" Target="mailto:sbarakat@compton.edu" TargetMode="External"/><Relationship Id="rId384" Type="http://schemas.openxmlformats.org/officeDocument/2006/relationships/hyperlink" Target="https://www.cuesta.edu/" TargetMode="External"/><Relationship Id="rId591" Type="http://schemas.openxmlformats.org/officeDocument/2006/relationships/hyperlink" Target="mailto:robin.phares@deltacollege.edu" TargetMode="External"/><Relationship Id="rId605" Type="http://schemas.openxmlformats.org/officeDocument/2006/relationships/hyperlink" Target="mailto:jeffery_kathryn@smc.edu" TargetMode="External"/><Relationship Id="rId202" Type="http://schemas.openxmlformats.org/officeDocument/2006/relationships/hyperlink" Target="mailto:steven.bloomberg@kccd.edu" TargetMode="External"/><Relationship Id="rId244" Type="http://schemas.openxmlformats.org/officeDocument/2006/relationships/hyperlink" Target="mailto:mendozaa@smccd.edu" TargetMode="External"/><Relationship Id="rId39" Type="http://schemas.openxmlformats.org/officeDocument/2006/relationships/hyperlink" Target="https://www.clark.edu/about/governance/leadership/" TargetMode="External"/><Relationship Id="rId286" Type="http://schemas.openxmlformats.org/officeDocument/2006/relationships/hyperlink" Target="https://documents.coastline.edu/research%20and%20planning/__CollegePlans/Coastline%20College%202030%20Vision%20Plan.pdf" TargetMode="External"/><Relationship Id="rId451" Type="http://schemas.openxmlformats.org/officeDocument/2006/relationships/hyperlink" Target="https://www.scccd.edu/about/board-of-trustees/index.html" TargetMode="External"/><Relationship Id="rId493" Type="http://schemas.openxmlformats.org/officeDocument/2006/relationships/hyperlink" Target="mailto:lzale@lbcc.edu" TargetMode="External"/><Relationship Id="rId507" Type="http://schemas.openxmlformats.org/officeDocument/2006/relationships/hyperlink" Target="mailto:bradley.davis@westvalley.edu" TargetMode="External"/><Relationship Id="rId549" Type="http://schemas.openxmlformats.org/officeDocument/2006/relationships/hyperlink" Target="mailto:gayle.pitman@napavalley.edu" TargetMode="External"/><Relationship Id="rId50" Type="http://schemas.openxmlformats.org/officeDocument/2006/relationships/hyperlink" Target="https://www.columbiabasin.edu/_documents/handbooks-guides-reports-plans/columbia-basin-college-strategic-plan-accessible.pdf" TargetMode="External"/><Relationship Id="rId104" Type="http://schemas.openxmlformats.org/officeDocument/2006/relationships/hyperlink" Target="https://www.olympic.edu/about/administration/office-president" TargetMode="External"/><Relationship Id="rId146" Type="http://schemas.openxmlformats.org/officeDocument/2006/relationships/hyperlink" Target="mailto:Kevin.Brockbank@ccs.spokane.edu" TargetMode="External"/><Relationship Id="rId188" Type="http://schemas.openxmlformats.org/officeDocument/2006/relationships/hyperlink" Target="mailto:cardozal@arc.losrios.edu" TargetMode="External"/><Relationship Id="rId311" Type="http://schemas.openxmlformats.org/officeDocument/2006/relationships/hyperlink" Target="https://www1.marin.edu/board-trustees" TargetMode="External"/><Relationship Id="rId353" Type="http://schemas.openxmlformats.org/officeDocument/2006/relationships/hyperlink" Target="https://www.4cd.edu/research/district-strategic-plan/index.html" TargetMode="External"/><Relationship Id="rId395" Type="http://schemas.openxmlformats.org/officeDocument/2006/relationships/hyperlink" Target="https://www.nocccd.edu/board-trustees" TargetMode="External"/><Relationship Id="rId409" Type="http://schemas.openxmlformats.org/officeDocument/2006/relationships/hyperlink" Target="https://www.laccd.edu/board" TargetMode="External"/><Relationship Id="rId560" Type="http://schemas.openxmlformats.org/officeDocument/2006/relationships/hyperlink" Target="mailto:kmiller4@palomar.edu" TargetMode="External"/><Relationship Id="rId92" Type="http://schemas.openxmlformats.org/officeDocument/2006/relationships/hyperlink" Target="https://www.seattlecolleges.edu/about/leadership-and-organization/chancellors-office/about-chancellor" TargetMode="External"/><Relationship Id="rId213" Type="http://schemas.openxmlformats.org/officeDocument/2006/relationships/hyperlink" Target="mailto:ebagg@barstow.edu" TargetMode="External"/><Relationship Id="rId420" Type="http://schemas.openxmlformats.org/officeDocument/2006/relationships/hyperlink" Target="mailto:aguiara@piercecollege.edu" TargetMode="External"/><Relationship Id="rId616" Type="http://schemas.openxmlformats.org/officeDocument/2006/relationships/hyperlink" Target="https://www.shastacollege.edu/about/leadership-organization/board-of-trustees/" TargetMode="External"/><Relationship Id="rId255" Type="http://schemas.openxmlformats.org/officeDocument/2006/relationships/hyperlink" Target="https://www.clpccd.org/bot/index.php" TargetMode="External"/><Relationship Id="rId297" Type="http://schemas.openxmlformats.org/officeDocument/2006/relationships/hyperlink" Target="https://www.peralta.edu/boardoftrustees" TargetMode="External"/><Relationship Id="rId462" Type="http://schemas.openxmlformats.org/officeDocument/2006/relationships/hyperlink" Target="mailto:kristina.hancock-nishimoto@canyons.edu" TargetMode="External"/><Relationship Id="rId518" Type="http://schemas.openxmlformats.org/officeDocument/2006/relationships/hyperlink" Target="mailto:rmaclennan@vcccd.edu" TargetMode="External"/><Relationship Id="rId115" Type="http://schemas.openxmlformats.org/officeDocument/2006/relationships/hyperlink" Target="mailto:CBoiter@pierce.ctc.edu" TargetMode="External"/><Relationship Id="rId157" Type="http://schemas.openxmlformats.org/officeDocument/2006/relationships/hyperlink" Target="https://www.tacomacc.edu/about/strategicplan/strategicplan" TargetMode="External"/><Relationship Id="rId322" Type="http://schemas.openxmlformats.org/officeDocument/2006/relationships/hyperlink" Target="https://www.cos.edu/en-us/administration/governance/board" TargetMode="External"/><Relationship Id="rId364" Type="http://schemas.openxmlformats.org/officeDocument/2006/relationships/hyperlink" Target="https://losrios.edu/about-los-rios/board-of-trustees" TargetMode="External"/><Relationship Id="rId61" Type="http://schemas.openxmlformats.org/officeDocument/2006/relationships/hyperlink" Target="https://edcfedt.wa.aft.org/news/faculty-concerns-regarding-president-singhs-interview-puget-sound-business-journal" TargetMode="External"/><Relationship Id="rId199" Type="http://schemas.openxmlformats.org/officeDocument/2006/relationships/hyperlink" Target="mailto:stacy.pfluger@bakersfieldcollege.edu" TargetMode="External"/><Relationship Id="rId571" Type="http://schemas.openxmlformats.org/officeDocument/2006/relationships/hyperlink" Target="https://www.sdccd.edu/about/leadership/board-of-trustees/index.aspx" TargetMode="External"/><Relationship Id="rId627" Type="http://schemas.openxmlformats.org/officeDocument/2006/relationships/hyperlink" Target="https://www.swccd.edu/about-swc/leadership/governing-board/index.aspx" TargetMode="External"/><Relationship Id="rId19" Type="http://schemas.openxmlformats.org/officeDocument/2006/relationships/hyperlink" Target="https://www.bigbend.edu/about-us/president.html" TargetMode="External"/><Relationship Id="rId224" Type="http://schemas.openxmlformats.org/officeDocument/2006/relationships/hyperlink" Target="https://www.cabrillo.edu/" TargetMode="External"/><Relationship Id="rId266" Type="http://schemas.openxmlformats.org/officeDocument/2006/relationships/hyperlink" Target="https://www.ccsf.edu/about-ccsf/board-trustees" TargetMode="External"/><Relationship Id="rId431" Type="http://schemas.openxmlformats.org/officeDocument/2006/relationships/hyperlink" Target="mailto:lambertlee@fhda.edu" TargetMode="External"/><Relationship Id="rId473" Type="http://schemas.openxmlformats.org/officeDocument/2006/relationships/hyperlink" Target="https://www.imperial.edu/" TargetMode="External"/><Relationship Id="rId529" Type="http://schemas.openxmlformats.org/officeDocument/2006/relationships/hyperlink" Target="https://rccd.edu/bot/index.html" TargetMode="External"/><Relationship Id="rId30" Type="http://schemas.openxmlformats.org/officeDocument/2006/relationships/hyperlink" Target="https://www.centralia.edu/" TargetMode="External"/><Relationship Id="rId126" Type="http://schemas.openxmlformats.org/officeDocument/2006/relationships/hyperlink" Target="mailto:Brent.Jones@seattlecolleges.edu" TargetMode="External"/><Relationship Id="rId168" Type="http://schemas.openxmlformats.org/officeDocument/2006/relationships/hyperlink" Target="mailto:rkloke@whatcom.edu" TargetMode="External"/><Relationship Id="rId333" Type="http://schemas.openxmlformats.org/officeDocument/2006/relationships/hyperlink" Target="https://www.yosemite.edu/trustees/index.html" TargetMode="External"/><Relationship Id="rId540" Type="http://schemas.openxmlformats.org/officeDocument/2006/relationships/hyperlink" Target="https://www.mtsac.edu/" TargetMode="External"/><Relationship Id="rId72" Type="http://schemas.openxmlformats.org/officeDocument/2006/relationships/hyperlink" Target="https://www.greenriver.edu/campus/board-of-trustees/index.html" TargetMode="External"/><Relationship Id="rId375" Type="http://schemas.openxmlformats.org/officeDocument/2006/relationships/hyperlink" Target="https://sbccd.edu/about-sbccd/board-of-trustees/index.php" TargetMode="External"/><Relationship Id="rId582" Type="http://schemas.openxmlformats.org/officeDocument/2006/relationships/hyperlink" Target="mailto:tking@sdccd.edu" TargetMode="External"/><Relationship Id="rId638" Type="http://schemas.openxmlformats.org/officeDocument/2006/relationships/hyperlink" Target="mailto:lnavarette@yccd.edu" TargetMode="External"/><Relationship Id="rId3" Type="http://schemas.openxmlformats.org/officeDocument/2006/relationships/hyperlink" Target="https://dms.batestech.edu/wp-content/uploads/documents-directory/strategic-plan/2024-29%20Strategic%20Plan%20Report_final.pdf" TargetMode="External"/><Relationship Id="rId235" Type="http://schemas.openxmlformats.org/officeDocument/2006/relationships/hyperlink" Target="https://smccd.edu/strategicplanning/Updated_2025_DistrictStrategicPlan_11x8.5in.pdf" TargetMode="External"/><Relationship Id="rId277" Type="http://schemas.openxmlformats.org/officeDocument/2006/relationships/hyperlink" Target="https://westhillscollege.com/district/administration/board-of-trustees/" TargetMode="External"/><Relationship Id="rId400" Type="http://schemas.openxmlformats.org/officeDocument/2006/relationships/hyperlink" Target="mailto:bbreland@nocccd.edu" TargetMode="External"/><Relationship Id="rId442" Type="http://schemas.openxmlformats.org/officeDocument/2006/relationships/hyperlink" Target="mailto:beatriz.chaidez@sjeccd.edu" TargetMode="External"/><Relationship Id="rId484" Type="http://schemas.openxmlformats.org/officeDocument/2006/relationships/hyperlink" Target="mailto:scpresident@saddleback.edu" TargetMode="External"/><Relationship Id="rId137" Type="http://schemas.openxmlformats.org/officeDocument/2006/relationships/hyperlink" Target="https://spscc.edu/" TargetMode="External"/><Relationship Id="rId302" Type="http://schemas.openxmlformats.org/officeDocument/2006/relationships/hyperlink" Target="mailto:tgilkerson@peralta.edu%20" TargetMode="External"/><Relationship Id="rId344" Type="http://schemas.openxmlformats.org/officeDocument/2006/relationships/hyperlink" Target="https://www.4cd.edu/gb/index.html" TargetMode="External"/><Relationship Id="rId41" Type="http://schemas.openxmlformats.org/officeDocument/2006/relationships/hyperlink" Target="https://www.cptc.edu/" TargetMode="External"/><Relationship Id="rId83" Type="http://schemas.openxmlformats.org/officeDocument/2006/relationships/hyperlink" Target="https://lowercolumbia.edu/president/" TargetMode="External"/><Relationship Id="rId179" Type="http://schemas.openxmlformats.org/officeDocument/2006/relationships/hyperlink" Target="mailto:jmcgee@hancockcollege.edu" TargetMode="External"/><Relationship Id="rId386" Type="http://schemas.openxmlformats.org/officeDocument/2006/relationships/hyperlink" Target="mailto:jill_stearns@cuesta.edu" TargetMode="External"/><Relationship Id="rId551" Type="http://schemas.openxmlformats.org/officeDocument/2006/relationships/hyperlink" Target="https://www.ohlone.edu/" TargetMode="External"/><Relationship Id="rId593" Type="http://schemas.openxmlformats.org/officeDocument/2006/relationships/hyperlink" Target="https://www.sac.edu/" TargetMode="External"/><Relationship Id="rId607" Type="http://schemas.openxmlformats.org/officeDocument/2006/relationships/hyperlink" Target="mailto:dielachery@smccd.edu" TargetMode="External"/><Relationship Id="rId190" Type="http://schemas.openxmlformats.org/officeDocument/2006/relationships/hyperlink" Target="https://losrios.edu/about-los-rios/our-values/strategic-plan" TargetMode="External"/><Relationship Id="rId204" Type="http://schemas.openxmlformats.org/officeDocument/2006/relationships/hyperlink" Target="mailto:steven.bloomberg@kccd.edu" TargetMode="External"/><Relationship Id="rId246" Type="http://schemas.openxmlformats.org/officeDocument/2006/relationships/hyperlink" Target="mailto:awittig@cerritos.edu" TargetMode="External"/><Relationship Id="rId288" Type="http://schemas.openxmlformats.org/officeDocument/2006/relationships/hyperlink" Target="mailto:wyamamura@cccd.edu" TargetMode="External"/><Relationship Id="rId411" Type="http://schemas.openxmlformats.org/officeDocument/2006/relationships/hyperlink" Target="https://www.laccd.edu/board" TargetMode="External"/><Relationship Id="rId453" Type="http://schemas.openxmlformats.org/officeDocument/2006/relationships/hyperlink" Target="https://www.scccd.edu/about/board-of-trustees/index.html" TargetMode="External"/><Relationship Id="rId509" Type="http://schemas.openxmlformats.org/officeDocument/2006/relationships/hyperlink" Target="mailto:seher.awan@missioncollege.edu" TargetMode="External"/><Relationship Id="rId106" Type="http://schemas.openxmlformats.org/officeDocument/2006/relationships/hyperlink" Target="mailto:crecasner@olympic.edu" TargetMode="External"/><Relationship Id="rId313" Type="http://schemas.openxmlformats.org/officeDocument/2006/relationships/hyperlink" Target="https://www.canyons.edu/" TargetMode="External"/><Relationship Id="rId495" Type="http://schemas.openxmlformats.org/officeDocument/2006/relationships/hyperlink" Target="https://www.mendocino.edu/board" TargetMode="External"/><Relationship Id="rId10" Type="http://schemas.openxmlformats.org/officeDocument/2006/relationships/hyperlink" Target="mailto:pradnya.desh@bellevuecollege.edu" TargetMode="External"/><Relationship Id="rId52" Type="http://schemas.openxmlformats.org/officeDocument/2006/relationships/hyperlink" Target="mailto:obredt@columbiabasin.edu" TargetMode="External"/><Relationship Id="rId94" Type="http://schemas.openxmlformats.org/officeDocument/2006/relationships/hyperlink" Target="https://www.seattlecolleges.edu/about/leadership-and-organization/board-trustees" TargetMode="External"/><Relationship Id="rId148" Type="http://schemas.openxmlformats.org/officeDocument/2006/relationships/hyperlink" Target="mailto:Kevin.Brockbank@ccs.spokane.edu" TargetMode="External"/><Relationship Id="rId355" Type="http://schemas.openxmlformats.org/officeDocument/2006/relationships/hyperlink" Target="mailto:jadams@losmedanos.edu" TargetMode="External"/><Relationship Id="rId397" Type="http://schemas.openxmlformats.org/officeDocument/2006/relationships/hyperlink" Target="https://www.nocccd.edu/board-trustees" TargetMode="External"/><Relationship Id="rId520" Type="http://schemas.openxmlformats.org/officeDocument/2006/relationships/hyperlink" Target="tel:8056525507" TargetMode="External"/><Relationship Id="rId562" Type="http://schemas.openxmlformats.org/officeDocument/2006/relationships/hyperlink" Target="https://www.pasadena.edu/about/board-of-trustees/index.php" TargetMode="External"/><Relationship Id="rId618" Type="http://schemas.openxmlformats.org/officeDocument/2006/relationships/hyperlink" Target="mailto:mkoh@shastacollege.edu" TargetMode="External"/><Relationship Id="rId215" Type="http://schemas.openxmlformats.org/officeDocument/2006/relationships/hyperlink" Target="https://www.berkeleycitycollege.edu/" TargetMode="External"/><Relationship Id="rId257" Type="http://schemas.openxmlformats.org/officeDocument/2006/relationships/hyperlink" Target="mailto:jcooks@chabotcollege.edu" TargetMode="External"/><Relationship Id="rId422" Type="http://schemas.openxmlformats.org/officeDocument/2006/relationships/hyperlink" Target="mailto:culpepaj@lasc.edu" TargetMode="External"/><Relationship Id="rId464" Type="http://schemas.openxmlformats.org/officeDocument/2006/relationships/hyperlink" Target="https://www.gavilan.edu/" TargetMode="External"/><Relationship Id="rId299" Type="http://schemas.openxmlformats.org/officeDocument/2006/relationships/hyperlink" Target="mailto:tgilkerson@peralta.edu%20" TargetMode="External"/><Relationship Id="rId63" Type="http://schemas.openxmlformats.org/officeDocument/2006/relationships/hyperlink" Target="mailto:ccrawford@everettcc.edu" TargetMode="External"/><Relationship Id="rId159" Type="http://schemas.openxmlformats.org/officeDocument/2006/relationships/hyperlink" Target="https://www.wwcc.edu/about/mission-vision-and-planning/institutional-planning/" TargetMode="External"/><Relationship Id="rId366" Type="http://schemas.openxmlformats.org/officeDocument/2006/relationships/hyperlink" Target="mailto:LarsenR@crc.losrios.edu" TargetMode="External"/><Relationship Id="rId573" Type="http://schemas.openxmlformats.org/officeDocument/2006/relationships/hyperlink" Target="https://www.sdccd.edu/about/leadership/board-of-trustees/index.aspx" TargetMode="External"/><Relationship Id="rId226" Type="http://schemas.openxmlformats.org/officeDocument/2006/relationships/hyperlink" Target="mailto:jenn.capps@cabrillo.edu" TargetMode="External"/><Relationship Id="rId433" Type="http://schemas.openxmlformats.org/officeDocument/2006/relationships/hyperlink" Target="mailto:coondavid@deanza.edu" TargetMode="External"/><Relationship Id="rId640" Type="http://schemas.openxmlformats.org/officeDocument/2006/relationships/hyperlink" Target="https://yc.yccd.edu/" TargetMode="External"/><Relationship Id="rId74" Type="http://schemas.openxmlformats.org/officeDocument/2006/relationships/hyperlink" Target="https://www.greenriver.edu/campus/media/documents/strategic-planning/Green_River_College-Equity_minded-Strategic_Plan.pdf" TargetMode="External"/><Relationship Id="rId377" Type="http://schemas.openxmlformats.org/officeDocument/2006/relationships/hyperlink" Target="tel:(909)%20388-6901" TargetMode="External"/><Relationship Id="rId500" Type="http://schemas.openxmlformats.org/officeDocument/2006/relationships/hyperlink" Target="mailto:krystal.pollinger@mccd.edu" TargetMode="External"/><Relationship Id="rId584" Type="http://schemas.openxmlformats.org/officeDocument/2006/relationships/hyperlink" Target="https://www.sdmesa.edu/" TargetMode="External"/><Relationship Id="rId5" Type="http://schemas.openxmlformats.org/officeDocument/2006/relationships/hyperlink" Target="https://www.batestech.edu/about-bates/college-governance/about-the-president/" TargetMode="External"/><Relationship Id="rId237" Type="http://schemas.openxmlformats.org/officeDocument/2006/relationships/hyperlink" Target="mailto:morenomelissa@smccd.edu" TargetMode="External"/><Relationship Id="rId444" Type="http://schemas.openxmlformats.org/officeDocument/2006/relationships/hyperlink" Target="mailto:Penny.Garibay@evc.edu" TargetMode="External"/><Relationship Id="rId290" Type="http://schemas.openxmlformats.org/officeDocument/2006/relationships/hyperlink" Target="mailto:wyamamura@cccd.edu" TargetMode="External"/><Relationship Id="rId304" Type="http://schemas.openxmlformats.org/officeDocument/2006/relationships/hyperlink" Target="mailto:melaniedixon@peralta.edu" TargetMode="External"/><Relationship Id="rId388" Type="http://schemas.openxmlformats.org/officeDocument/2006/relationships/hyperlink" Target="mailto:lynn.neault@gcccd.edu" TargetMode="External"/><Relationship Id="rId511" Type="http://schemas.openxmlformats.org/officeDocument/2006/relationships/hyperlink" Target="mailto:j.taylormendoza@westvalley.edu" TargetMode="External"/><Relationship Id="rId609" Type="http://schemas.openxmlformats.org/officeDocument/2006/relationships/hyperlink" Target="https://admin.smc.edu/administration/governance/board-of-trustees/" TargetMode="External"/><Relationship Id="rId85" Type="http://schemas.openxmlformats.org/officeDocument/2006/relationships/hyperlink" Target="mailto:kfinnel@lowercolumbia.edu" TargetMode="External"/><Relationship Id="rId150" Type="http://schemas.openxmlformats.org/officeDocument/2006/relationships/hyperlink" Target="mailto:Patrick.McEachern@sfcc.spokane.edu" TargetMode="External"/><Relationship Id="rId595" Type="http://schemas.openxmlformats.org/officeDocument/2006/relationships/hyperlink" Target="mailto:martinez_marvin@rsccd.edu" TargetMode="External"/><Relationship Id="rId248" Type="http://schemas.openxmlformats.org/officeDocument/2006/relationships/hyperlink" Target="https://www.cerrocoso.edu/_resources/assets/documents/About/Strategic-Plan-2025-2030-Brochure.pdf" TargetMode="External"/><Relationship Id="rId455" Type="http://schemas.openxmlformats.org/officeDocument/2006/relationships/hyperlink" Target="https://www.fresnocitycollege.edu/" TargetMode="External"/><Relationship Id="rId12" Type="http://schemas.openxmlformats.org/officeDocument/2006/relationships/hyperlink" Target="https://www.btc.edu/" TargetMode="External"/><Relationship Id="rId108" Type="http://schemas.openxmlformats.org/officeDocument/2006/relationships/hyperlink" Target="https://pencol.edu/" TargetMode="External"/><Relationship Id="rId315" Type="http://schemas.openxmlformats.org/officeDocument/2006/relationships/hyperlink" Target="mailto:Jasmine.Ruys@canyons.edu" TargetMode="External"/><Relationship Id="rId522" Type="http://schemas.openxmlformats.org/officeDocument/2006/relationships/hyperlink" Target="https://www.vcccd.edu/board-of-trustees" TargetMode="External"/><Relationship Id="rId96" Type="http://schemas.openxmlformats.org/officeDocument/2006/relationships/hyperlink" Target="https://www.seattlecolleges.edu/about/leadership-and-organization/chancellors-office/about-chancellor" TargetMode="External"/><Relationship Id="rId161" Type="http://schemas.openxmlformats.org/officeDocument/2006/relationships/hyperlink" Target="mailto:doreen.kennedy@wwcc.edu" TargetMode="External"/><Relationship Id="rId399" Type="http://schemas.openxmlformats.org/officeDocument/2006/relationships/hyperlink" Target="mailto:bbreland@nocccd.edu" TargetMode="External"/><Relationship Id="rId259" Type="http://schemas.openxmlformats.org/officeDocument/2006/relationships/hyperlink" Target="https://www.chaffey.edu/leadership/governingboard.php" TargetMode="External"/><Relationship Id="rId466" Type="http://schemas.openxmlformats.org/officeDocument/2006/relationships/hyperlink" Target="mailto:mjones@gavilan.edu" TargetMode="External"/><Relationship Id="rId23" Type="http://schemas.openxmlformats.org/officeDocument/2006/relationships/hyperlink" Target="https://www.bigbend.edu/_migrated-binaries/wp-content/uploads/Strategic-Plan-Most-Recent.pdf" TargetMode="External"/><Relationship Id="rId119" Type="http://schemas.openxmlformats.org/officeDocument/2006/relationships/hyperlink" Target="mailto:CFlores@pierce.ctc.edu" TargetMode="External"/><Relationship Id="rId326" Type="http://schemas.openxmlformats.org/officeDocument/2006/relationships/hyperlink" Target="https://www.siskiyous.edu/" TargetMode="External"/><Relationship Id="rId533" Type="http://schemas.openxmlformats.org/officeDocument/2006/relationships/hyperlink" Target="mailto:Rachelle.Arisbe@rccd.edu" TargetMode="External"/><Relationship Id="rId172" Type="http://schemas.openxmlformats.org/officeDocument/2006/relationships/hyperlink" Target="https://www.yvcc.edu/" TargetMode="External"/><Relationship Id="rId477" Type="http://schemas.openxmlformats.org/officeDocument/2006/relationships/hyperlink" Target="tel:949-582-4840" TargetMode="External"/><Relationship Id="rId600" Type="http://schemas.openxmlformats.org/officeDocument/2006/relationships/hyperlink" Target="mailto:kim_jeannie@sccollege.edu" TargetMode="External"/><Relationship Id="rId337" Type="http://schemas.openxmlformats.org/officeDocument/2006/relationships/hyperlink" Target="mailto:sandersb@yosemite.edu" TargetMode="External"/><Relationship Id="rId34" Type="http://schemas.openxmlformats.org/officeDocument/2006/relationships/hyperlink" Target="mailto:bob.mohrbacher@centralia.edu" TargetMode="External"/><Relationship Id="rId544" Type="http://schemas.openxmlformats.org/officeDocument/2006/relationships/hyperlink" Target="https://www.msjc.edu/" TargetMode="External"/><Relationship Id="rId183" Type="http://schemas.openxmlformats.org/officeDocument/2006/relationships/hyperlink" Target="https://www.sbctc.edu/colleges-staff/commissions-councils/wactc/membership.aspx" TargetMode="External"/><Relationship Id="rId390" Type="http://schemas.openxmlformats.org/officeDocument/2006/relationships/hyperlink" Target="https://www.gcccd.edu/governing-board/index.php" TargetMode="External"/><Relationship Id="rId404" Type="http://schemas.openxmlformats.org/officeDocument/2006/relationships/hyperlink" Target="mailto:jschoepf@noce.edu" TargetMode="External"/><Relationship Id="rId611" Type="http://schemas.openxmlformats.org/officeDocument/2006/relationships/hyperlink" Target="https://www.santarosa.edu/" TargetMode="External"/><Relationship Id="rId250" Type="http://schemas.openxmlformats.org/officeDocument/2006/relationships/hyperlink" Target="mailto:jennifer.curtis@cerrocoso.edu" TargetMode="External"/><Relationship Id="rId488" Type="http://schemas.openxmlformats.org/officeDocument/2006/relationships/hyperlink" Target="mailto:ccamacho@lassencollege.edu" TargetMode="External"/><Relationship Id="rId45" Type="http://schemas.openxmlformats.org/officeDocument/2006/relationships/hyperlink" Target="mailto:joyce.loveday@cptc.edu" TargetMode="External"/><Relationship Id="rId110" Type="http://schemas.openxmlformats.org/officeDocument/2006/relationships/hyperlink" Target="https://www.pierce.ctc.edu/" TargetMode="External"/><Relationship Id="rId348" Type="http://schemas.openxmlformats.org/officeDocument/2006/relationships/hyperlink" Target="https://www.4cd.edu/gb/index.html" TargetMode="External"/><Relationship Id="rId555" Type="http://schemas.openxmlformats.org/officeDocument/2006/relationships/hyperlink" Target="https://www.paloverde.edu/" TargetMode="External"/><Relationship Id="rId194" Type="http://schemas.openxmlformats.org/officeDocument/2006/relationships/hyperlink" Target="https://www.avc.edu/sites/default/files/administration/president/2025-2026%20President%20Goals.pdf" TargetMode="External"/><Relationship Id="rId208" Type="http://schemas.openxmlformats.org/officeDocument/2006/relationships/hyperlink" Target="https://www.kccd.edu/chancellors-office/_documents/strategic-plan/kccd-strategic-plan-june-2025-bot.pdf" TargetMode="External"/><Relationship Id="rId415" Type="http://schemas.openxmlformats.org/officeDocument/2006/relationships/hyperlink" Target="https://www.elac.edu/" TargetMode="External"/><Relationship Id="rId622" Type="http://schemas.openxmlformats.org/officeDocument/2006/relationships/hyperlink" Target="https://www.solano.edu/" TargetMode="External"/><Relationship Id="rId261" Type="http://schemas.openxmlformats.org/officeDocument/2006/relationships/hyperlink" Target="mailto:henry.shannon@chaffey.edu" TargetMode="External"/><Relationship Id="rId499" Type="http://schemas.openxmlformats.org/officeDocument/2006/relationships/hyperlink" Target="mailto:chris.vitelli@mccd.edu" TargetMode="External"/><Relationship Id="rId56" Type="http://schemas.openxmlformats.org/officeDocument/2006/relationships/hyperlink" Target="https://www.edmonds.edu/about-edmonds/governance-and-policy/president.html?_gl=1*qgwufi*_up*MQ..*_ga*MTQxNDM4MjE0OS4xNzgzMDQxNzQ1*_ga_BFCK93FZ9X*czE3ODMwNDE3NDUkbzEkZzEkdDE3ODMwNDE3NTkkajQ2JGwwJGgxNTg5NjI3NTUx" TargetMode="External"/><Relationship Id="rId359" Type="http://schemas.openxmlformats.org/officeDocument/2006/relationships/hyperlink" Target="mailto:powellt@losrios.edu" TargetMode="External"/><Relationship Id="rId566" Type="http://schemas.openxmlformats.org/officeDocument/2006/relationships/hyperlink" Target="mailto:maribel.hernandez@portervillecollege.edu" TargetMode="External"/><Relationship Id="rId121" Type="http://schemas.openxmlformats.org/officeDocument/2006/relationships/hyperlink" Target="https://rtc.edu/" TargetMode="External"/><Relationship Id="rId219" Type="http://schemas.openxmlformats.org/officeDocument/2006/relationships/hyperlink" Target="https://www.butte.edu/" TargetMode="External"/><Relationship Id="rId426" Type="http://schemas.openxmlformats.org/officeDocument/2006/relationships/hyperlink" Target="mailto:nesiavc@wlac.edu" TargetMode="External"/><Relationship Id="rId633" Type="http://schemas.openxmlformats.org/officeDocument/2006/relationships/hyperlink" Target="https://www.vvc.edu/board-trustees" TargetMode="External"/><Relationship Id="rId67" Type="http://schemas.openxmlformats.org/officeDocument/2006/relationships/hyperlink" Target="https://www.ghc.edu/board-trustees" TargetMode="External"/><Relationship Id="rId272" Type="http://schemas.openxmlformats.org/officeDocument/2006/relationships/hyperlink" Target="mailto:carlatweed@whccd.edu" TargetMode="External"/><Relationship Id="rId577" Type="http://schemas.openxmlformats.org/officeDocument/2006/relationships/hyperlink" Target="mailto:gsmith@sdccd.edu" TargetMode="External"/><Relationship Id="rId132" Type="http://schemas.openxmlformats.org/officeDocument/2006/relationships/hyperlink" Target="https://www.skagit.edu/" TargetMode="External"/><Relationship Id="rId437" Type="http://schemas.openxmlformats.org/officeDocument/2006/relationships/hyperlink" Target="mailto:rsandro@elcamino.edu" TargetMode="External"/><Relationship Id="rId644" Type="http://schemas.openxmlformats.org/officeDocument/2006/relationships/hyperlink" Target="mailto:span@yccd.edu" TargetMode="External"/><Relationship Id="rId283" Type="http://schemas.openxmlformats.org/officeDocument/2006/relationships/hyperlink" Target="mailto:wyamamura@cccd.edu" TargetMode="External"/><Relationship Id="rId490" Type="http://schemas.openxmlformats.org/officeDocument/2006/relationships/hyperlink" Target="https://www.lbcc.edu/" TargetMode="External"/><Relationship Id="rId504" Type="http://schemas.openxmlformats.org/officeDocument/2006/relationships/hyperlink" Target="mailto:ljohnson@miracosta.edu" TargetMode="External"/><Relationship Id="rId78" Type="http://schemas.openxmlformats.org/officeDocument/2006/relationships/hyperlink" Target="https://president.highline.edu/" TargetMode="External"/><Relationship Id="rId143" Type="http://schemas.openxmlformats.org/officeDocument/2006/relationships/hyperlink" Target="mailto:Koh.Phasomsap@seattlecolleges.edu" TargetMode="External"/><Relationship Id="rId350" Type="http://schemas.openxmlformats.org/officeDocument/2006/relationships/hyperlink" Target="mailto:krogers@contracosta.edu" TargetMode="External"/><Relationship Id="rId588" Type="http://schemas.openxmlformats.org/officeDocument/2006/relationships/hyperlink" Target="mailto:rmartine@sdccd.edu" TargetMode="External"/><Relationship Id="rId9" Type="http://schemas.openxmlformats.org/officeDocument/2006/relationships/hyperlink" Target="https://www.bellevuecollege.edu/about-us/college-leadership/board-trustees/" TargetMode="External"/><Relationship Id="rId210" Type="http://schemas.openxmlformats.org/officeDocument/2006/relationships/hyperlink" Target="https://www.barstow.edu/about-bcc/board-trustees" TargetMode="External"/><Relationship Id="rId448" Type="http://schemas.openxmlformats.org/officeDocument/2006/relationships/hyperlink" Target="mailto:KTrutna@frc.edu%20" TargetMode="External"/><Relationship Id="rId294" Type="http://schemas.openxmlformats.org/officeDocument/2006/relationships/hyperlink" Target="mailto:asuarez@occ.cccd.edu" TargetMode="External"/><Relationship Id="rId308" Type="http://schemas.openxmlformats.org/officeDocument/2006/relationships/hyperlink" Target="mailto:dmjohnson@peralta.edu" TargetMode="External"/><Relationship Id="rId515" Type="http://schemas.openxmlformats.org/officeDocument/2006/relationships/hyperlink" Target="mailto:hgriffin@mpc.edu" TargetMode="External"/><Relationship Id="rId89" Type="http://schemas.openxmlformats.org/officeDocument/2006/relationships/hyperlink" Target="https://northseattle.edu/" TargetMode="External"/><Relationship Id="rId154" Type="http://schemas.openxmlformats.org/officeDocument/2006/relationships/hyperlink" Target="https://www.tacomacc.edu/about/leadership/trustees" TargetMode="External"/><Relationship Id="rId361" Type="http://schemas.openxmlformats.org/officeDocument/2006/relationships/hyperlink" Target="mailto:powellt@losrios.edu" TargetMode="External"/><Relationship Id="rId599" Type="http://schemas.openxmlformats.org/officeDocument/2006/relationships/hyperlink" Target="https://www.sccollege.edu/"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sbctc.edu/colleges-staff/commissions-councils/wactc/membership.aspx" TargetMode="External"/><Relationship Id="rId13" Type="http://schemas.openxmlformats.org/officeDocument/2006/relationships/hyperlink" Target="mailto:galizio@ccleague.org" TargetMode="External"/><Relationship Id="rId3" Type="http://schemas.openxmlformats.org/officeDocument/2006/relationships/hyperlink" Target="mailto:nangel@sbctc.edu" TargetMode="External"/><Relationship Id="rId7" Type="http://schemas.openxmlformats.org/officeDocument/2006/relationships/hyperlink" Target="tel:3607044313" TargetMode="External"/><Relationship Id="rId12" Type="http://schemas.openxmlformats.org/officeDocument/2006/relationships/hyperlink" Target="mailto:agnes@ccleague.org" TargetMode="External"/><Relationship Id="rId2" Type="http://schemas.openxmlformats.org/officeDocument/2006/relationships/hyperlink" Target="https://www.sbctc.edu/colleges-staff/commissions-councils/wactc/membership.aspx" TargetMode="External"/><Relationship Id="rId1" Type="http://schemas.openxmlformats.org/officeDocument/2006/relationships/hyperlink" Target="https://www.sbctc.edu/colleges-staff/commissions-councils/wactc/default.aspx" TargetMode="External"/><Relationship Id="rId6" Type="http://schemas.openxmlformats.org/officeDocument/2006/relationships/hyperlink" Target="mailto:nangel@sbctc.edu" TargetMode="External"/><Relationship Id="rId11" Type="http://schemas.openxmlformats.org/officeDocument/2006/relationships/hyperlink" Target="https://www.ccleague.org/?utm_source=chatgpt.com" TargetMode="External"/><Relationship Id="rId5" Type="http://schemas.openxmlformats.org/officeDocument/2006/relationships/hyperlink" Target="https://www.sbctc.edu/colleges-staff/commissions-councils/wactc/default.aspx" TargetMode="External"/><Relationship Id="rId15" Type="http://schemas.openxmlformats.org/officeDocument/2006/relationships/table" Target="../tables/table2.xml"/><Relationship Id="rId10" Type="http://schemas.openxmlformats.org/officeDocument/2006/relationships/hyperlink" Target="https://www.sbctc.edu/about/agency/initiatives-projects/strategic-plan/default.aspx" TargetMode="External"/><Relationship Id="rId4" Type="http://schemas.openxmlformats.org/officeDocument/2006/relationships/hyperlink" Target="tel:3607044313" TargetMode="External"/><Relationship Id="rId9" Type="http://schemas.openxmlformats.org/officeDocument/2006/relationships/hyperlink" Target="mailto:nhumphrey@sbctc.edu" TargetMode="External"/><Relationship Id="rId14" Type="http://schemas.openxmlformats.org/officeDocument/2006/relationships/hyperlink" Target="https://www.ccleague.org/about-us/california-community-college-trustees-ccct/"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0"/>
  <sheetViews>
    <sheetView topLeftCell="A5" workbookViewId="0">
      <selection activeCell="B16" sqref="B16"/>
    </sheetView>
  </sheetViews>
  <sheetFormatPr defaultRowHeight="14.25"/>
  <cols>
    <col min="1" max="1" width="26" customWidth="1"/>
    <col min="2" max="2" width="16" customWidth="1"/>
    <col min="3" max="3" width="18" customWidth="1"/>
    <col min="4" max="4" width="26" customWidth="1"/>
  </cols>
  <sheetData>
    <row r="1" spans="1:8" ht="33.950000000000003" customHeight="1">
      <c r="A1" s="160" t="s">
        <v>0</v>
      </c>
      <c r="B1" s="161"/>
      <c r="C1" s="161"/>
      <c r="D1" s="161"/>
      <c r="E1" s="161"/>
      <c r="F1" s="161"/>
      <c r="G1" s="161"/>
      <c r="H1" s="161"/>
    </row>
    <row r="3" spans="1:8" ht="15">
      <c r="A3" s="2" t="s">
        <v>1</v>
      </c>
      <c r="B3" s="2" t="s">
        <v>2</v>
      </c>
    </row>
    <row r="4" spans="1:8" ht="15">
      <c r="A4" s="11" t="s">
        <v>3</v>
      </c>
      <c r="B4" s="12">
        <f>COUNTA('Community Colleges '!A2:A640)</f>
        <v>245</v>
      </c>
    </row>
    <row r="5" spans="1:8" ht="15">
      <c r="A5" s="11" t="s">
        <v>4</v>
      </c>
      <c r="B5" s="12">
        <f>COUNTIF('Community Colleges '!AN2:AN640,"High")</f>
        <v>0</v>
      </c>
    </row>
    <row r="6" spans="1:8" ht="15">
      <c r="A6" s="11" t="s">
        <v>5</v>
      </c>
      <c r="B6" s="12">
        <f ca="1">COUNTIFS('Community Colleges '!AL2:AL640,"&gt;="&amp;TODAY(),'Community Colleges '!AL2:AL640,"&lt;="&amp;TODAY()+7)+COUNTIFS(Opportunities!M2:M500,"&gt;="&amp;TODAY(),Opportunities!M2:M500,"&lt;="&amp;TODAY()+7)</f>
        <v>1</v>
      </c>
    </row>
    <row r="7" spans="1:8" ht="15">
      <c r="A7" s="11" t="s">
        <v>6</v>
      </c>
      <c r="B7" s="12">
        <f ca="1">COUNTIFS('Community Colleges '!AL2:AL640,"&lt;&gt;",'Community Colleges '!AL2:AL640,"&lt;"&amp;TODAY())+COUNTIFS(Opportunities!M2:M500,"&lt;&gt;",Opportunities!M2:M500,"&lt;"&amp;TODAY())</f>
        <v>0</v>
      </c>
    </row>
    <row r="8" spans="1:8" ht="15">
      <c r="A8" s="11" t="s">
        <v>7</v>
      </c>
      <c r="B8" s="12">
        <f>COUNTIFS(Opportunities!H2:H500,"&lt;&gt;Closed Won",Opportunities!H2:H500,"&lt;&gt;Closed Lost",Opportunities!A2:A500,"&lt;&gt;")</f>
        <v>99</v>
      </c>
    </row>
    <row r="9" spans="1:8" ht="15">
      <c r="A9" s="11" t="s">
        <v>8</v>
      </c>
      <c r="B9" s="12">
        <f>COUNTIF(Proposals!G2:G500,"Pending Decision")</f>
        <v>0</v>
      </c>
    </row>
    <row r="10" spans="1:8" ht="15">
      <c r="A10" s="11" t="s">
        <v>9</v>
      </c>
      <c r="B10" s="12">
        <f>COUNTIF(Opportunities!H2:H500,"Contract Signed")</f>
        <v>0</v>
      </c>
    </row>
    <row r="11" spans="1:8" ht="15">
      <c r="A11" s="11" t="s">
        <v>10</v>
      </c>
      <c r="B11" s="13">
        <f>SUMIFS(Revenue!E2:E500,Revenue!H2:H500,"Paid")+SUMIFS(Revenue!E2:E500,Revenue!H2:H500,"Partial Payment")</f>
        <v>0</v>
      </c>
    </row>
    <row r="12" spans="1:8" ht="15">
      <c r="A12" s="11" t="s">
        <v>11</v>
      </c>
      <c r="B12" s="13">
        <f>SUM(Opportunities!G2:G500)</f>
        <v>9000</v>
      </c>
    </row>
    <row r="14" spans="1:8" ht="15">
      <c r="A14" s="2" t="s">
        <v>12</v>
      </c>
      <c r="B14" s="2" t="s">
        <v>13</v>
      </c>
      <c r="C14" s="2" t="s">
        <v>14</v>
      </c>
      <c r="D14" s="2" t="s">
        <v>15</v>
      </c>
    </row>
    <row r="15" spans="1:8">
      <c r="A15" s="14" t="s">
        <v>16</v>
      </c>
      <c r="B15" s="10">
        <f>COUNTIF(Opportunities!H:H,A15)</f>
        <v>0</v>
      </c>
      <c r="C15" s="7">
        <f>SUMIF(Opportunities!H:H,A15,Opportunities!G:G)</f>
        <v>0</v>
      </c>
    </row>
    <row r="16" spans="1:8">
      <c r="A16" s="14" t="s">
        <v>17</v>
      </c>
      <c r="B16" s="10">
        <f>COUNTIF(Opportunities!H:H,A16)</f>
        <v>1</v>
      </c>
      <c r="C16" s="7">
        <f>SUMIF(Opportunities!H:H,A16,Opportunities!G:G)</f>
        <v>9000</v>
      </c>
    </row>
    <row r="17" spans="1:3">
      <c r="A17" s="14" t="s">
        <v>18</v>
      </c>
      <c r="B17" s="10">
        <f>COUNTIF(Opportunities!H:H,A17)</f>
        <v>0</v>
      </c>
      <c r="C17" s="7">
        <f>SUMIF(Opportunities!H:H,A17,Opportunities!G:G)</f>
        <v>0</v>
      </c>
    </row>
    <row r="18" spans="1:3">
      <c r="A18" s="14" t="s">
        <v>19</v>
      </c>
      <c r="B18" s="10">
        <f>COUNTIF(Opportunities!H:H,A18)</f>
        <v>0</v>
      </c>
      <c r="C18" s="7">
        <f>SUMIF(Opportunities!H:H,A18,Opportunities!G:G)</f>
        <v>0</v>
      </c>
    </row>
    <row r="19" spans="1:3">
      <c r="A19" s="14" t="s">
        <v>20</v>
      </c>
      <c r="B19" s="10">
        <f>COUNTIF(Opportunities!H:H,A19)</f>
        <v>0</v>
      </c>
      <c r="C19" s="7">
        <f>SUMIF(Opportunities!H:H,A19,Opportunities!G:G)</f>
        <v>0</v>
      </c>
    </row>
    <row r="20" spans="1:3">
      <c r="A20" s="14" t="s">
        <v>21</v>
      </c>
      <c r="B20" s="10">
        <f>COUNTIF(Opportunities!H:H,A20)</f>
        <v>0</v>
      </c>
      <c r="C20" s="7">
        <f>SUMIF(Opportunities!H:H,A20,Opportunities!G:G)</f>
        <v>0</v>
      </c>
    </row>
    <row r="21" spans="1:3">
      <c r="A21" s="14" t="s">
        <v>22</v>
      </c>
      <c r="B21" s="10">
        <f>COUNTIF(Opportunities!H:H,A21)</f>
        <v>0</v>
      </c>
      <c r="C21" s="7">
        <f>SUMIF(Opportunities!H:H,A21,Opportunities!G:G)</f>
        <v>0</v>
      </c>
    </row>
    <row r="22" spans="1:3">
      <c r="A22" s="14" t="s">
        <v>23</v>
      </c>
      <c r="B22" s="10">
        <f>COUNTIF(Opportunities!H:H,A22)</f>
        <v>0</v>
      </c>
      <c r="C22" s="7">
        <f>SUMIF(Opportunities!H:H,A22,Opportunities!G:G)</f>
        <v>0</v>
      </c>
    </row>
    <row r="23" spans="1:3">
      <c r="A23" s="14" t="s">
        <v>24</v>
      </c>
      <c r="B23" s="10">
        <f>COUNTIF(Opportunities!H:H,A23)</f>
        <v>0</v>
      </c>
      <c r="C23" s="7">
        <f>SUMIF(Opportunities!H:H,A23,Opportunities!G:G)</f>
        <v>0</v>
      </c>
    </row>
    <row r="24" spans="1:3">
      <c r="A24" s="14" t="s">
        <v>25</v>
      </c>
      <c r="B24" s="10">
        <f>COUNTIF(Opportunities!H:H,A24)</f>
        <v>0</v>
      </c>
      <c r="C24" s="7">
        <f>SUMIF(Opportunities!H:H,A24,Opportunities!G:G)</f>
        <v>0</v>
      </c>
    </row>
    <row r="25" spans="1:3">
      <c r="A25" s="14" t="s">
        <v>26</v>
      </c>
      <c r="B25" s="10">
        <f>COUNTIF(Opportunities!H:H,A25)</f>
        <v>0</v>
      </c>
      <c r="C25" s="7">
        <f>SUMIF(Opportunities!H:H,A25,Opportunities!G:G)</f>
        <v>0</v>
      </c>
    </row>
    <row r="26" spans="1:3">
      <c r="A26" s="14" t="s">
        <v>27</v>
      </c>
      <c r="B26" s="10">
        <f>COUNTIF(Opportunities!H:H,A26)</f>
        <v>0</v>
      </c>
      <c r="C26" s="7">
        <f>SUMIF(Opportunities!H:H,A26,Opportunities!G:G)</f>
        <v>0</v>
      </c>
    </row>
    <row r="27" spans="1:3">
      <c r="A27" s="14" t="s">
        <v>28</v>
      </c>
      <c r="B27" s="10">
        <f>COUNTIF(Opportunities!H:H,A27)</f>
        <v>0</v>
      </c>
      <c r="C27" s="7">
        <f>SUMIF(Opportunities!H:H,A27,Opportunities!G:G)</f>
        <v>0</v>
      </c>
    </row>
    <row r="28" spans="1:3">
      <c r="A28" s="14" t="s">
        <v>29</v>
      </c>
      <c r="B28" s="10">
        <f>COUNTIF(Opportunities!H:H,A28)</f>
        <v>0</v>
      </c>
      <c r="C28" s="7">
        <f>SUMIF(Opportunities!H:H,A28,Opportunities!G:G)</f>
        <v>0</v>
      </c>
    </row>
    <row r="29" spans="1:3">
      <c r="A29" s="14"/>
      <c r="B29" s="10"/>
      <c r="C29" s="7"/>
    </row>
    <row r="30" spans="1:3">
      <c r="A30" s="14"/>
      <c r="B30" s="10"/>
      <c r="C30" s="7"/>
    </row>
  </sheetData>
  <mergeCells count="1">
    <mergeCell ref="A1:H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D640"/>
  <sheetViews>
    <sheetView tabSelected="1" zoomScale="118" zoomScaleNormal="118" workbookViewId="0">
      <pane xSplit="2" ySplit="1" topLeftCell="C202" activePane="bottomRight" state="frozen"/>
      <selection pane="topRight" activeCell="C1" sqref="C1"/>
      <selection pane="bottomLeft" activeCell="A2" sqref="A2"/>
      <selection pane="bottomRight" activeCell="D246" sqref="D246"/>
    </sheetView>
  </sheetViews>
  <sheetFormatPr defaultRowHeight="12"/>
  <cols>
    <col min="1" max="1" width="28" style="17" customWidth="1"/>
    <col min="2" max="5" width="14" style="17" customWidth="1"/>
    <col min="6" max="6" width="13" style="17" customWidth="1"/>
    <col min="7" max="7" width="29.75" style="17" customWidth="1"/>
    <col min="8" max="12" width="28" style="17" customWidth="1"/>
    <col min="13" max="13" width="22.5" style="17" customWidth="1"/>
    <col min="14" max="14" width="11.875" style="17" customWidth="1"/>
    <col min="15" max="15" width="14" style="17" customWidth="1"/>
    <col min="16" max="16" width="30.5" style="17" customWidth="1"/>
    <col min="17" max="18" width="14" style="17" hidden="1" customWidth="1"/>
    <col min="19" max="19" width="14.75" style="17" hidden="1" customWidth="1"/>
    <col min="20" max="23" width="14" style="17" hidden="1" customWidth="1"/>
    <col min="24" max="25" width="24" style="17" customWidth="1"/>
    <col min="26" max="26" width="22.125" style="17" customWidth="1"/>
    <col min="27" max="27" width="18.75" style="76" customWidth="1"/>
    <col min="28" max="28" width="24" style="17" hidden="1" customWidth="1"/>
    <col min="29" max="29" width="29" style="76" hidden="1" customWidth="1"/>
    <col min="30" max="30" width="14.5" style="76" hidden="1" customWidth="1"/>
    <col min="31" max="31" width="46.125" style="76" customWidth="1"/>
    <col min="32" max="32" width="44.25" style="76" hidden="1" customWidth="1"/>
    <col min="33" max="33" width="28" style="17" hidden="1" customWidth="1"/>
    <col min="34" max="34" width="14" style="17" hidden="1" customWidth="1"/>
    <col min="35" max="35" width="28" style="17" hidden="1" customWidth="1"/>
    <col min="36" max="41" width="14" style="17" hidden="1" customWidth="1"/>
    <col min="42" max="42" width="25" style="17" customWidth="1"/>
    <col min="43" max="43" width="28" style="17" customWidth="1"/>
    <col min="44" max="45" width="23.125" style="17" customWidth="1"/>
    <col min="46" max="16384" width="9" style="17"/>
  </cols>
  <sheetData>
    <row r="1" spans="1:43" ht="32.1" customHeight="1">
      <c r="A1" s="16" t="s">
        <v>30</v>
      </c>
      <c r="B1" s="16" t="s">
        <v>31</v>
      </c>
      <c r="C1" s="16" t="s">
        <v>32</v>
      </c>
      <c r="D1" s="16" t="s">
        <v>2485</v>
      </c>
      <c r="E1" s="16" t="s">
        <v>33</v>
      </c>
      <c r="F1" s="16" t="s">
        <v>34</v>
      </c>
      <c r="G1" s="16" t="s">
        <v>35</v>
      </c>
      <c r="H1" s="16" t="s">
        <v>1676</v>
      </c>
      <c r="I1" s="16" t="s">
        <v>1853</v>
      </c>
      <c r="J1" s="16" t="s">
        <v>1857</v>
      </c>
      <c r="K1" s="16" t="s">
        <v>1856</v>
      </c>
      <c r="L1" s="16" t="s">
        <v>1855</v>
      </c>
      <c r="M1" s="16" t="s">
        <v>36</v>
      </c>
      <c r="N1" s="16" t="s">
        <v>1689</v>
      </c>
      <c r="O1" s="16" t="s">
        <v>1672</v>
      </c>
      <c r="P1" s="16" t="s">
        <v>41</v>
      </c>
      <c r="Q1" s="16" t="s">
        <v>37</v>
      </c>
      <c r="R1" s="16" t="s">
        <v>1679</v>
      </c>
      <c r="S1" s="16" t="s">
        <v>1697</v>
      </c>
      <c r="T1" s="16" t="s">
        <v>38</v>
      </c>
      <c r="U1" s="16" t="s">
        <v>1680</v>
      </c>
      <c r="V1" s="16" t="s">
        <v>1673</v>
      </c>
      <c r="W1" s="16" t="s">
        <v>1699</v>
      </c>
      <c r="X1" s="16" t="s">
        <v>42</v>
      </c>
      <c r="Y1" s="16" t="s">
        <v>1872</v>
      </c>
      <c r="Z1" s="16" t="s">
        <v>1839</v>
      </c>
      <c r="AA1" s="16" t="s">
        <v>1691</v>
      </c>
      <c r="AB1" s="16" t="s">
        <v>43</v>
      </c>
      <c r="AC1" s="16" t="s">
        <v>1682</v>
      </c>
      <c r="AD1" s="16" t="s">
        <v>1685</v>
      </c>
      <c r="AE1" s="16" t="s">
        <v>1683</v>
      </c>
      <c r="AF1" s="16" t="s">
        <v>44</v>
      </c>
      <c r="AG1" s="16" t="s">
        <v>45</v>
      </c>
      <c r="AH1" s="16" t="s">
        <v>46</v>
      </c>
      <c r="AI1" s="16" t="s">
        <v>47</v>
      </c>
      <c r="AJ1" s="16" t="s">
        <v>48</v>
      </c>
      <c r="AK1" s="16" t="s">
        <v>49</v>
      </c>
      <c r="AL1" s="16" t="s">
        <v>50</v>
      </c>
      <c r="AM1" s="16" t="s">
        <v>51</v>
      </c>
      <c r="AN1" s="16" t="s">
        <v>52</v>
      </c>
      <c r="AO1" s="16" t="s">
        <v>53</v>
      </c>
      <c r="AP1" s="16" t="s">
        <v>15</v>
      </c>
      <c r="AQ1" s="16" t="s">
        <v>1674</v>
      </c>
    </row>
    <row r="2" spans="1:43" ht="60">
      <c r="A2" s="18" t="s">
        <v>2028</v>
      </c>
      <c r="B2" s="45" t="s">
        <v>1178</v>
      </c>
      <c r="C2" s="18" t="s">
        <v>55</v>
      </c>
      <c r="D2" s="18"/>
      <c r="E2" s="19" t="s">
        <v>1172</v>
      </c>
      <c r="F2" s="18" t="s">
        <v>1166</v>
      </c>
      <c r="G2" s="57" t="s">
        <v>1421</v>
      </c>
      <c r="H2" s="57" t="s">
        <v>1675</v>
      </c>
      <c r="I2" s="57"/>
      <c r="J2" s="57"/>
      <c r="K2" s="57"/>
      <c r="L2" s="57"/>
      <c r="M2" s="57" t="s">
        <v>1681</v>
      </c>
      <c r="N2" s="98">
        <v>2018</v>
      </c>
      <c r="O2" s="20" t="s">
        <v>1670</v>
      </c>
      <c r="P2" s="58" t="s">
        <v>1690</v>
      </c>
      <c r="Q2" s="18" t="s">
        <v>1677</v>
      </c>
      <c r="R2" s="21">
        <v>43132</v>
      </c>
      <c r="S2" s="22" t="s">
        <v>1717</v>
      </c>
      <c r="T2" s="18" t="s">
        <v>1678</v>
      </c>
      <c r="U2" s="23">
        <v>43678</v>
      </c>
      <c r="V2" s="23"/>
      <c r="W2" s="18" t="s">
        <v>1717</v>
      </c>
      <c r="X2" s="18" t="s">
        <v>1692</v>
      </c>
      <c r="Y2" s="18" t="s">
        <v>1694</v>
      </c>
      <c r="Z2" s="18"/>
      <c r="AA2" s="18" t="s">
        <v>1693</v>
      </c>
      <c r="AB2" s="18" t="s">
        <v>1705</v>
      </c>
      <c r="AC2" s="58" t="s">
        <v>1684</v>
      </c>
      <c r="AD2" s="58" t="s">
        <v>1686</v>
      </c>
      <c r="AE2" s="58" t="s">
        <v>1687</v>
      </c>
      <c r="AF2" s="18" t="s">
        <v>62</v>
      </c>
      <c r="AG2" s="18" t="s">
        <v>63</v>
      </c>
      <c r="AH2" s="18" t="s">
        <v>64</v>
      </c>
      <c r="AI2" s="24">
        <v>46205</v>
      </c>
      <c r="AJ2" s="24">
        <v>46205</v>
      </c>
      <c r="AK2" s="24">
        <v>46212</v>
      </c>
      <c r="AL2" s="18" t="s">
        <v>65</v>
      </c>
      <c r="AM2" s="18" t="s">
        <v>66</v>
      </c>
      <c r="AN2" s="25">
        <v>85</v>
      </c>
      <c r="AO2" s="18" t="s">
        <v>67</v>
      </c>
      <c r="AP2" s="18" t="s">
        <v>1688</v>
      </c>
      <c r="AQ2" s="26">
        <v>46205</v>
      </c>
    </row>
    <row r="3" spans="1:43" ht="60">
      <c r="A3" s="18" t="s">
        <v>2029</v>
      </c>
      <c r="B3" s="45" t="s">
        <v>1179</v>
      </c>
      <c r="C3" s="18" t="s">
        <v>55</v>
      </c>
      <c r="D3" s="18"/>
      <c r="E3" s="19" t="s">
        <v>1172</v>
      </c>
      <c r="F3" s="18" t="s">
        <v>1166</v>
      </c>
      <c r="G3" s="57" t="s">
        <v>1422</v>
      </c>
      <c r="H3" s="57" t="s">
        <v>1695</v>
      </c>
      <c r="I3" s="57"/>
      <c r="J3" s="57"/>
      <c r="K3" s="57"/>
      <c r="L3" s="57"/>
      <c r="M3" s="57" t="s">
        <v>1707</v>
      </c>
      <c r="N3" s="27">
        <v>2023</v>
      </c>
      <c r="O3" s="20" t="s">
        <v>1670</v>
      </c>
      <c r="P3" s="58" t="s">
        <v>1701</v>
      </c>
      <c r="Q3" s="28" t="s">
        <v>1696</v>
      </c>
      <c r="R3" s="28"/>
      <c r="S3" s="21">
        <v>46266</v>
      </c>
      <c r="T3" s="28" t="s">
        <v>1698</v>
      </c>
      <c r="U3" s="18">
        <v>2015</v>
      </c>
      <c r="V3" s="18"/>
      <c r="W3" s="58" t="s">
        <v>1702</v>
      </c>
      <c r="X3" s="18" t="s">
        <v>1703</v>
      </c>
      <c r="Y3" s="86" t="s">
        <v>1700</v>
      </c>
      <c r="Z3" s="81" t="s">
        <v>1850</v>
      </c>
      <c r="AA3" s="18" t="s">
        <v>1704</v>
      </c>
      <c r="AB3" s="18"/>
      <c r="AC3" s="58" t="s">
        <v>1713</v>
      </c>
      <c r="AD3" s="18" t="s">
        <v>1727</v>
      </c>
      <c r="AE3" s="18"/>
      <c r="AF3" s="18"/>
      <c r="AG3" s="18"/>
      <c r="AH3" s="18"/>
      <c r="AI3" s="24"/>
      <c r="AJ3" s="24"/>
      <c r="AK3" s="24"/>
      <c r="AL3" s="18"/>
      <c r="AM3" s="18"/>
      <c r="AN3" s="25"/>
      <c r="AO3" s="18"/>
      <c r="AP3" s="18"/>
      <c r="AQ3" s="18"/>
    </row>
    <row r="4" spans="1:43" ht="24">
      <c r="A4" s="18" t="s">
        <v>2030</v>
      </c>
      <c r="B4" s="45" t="s">
        <v>1180</v>
      </c>
      <c r="C4" s="18"/>
      <c r="D4" s="18"/>
      <c r="E4" s="19" t="s">
        <v>1172</v>
      </c>
      <c r="F4" s="18" t="s">
        <v>1166</v>
      </c>
      <c r="G4" s="57" t="s">
        <v>1423</v>
      </c>
      <c r="H4" s="57" t="s">
        <v>1708</v>
      </c>
      <c r="I4" s="57"/>
      <c r="J4" s="57"/>
      <c r="K4" s="57"/>
      <c r="L4" s="57"/>
      <c r="M4" s="57" t="s">
        <v>1706</v>
      </c>
      <c r="N4" s="27">
        <v>2023</v>
      </c>
      <c r="O4" s="20" t="s">
        <v>1670</v>
      </c>
      <c r="P4" s="58" t="s">
        <v>1714</v>
      </c>
      <c r="Q4" s="60" t="s">
        <v>1710</v>
      </c>
      <c r="R4" s="23">
        <v>44986</v>
      </c>
      <c r="S4" s="29" t="s">
        <v>1717</v>
      </c>
      <c r="T4" s="60" t="s">
        <v>1711</v>
      </c>
      <c r="U4" s="23">
        <v>45717</v>
      </c>
      <c r="V4" s="23"/>
      <c r="W4" s="18" t="s">
        <v>1717</v>
      </c>
      <c r="X4" s="61" t="s">
        <v>1709</v>
      </c>
      <c r="Y4" s="86"/>
      <c r="Z4" s="81" t="s">
        <v>1715</v>
      </c>
      <c r="AA4" s="18" t="s">
        <v>1716</v>
      </c>
      <c r="AB4" s="18"/>
      <c r="AC4" s="18"/>
      <c r="AD4" s="18" t="s">
        <v>1712</v>
      </c>
      <c r="AE4" s="58" t="s">
        <v>1713</v>
      </c>
      <c r="AF4" s="18"/>
      <c r="AG4" s="18"/>
      <c r="AH4" s="18"/>
      <c r="AI4" s="24"/>
      <c r="AJ4" s="24"/>
      <c r="AK4" s="24"/>
      <c r="AL4" s="18"/>
      <c r="AM4" s="18"/>
      <c r="AN4" s="25"/>
      <c r="AO4" s="18"/>
      <c r="AP4" s="18"/>
      <c r="AQ4" s="18"/>
    </row>
    <row r="5" spans="1:43" ht="36">
      <c r="A5" s="18" t="s">
        <v>2031</v>
      </c>
      <c r="B5" s="45" t="s">
        <v>1181</v>
      </c>
      <c r="C5" s="18"/>
      <c r="D5" s="18"/>
      <c r="E5" s="19" t="s">
        <v>1172</v>
      </c>
      <c r="F5" s="18" t="s">
        <v>1166</v>
      </c>
      <c r="G5" s="57" t="s">
        <v>1424</v>
      </c>
      <c r="H5" s="57" t="s">
        <v>1718</v>
      </c>
      <c r="I5" s="57"/>
      <c r="J5" s="57"/>
      <c r="K5" s="57"/>
      <c r="L5" s="57"/>
      <c r="M5" s="57" t="s">
        <v>1721</v>
      </c>
      <c r="N5" s="27">
        <v>2020</v>
      </c>
      <c r="O5" s="20" t="s">
        <v>1670</v>
      </c>
      <c r="P5" s="58" t="s">
        <v>1722</v>
      </c>
      <c r="Q5" s="18" t="s">
        <v>1719</v>
      </c>
      <c r="R5" s="23">
        <v>44440</v>
      </c>
      <c r="S5" s="29" t="s">
        <v>1717</v>
      </c>
      <c r="T5" s="18" t="s">
        <v>1720</v>
      </c>
      <c r="U5" s="18">
        <v>2022</v>
      </c>
      <c r="V5" s="18"/>
      <c r="W5" s="29" t="s">
        <v>1717</v>
      </c>
      <c r="X5" s="62" t="s">
        <v>1723</v>
      </c>
      <c r="Y5" s="86" t="s">
        <v>1728</v>
      </c>
      <c r="Z5" s="81" t="s">
        <v>1849</v>
      </c>
      <c r="AA5" s="18" t="s">
        <v>1724</v>
      </c>
      <c r="AB5" s="18"/>
      <c r="AC5" s="58" t="s">
        <v>1726</v>
      </c>
      <c r="AD5" s="18" t="s">
        <v>1725</v>
      </c>
      <c r="AE5" s="18"/>
      <c r="AF5" s="18"/>
      <c r="AG5" s="18"/>
      <c r="AH5" s="18"/>
      <c r="AI5" s="24"/>
      <c r="AJ5" s="24"/>
      <c r="AK5" s="24"/>
      <c r="AL5" s="18"/>
      <c r="AM5" s="18"/>
      <c r="AN5" s="25"/>
      <c r="AO5" s="18"/>
      <c r="AP5" s="18"/>
      <c r="AQ5" s="18"/>
    </row>
    <row r="6" spans="1:43" ht="48">
      <c r="A6" s="18" t="s">
        <v>2032</v>
      </c>
      <c r="B6" s="45" t="s">
        <v>1182</v>
      </c>
      <c r="C6" s="18"/>
      <c r="D6" s="18"/>
      <c r="E6" s="19" t="s">
        <v>1172</v>
      </c>
      <c r="F6" s="18" t="s">
        <v>1166</v>
      </c>
      <c r="G6" s="57" t="s">
        <v>1425</v>
      </c>
      <c r="H6" s="57" t="s">
        <v>1729</v>
      </c>
      <c r="I6" s="57"/>
      <c r="J6" s="57"/>
      <c r="K6" s="57"/>
      <c r="L6" s="57"/>
      <c r="M6" s="57" t="s">
        <v>1738</v>
      </c>
      <c r="N6" s="27">
        <v>2010</v>
      </c>
      <c r="O6" s="20" t="s">
        <v>1670</v>
      </c>
      <c r="P6" s="58" t="s">
        <v>1733</v>
      </c>
      <c r="Q6" s="18" t="s">
        <v>1730</v>
      </c>
      <c r="R6" s="30"/>
      <c r="S6" s="31"/>
      <c r="T6" s="18" t="s">
        <v>1731</v>
      </c>
      <c r="U6" s="18"/>
      <c r="V6" s="18"/>
      <c r="W6" s="18"/>
      <c r="X6" s="62" t="s">
        <v>1734</v>
      </c>
      <c r="Y6" s="86" t="s">
        <v>1732</v>
      </c>
      <c r="Z6" s="81" t="s">
        <v>1848</v>
      </c>
      <c r="AA6" s="18" t="s">
        <v>1737</v>
      </c>
      <c r="AB6" s="18"/>
      <c r="AC6" s="58" t="s">
        <v>1736</v>
      </c>
      <c r="AD6" s="32" t="s">
        <v>1735</v>
      </c>
      <c r="AE6" s="18"/>
      <c r="AF6" s="18"/>
      <c r="AG6" s="18"/>
      <c r="AH6" s="18"/>
      <c r="AI6" s="24"/>
      <c r="AJ6" s="24"/>
      <c r="AK6" s="24"/>
      <c r="AL6" s="18"/>
      <c r="AM6" s="18"/>
      <c r="AN6" s="25"/>
      <c r="AO6" s="18"/>
      <c r="AP6" s="18"/>
      <c r="AQ6" s="18"/>
    </row>
    <row r="7" spans="1:43" ht="36">
      <c r="A7" s="18" t="s">
        <v>2033</v>
      </c>
      <c r="B7" s="45" t="s">
        <v>1183</v>
      </c>
      <c r="C7" s="18"/>
      <c r="D7" s="18"/>
      <c r="E7" s="19" t="s">
        <v>1172</v>
      </c>
      <c r="F7" s="18" t="s">
        <v>1166</v>
      </c>
      <c r="G7" s="57" t="s">
        <v>1426</v>
      </c>
      <c r="H7" s="57" t="s">
        <v>1739</v>
      </c>
      <c r="I7" s="57"/>
      <c r="J7" s="57"/>
      <c r="K7" s="57"/>
      <c r="L7" s="57"/>
      <c r="M7" s="57" t="s">
        <v>1740</v>
      </c>
      <c r="N7" s="27">
        <v>2016</v>
      </c>
      <c r="O7" s="20" t="s">
        <v>1670</v>
      </c>
      <c r="P7" s="58" t="s">
        <v>1745</v>
      </c>
      <c r="Q7" s="63" t="s">
        <v>1742</v>
      </c>
      <c r="R7" s="23">
        <v>44682</v>
      </c>
      <c r="S7" s="29"/>
      <c r="T7" s="18" t="s">
        <v>1743</v>
      </c>
      <c r="U7" s="23">
        <v>44470</v>
      </c>
      <c r="V7" s="23"/>
      <c r="W7" s="18"/>
      <c r="X7" s="64" t="s">
        <v>1744</v>
      </c>
      <c r="Y7" s="86" t="s">
        <v>1741</v>
      </c>
      <c r="Z7" s="61" t="s">
        <v>1847</v>
      </c>
      <c r="AA7" s="18" t="s">
        <v>1749</v>
      </c>
      <c r="AB7" s="18"/>
      <c r="AC7" s="58" t="s">
        <v>1748</v>
      </c>
      <c r="AD7" s="18"/>
      <c r="AE7" s="18"/>
      <c r="AF7" s="18"/>
      <c r="AG7" s="18"/>
      <c r="AH7" s="18"/>
      <c r="AI7" s="24"/>
      <c r="AJ7" s="24"/>
      <c r="AK7" s="24"/>
      <c r="AL7" s="18"/>
      <c r="AM7" s="18"/>
      <c r="AN7" s="25"/>
      <c r="AO7" s="18"/>
      <c r="AP7" s="18"/>
      <c r="AQ7" s="18"/>
    </row>
    <row r="8" spans="1:43" ht="60">
      <c r="A8" s="18" t="s">
        <v>2034</v>
      </c>
      <c r="B8" s="45" t="s">
        <v>1184</v>
      </c>
      <c r="C8" s="18"/>
      <c r="D8" s="18"/>
      <c r="E8" s="19" t="s">
        <v>1172</v>
      </c>
      <c r="F8" s="18" t="s">
        <v>1166</v>
      </c>
      <c r="G8" s="57" t="s">
        <v>1427</v>
      </c>
      <c r="H8" s="57" t="s">
        <v>1751</v>
      </c>
      <c r="I8" s="57"/>
      <c r="J8" s="57"/>
      <c r="K8" s="57"/>
      <c r="L8" s="57"/>
      <c r="M8" s="65" t="s">
        <v>1750</v>
      </c>
      <c r="N8" s="27">
        <v>2020</v>
      </c>
      <c r="O8" s="20" t="s">
        <v>1670</v>
      </c>
      <c r="P8" s="57" t="s">
        <v>1754</v>
      </c>
      <c r="Q8" s="18" t="s">
        <v>1752</v>
      </c>
      <c r="R8" s="18">
        <v>2023</v>
      </c>
      <c r="S8" s="18">
        <v>2027</v>
      </c>
      <c r="T8" s="66" t="s">
        <v>1755</v>
      </c>
      <c r="U8" s="18">
        <v>2023</v>
      </c>
      <c r="V8" s="18">
        <v>2028</v>
      </c>
      <c r="X8" s="18" t="s">
        <v>1756</v>
      </c>
      <c r="Y8" s="86" t="s">
        <v>1753</v>
      </c>
      <c r="Z8" s="81" t="s">
        <v>1846</v>
      </c>
      <c r="AA8" s="18" t="s">
        <v>1757</v>
      </c>
      <c r="AB8" s="18"/>
      <c r="AC8" s="58" t="s">
        <v>1758</v>
      </c>
      <c r="AD8" s="18" t="s">
        <v>1759</v>
      </c>
      <c r="AE8" s="18"/>
      <c r="AF8" s="18"/>
      <c r="AG8" s="18"/>
      <c r="AH8" s="18"/>
      <c r="AI8" s="24"/>
      <c r="AJ8" s="24"/>
      <c r="AK8" s="24"/>
      <c r="AL8" s="18"/>
      <c r="AM8" s="18"/>
      <c r="AN8" s="25"/>
      <c r="AO8" s="18"/>
      <c r="AP8" s="18"/>
      <c r="AQ8" s="18"/>
    </row>
    <row r="9" spans="1:43" ht="60">
      <c r="A9" s="18" t="s">
        <v>2035</v>
      </c>
      <c r="B9" s="45" t="s">
        <v>1185</v>
      </c>
      <c r="C9" s="18"/>
      <c r="D9" s="18"/>
      <c r="E9" s="19" t="s">
        <v>1172</v>
      </c>
      <c r="F9" s="18" t="s">
        <v>1166</v>
      </c>
      <c r="G9" s="57" t="s">
        <v>1428</v>
      </c>
      <c r="H9" s="57" t="s">
        <v>1760</v>
      </c>
      <c r="I9" s="57"/>
      <c r="J9" s="57"/>
      <c r="K9" s="57"/>
      <c r="L9" s="57"/>
      <c r="M9" s="57" t="s">
        <v>1763</v>
      </c>
      <c r="N9" s="27">
        <v>2016</v>
      </c>
      <c r="O9" s="20" t="s">
        <v>1670</v>
      </c>
      <c r="P9" s="57" t="s">
        <v>1746</v>
      </c>
      <c r="Q9" s="18" t="s">
        <v>1761</v>
      </c>
      <c r="R9" s="23">
        <v>43435</v>
      </c>
      <c r="S9" s="29"/>
      <c r="T9" s="18" t="s">
        <v>1762</v>
      </c>
      <c r="U9" s="23">
        <v>45597</v>
      </c>
      <c r="V9" s="23"/>
      <c r="W9" s="58" t="s">
        <v>1767</v>
      </c>
      <c r="X9" s="67" t="s">
        <v>1766</v>
      </c>
      <c r="Y9" s="86" t="s">
        <v>1765</v>
      </c>
      <c r="Z9" s="81" t="s">
        <v>1845</v>
      </c>
      <c r="AA9" s="18" t="s">
        <v>1768</v>
      </c>
      <c r="AB9" s="18"/>
      <c r="AC9" s="58" t="s">
        <v>1764</v>
      </c>
      <c r="AD9" s="18" t="s">
        <v>1759</v>
      </c>
      <c r="AE9" s="18"/>
      <c r="AF9" s="18"/>
      <c r="AG9" s="18"/>
      <c r="AH9" s="18"/>
      <c r="AI9" s="24"/>
      <c r="AJ9" s="24"/>
      <c r="AK9" s="24"/>
      <c r="AL9" s="18"/>
      <c r="AM9" s="18"/>
      <c r="AN9" s="25"/>
      <c r="AO9" s="18"/>
      <c r="AP9" s="18"/>
      <c r="AQ9" s="18"/>
    </row>
    <row r="10" spans="1:43" ht="48">
      <c r="A10" s="18" t="s">
        <v>2036</v>
      </c>
      <c r="B10" s="45" t="s">
        <v>1186</v>
      </c>
      <c r="C10" s="18"/>
      <c r="D10" s="18"/>
      <c r="E10" s="19" t="s">
        <v>1172</v>
      </c>
      <c r="F10" s="18" t="s">
        <v>1166</v>
      </c>
      <c r="G10" s="57" t="s">
        <v>1429</v>
      </c>
      <c r="H10" s="57" t="s">
        <v>1773</v>
      </c>
      <c r="I10" s="57"/>
      <c r="J10" s="57"/>
      <c r="K10" s="57"/>
      <c r="L10" s="57"/>
      <c r="M10" s="57" t="s">
        <v>1769</v>
      </c>
      <c r="N10" s="27">
        <v>2017</v>
      </c>
      <c r="O10" s="20" t="s">
        <v>1670</v>
      </c>
      <c r="P10" s="57" t="s">
        <v>1776</v>
      </c>
      <c r="Q10" s="58" t="s">
        <v>1775</v>
      </c>
      <c r="R10" s="23">
        <v>44470</v>
      </c>
      <c r="S10" s="23">
        <v>46266</v>
      </c>
      <c r="T10" s="58" t="s">
        <v>1774</v>
      </c>
      <c r="U10" s="23">
        <v>44105</v>
      </c>
      <c r="V10" s="23">
        <v>47727</v>
      </c>
      <c r="W10" s="62" t="s">
        <v>1770</v>
      </c>
      <c r="X10" s="68" t="s">
        <v>1777</v>
      </c>
      <c r="Y10" s="18"/>
      <c r="Z10" s="18"/>
      <c r="AA10" s="18" t="s">
        <v>1778</v>
      </c>
      <c r="AB10" s="18"/>
      <c r="AC10" s="58" t="s">
        <v>1771</v>
      </c>
      <c r="AD10" s="50" t="s">
        <v>1772</v>
      </c>
      <c r="AE10" s="18"/>
      <c r="AF10" s="18"/>
      <c r="AG10" s="18"/>
      <c r="AH10" s="18"/>
      <c r="AI10" s="24"/>
      <c r="AJ10" s="24"/>
      <c r="AK10" s="24"/>
      <c r="AL10" s="18"/>
      <c r="AM10" s="18"/>
      <c r="AN10" s="25"/>
      <c r="AO10" s="18"/>
      <c r="AP10" s="18"/>
      <c r="AQ10" s="18"/>
    </row>
    <row r="11" spans="1:43" ht="48">
      <c r="A11" s="18" t="s">
        <v>2037</v>
      </c>
      <c r="B11" s="45" t="s">
        <v>1187</v>
      </c>
      <c r="C11" s="18"/>
      <c r="D11" s="18"/>
      <c r="E11" s="19" t="s">
        <v>1172</v>
      </c>
      <c r="F11" s="18" t="s">
        <v>1166</v>
      </c>
      <c r="G11" s="57" t="s">
        <v>1430</v>
      </c>
      <c r="H11" s="57" t="s">
        <v>1779</v>
      </c>
      <c r="I11" s="57"/>
      <c r="J11" s="57"/>
      <c r="K11" s="57"/>
      <c r="L11" s="57"/>
      <c r="M11" s="57" t="s">
        <v>1664</v>
      </c>
      <c r="N11" s="27">
        <v>2018</v>
      </c>
      <c r="O11" s="20" t="s">
        <v>1670</v>
      </c>
      <c r="P11" s="57" t="s">
        <v>1747</v>
      </c>
      <c r="Q11" s="18" t="s">
        <v>1781</v>
      </c>
      <c r="R11" s="23">
        <v>45017</v>
      </c>
      <c r="S11" s="29">
        <v>47727</v>
      </c>
      <c r="T11" s="69" t="s">
        <v>1780</v>
      </c>
      <c r="U11" s="23">
        <v>45566</v>
      </c>
      <c r="V11" s="23">
        <v>47391</v>
      </c>
      <c r="W11" s="18"/>
      <c r="X11" s="70" t="s">
        <v>1782</v>
      </c>
      <c r="Y11" s="18"/>
      <c r="Z11" s="18"/>
      <c r="AA11" s="18" t="s">
        <v>1785</v>
      </c>
      <c r="AB11" s="18"/>
      <c r="AC11" s="58" t="s">
        <v>1783</v>
      </c>
      <c r="AD11" s="18" t="s">
        <v>1784</v>
      </c>
      <c r="AE11" s="18"/>
      <c r="AF11" s="18"/>
      <c r="AG11" s="18"/>
      <c r="AH11" s="18"/>
      <c r="AI11" s="24"/>
      <c r="AJ11" s="24"/>
      <c r="AK11" s="24"/>
      <c r="AL11" s="18"/>
      <c r="AM11" s="18"/>
      <c r="AN11" s="25"/>
      <c r="AO11" s="18"/>
      <c r="AP11" s="58" t="s">
        <v>1786</v>
      </c>
      <c r="AQ11" s="18"/>
    </row>
    <row r="12" spans="1:43" ht="36">
      <c r="A12" s="18" t="s">
        <v>2038</v>
      </c>
      <c r="B12" s="45" t="s">
        <v>1188</v>
      </c>
      <c r="C12" s="18"/>
      <c r="D12" s="18"/>
      <c r="E12" s="19" t="s">
        <v>1172</v>
      </c>
      <c r="F12" s="18" t="s">
        <v>1166</v>
      </c>
      <c r="G12" s="57" t="s">
        <v>1431</v>
      </c>
      <c r="H12" s="57" t="s">
        <v>1787</v>
      </c>
      <c r="I12" s="57"/>
      <c r="J12" s="57"/>
      <c r="K12" s="57"/>
      <c r="L12" s="57"/>
      <c r="M12" s="57" t="s">
        <v>1791</v>
      </c>
      <c r="N12" s="27">
        <v>2023</v>
      </c>
      <c r="O12" s="20" t="s">
        <v>1670</v>
      </c>
      <c r="P12" s="57" t="s">
        <v>1792</v>
      </c>
      <c r="Q12" s="18" t="s">
        <v>1788</v>
      </c>
      <c r="R12" s="23">
        <v>44470</v>
      </c>
      <c r="S12" s="29"/>
      <c r="T12" s="18" t="s">
        <v>1790</v>
      </c>
      <c r="U12" s="23">
        <v>45627</v>
      </c>
      <c r="V12" s="18"/>
      <c r="W12" s="18"/>
      <c r="X12" s="18" t="s">
        <v>1789</v>
      </c>
      <c r="Y12" s="86" t="s">
        <v>1793</v>
      </c>
      <c r="Z12" s="81" t="s">
        <v>1844</v>
      </c>
      <c r="AA12" s="18" t="s">
        <v>1794</v>
      </c>
      <c r="AB12" s="18"/>
      <c r="AC12" s="58" t="s">
        <v>1795</v>
      </c>
      <c r="AD12" s="18" t="s">
        <v>1796</v>
      </c>
      <c r="AE12" s="18"/>
      <c r="AF12" s="18"/>
      <c r="AG12" s="18"/>
      <c r="AH12" s="18"/>
      <c r="AI12" s="24"/>
      <c r="AJ12" s="24"/>
      <c r="AK12" s="24"/>
      <c r="AL12" s="18"/>
      <c r="AM12" s="18"/>
      <c r="AN12" s="25"/>
      <c r="AO12" s="18"/>
      <c r="AP12" s="18"/>
      <c r="AQ12" s="18"/>
    </row>
    <row r="13" spans="1:43" ht="48.75" thickBot="1">
      <c r="A13" s="18" t="s">
        <v>2039</v>
      </c>
      <c r="B13" s="45" t="s">
        <v>1189</v>
      </c>
      <c r="C13" s="18"/>
      <c r="D13" s="18"/>
      <c r="E13" s="19" t="s">
        <v>1172</v>
      </c>
      <c r="F13" s="18" t="s">
        <v>1166</v>
      </c>
      <c r="G13" s="57" t="s">
        <v>1432</v>
      </c>
      <c r="H13" s="57" t="s">
        <v>1797</v>
      </c>
      <c r="I13" s="57"/>
      <c r="J13" s="57"/>
      <c r="K13" s="57"/>
      <c r="L13" s="57"/>
      <c r="M13" s="57" t="s">
        <v>1798</v>
      </c>
      <c r="N13" s="27">
        <v>2023</v>
      </c>
      <c r="O13" s="20" t="s">
        <v>1670</v>
      </c>
      <c r="P13" s="57" t="s">
        <v>1803</v>
      </c>
      <c r="Q13" s="18" t="s">
        <v>1800</v>
      </c>
      <c r="R13" s="23">
        <v>43282</v>
      </c>
      <c r="S13" s="29"/>
      <c r="T13" s="18" t="s">
        <v>1801</v>
      </c>
      <c r="U13" s="23">
        <v>43405</v>
      </c>
      <c r="V13" s="18"/>
      <c r="W13" s="18"/>
      <c r="X13" s="71" t="s">
        <v>1802</v>
      </c>
      <c r="Y13" s="86" t="s">
        <v>1799</v>
      </c>
      <c r="Z13" s="61" t="s">
        <v>1843</v>
      </c>
      <c r="AA13" s="18" t="s">
        <v>1804</v>
      </c>
      <c r="AB13" s="18"/>
      <c r="AC13" s="58" t="s">
        <v>1805</v>
      </c>
      <c r="AD13" s="18" t="s">
        <v>1806</v>
      </c>
      <c r="AE13" s="18"/>
      <c r="AF13" s="18"/>
      <c r="AG13" s="18"/>
      <c r="AH13" s="18"/>
      <c r="AI13" s="24"/>
      <c r="AJ13" s="24"/>
      <c r="AK13" s="24"/>
      <c r="AL13" s="18"/>
      <c r="AM13" s="18"/>
      <c r="AN13" s="25"/>
      <c r="AO13" s="18"/>
      <c r="AP13" s="18"/>
      <c r="AQ13" s="18"/>
    </row>
    <row r="14" spans="1:43" ht="48">
      <c r="A14" s="18" t="s">
        <v>2040</v>
      </c>
      <c r="B14" s="45" t="s">
        <v>1190</v>
      </c>
      <c r="C14" s="18"/>
      <c r="D14" s="18"/>
      <c r="E14" s="19" t="s">
        <v>1172</v>
      </c>
      <c r="F14" s="18" t="s">
        <v>1166</v>
      </c>
      <c r="G14" s="57" t="s">
        <v>1433</v>
      </c>
      <c r="H14" s="57" t="s">
        <v>1807</v>
      </c>
      <c r="I14" s="57"/>
      <c r="J14" s="57"/>
      <c r="K14" s="57"/>
      <c r="L14" s="57"/>
      <c r="M14" s="27" t="s">
        <v>1665</v>
      </c>
      <c r="N14" s="27">
        <v>2026</v>
      </c>
      <c r="O14" s="56" t="s">
        <v>1671</v>
      </c>
      <c r="P14" s="57" t="s">
        <v>1812</v>
      </c>
      <c r="Q14" s="72" t="s">
        <v>1808</v>
      </c>
      <c r="R14" s="23">
        <v>42430</v>
      </c>
      <c r="S14" s="29"/>
      <c r="T14" s="72" t="s">
        <v>1809</v>
      </c>
      <c r="U14" s="23">
        <v>42644</v>
      </c>
      <c r="V14" s="18"/>
      <c r="W14" s="18"/>
      <c r="X14" s="18"/>
      <c r="Y14" s="86" t="s">
        <v>1811</v>
      </c>
      <c r="Z14" s="81" t="s">
        <v>1842</v>
      </c>
      <c r="AA14" s="18" t="s">
        <v>1814</v>
      </c>
      <c r="AB14" s="18"/>
      <c r="AC14" s="58" t="s">
        <v>1813</v>
      </c>
      <c r="AD14" s="18" t="s">
        <v>1725</v>
      </c>
      <c r="AE14" s="18"/>
      <c r="AF14" s="18"/>
      <c r="AG14" s="18"/>
      <c r="AH14" s="18"/>
      <c r="AI14" s="24"/>
      <c r="AJ14" s="24"/>
      <c r="AK14" s="24"/>
      <c r="AL14" s="18"/>
      <c r="AM14" s="18"/>
      <c r="AN14" s="25"/>
      <c r="AO14" s="18"/>
      <c r="AP14" s="18" t="s">
        <v>1810</v>
      </c>
      <c r="AQ14" s="18"/>
    </row>
    <row r="15" spans="1:43" ht="48">
      <c r="A15" s="18" t="s">
        <v>2041</v>
      </c>
      <c r="B15" s="45" t="s">
        <v>1191</v>
      </c>
      <c r="C15" s="18"/>
      <c r="D15" s="18"/>
      <c r="E15" s="19" t="s">
        <v>1172</v>
      </c>
      <c r="F15" s="18" t="s">
        <v>1166</v>
      </c>
      <c r="G15" s="57" t="s">
        <v>1434</v>
      </c>
      <c r="H15" s="57" t="s">
        <v>1820</v>
      </c>
      <c r="I15" s="57"/>
      <c r="J15" s="57"/>
      <c r="K15" s="57"/>
      <c r="L15" s="57"/>
      <c r="M15" s="57" t="s">
        <v>1819</v>
      </c>
      <c r="N15" s="27">
        <v>2025</v>
      </c>
      <c r="O15" s="56" t="s">
        <v>1671</v>
      </c>
      <c r="P15" s="57" t="s">
        <v>1817</v>
      </c>
      <c r="Q15" s="18" t="s">
        <v>1821</v>
      </c>
      <c r="R15" s="23">
        <v>43739</v>
      </c>
      <c r="S15" s="29"/>
      <c r="T15" s="73" t="s">
        <v>1822</v>
      </c>
      <c r="U15" s="23">
        <v>44105</v>
      </c>
      <c r="V15" s="18"/>
      <c r="W15" s="18"/>
      <c r="X15" s="62" t="s">
        <v>1816</v>
      </c>
      <c r="Y15" s="86" t="s">
        <v>1815</v>
      </c>
      <c r="Z15" s="81" t="s">
        <v>1841</v>
      </c>
      <c r="AA15" s="18" t="s">
        <v>1818</v>
      </c>
      <c r="AB15" s="18"/>
      <c r="AC15" s="18"/>
      <c r="AD15" s="18"/>
      <c r="AE15" s="18"/>
      <c r="AF15" s="18"/>
      <c r="AG15" s="18"/>
      <c r="AH15" s="18"/>
      <c r="AI15" s="24"/>
      <c r="AJ15" s="24"/>
      <c r="AK15" s="24"/>
      <c r="AL15" s="18"/>
      <c r="AM15" s="18"/>
      <c r="AN15" s="25"/>
      <c r="AO15" s="18"/>
      <c r="AP15" s="18"/>
      <c r="AQ15" s="18"/>
    </row>
    <row r="16" spans="1:43" ht="36">
      <c r="A16" s="18" t="s">
        <v>2042</v>
      </c>
      <c r="B16" s="45" t="s">
        <v>1192</v>
      </c>
      <c r="C16" s="18"/>
      <c r="D16" s="18"/>
      <c r="E16" s="19" t="s">
        <v>1172</v>
      </c>
      <c r="F16" s="18" t="s">
        <v>1166</v>
      </c>
      <c r="G16" s="79" t="s">
        <v>1435</v>
      </c>
      <c r="H16" s="79" t="s">
        <v>1824</v>
      </c>
      <c r="I16" s="79"/>
      <c r="J16" s="79"/>
      <c r="K16" s="79"/>
      <c r="L16" s="79"/>
      <c r="M16" s="79" t="s">
        <v>1823</v>
      </c>
      <c r="N16" s="27">
        <v>2013</v>
      </c>
      <c r="O16" s="20" t="s">
        <v>1670</v>
      </c>
      <c r="P16" s="79" t="s">
        <v>1835</v>
      </c>
      <c r="Q16" s="18"/>
      <c r="R16" s="18"/>
      <c r="S16" s="29"/>
      <c r="T16" s="18"/>
      <c r="U16" s="18"/>
      <c r="V16" s="18"/>
      <c r="W16" s="18"/>
      <c r="X16" s="18" t="s">
        <v>1836</v>
      </c>
      <c r="Y16" s="18" t="s">
        <v>1838</v>
      </c>
      <c r="Z16" s="86" t="s">
        <v>1840</v>
      </c>
      <c r="AA16" s="18" t="s">
        <v>1837</v>
      </c>
      <c r="AB16" s="18"/>
      <c r="AC16" s="100" t="s">
        <v>1834</v>
      </c>
      <c r="AD16" s="18" t="s">
        <v>1686</v>
      </c>
      <c r="AE16" s="18"/>
      <c r="AF16" s="18"/>
      <c r="AG16" s="18"/>
      <c r="AH16" s="18"/>
      <c r="AI16" s="24"/>
      <c r="AJ16" s="24"/>
      <c r="AK16" s="24"/>
      <c r="AL16" s="18"/>
      <c r="AM16" s="18"/>
      <c r="AN16" s="25"/>
      <c r="AO16" s="18"/>
      <c r="AP16" s="18"/>
      <c r="AQ16" s="18"/>
    </row>
    <row r="17" spans="1:43" ht="36">
      <c r="A17" s="18" t="s">
        <v>2043</v>
      </c>
      <c r="B17" s="45" t="s">
        <v>1193</v>
      </c>
      <c r="C17" s="18"/>
      <c r="D17" s="18"/>
      <c r="E17" s="19" t="s">
        <v>1172</v>
      </c>
      <c r="F17" s="18" t="s">
        <v>1166</v>
      </c>
      <c r="G17" s="79" t="s">
        <v>1436</v>
      </c>
      <c r="H17" s="79" t="s">
        <v>1826</v>
      </c>
      <c r="I17" s="79"/>
      <c r="J17" s="79"/>
      <c r="K17" s="46"/>
      <c r="L17" s="79"/>
      <c r="M17" s="79" t="s">
        <v>1825</v>
      </c>
      <c r="N17" s="27">
        <v>2026</v>
      </c>
      <c r="O17" s="56" t="s">
        <v>1671</v>
      </c>
      <c r="P17" s="79" t="s">
        <v>1831</v>
      </c>
      <c r="Q17" s="18"/>
      <c r="R17" s="18"/>
      <c r="S17" s="29"/>
      <c r="T17" s="18"/>
      <c r="U17" s="18"/>
      <c r="V17" s="18"/>
      <c r="W17" s="89"/>
      <c r="X17" s="18" t="s">
        <v>1829</v>
      </c>
      <c r="Y17" s="86" t="s">
        <v>1828</v>
      </c>
      <c r="Z17" s="90" t="s">
        <v>1827</v>
      </c>
      <c r="AA17" s="18" t="s">
        <v>1830</v>
      </c>
      <c r="AB17" s="89" t="s">
        <v>1852</v>
      </c>
      <c r="AC17" s="89" t="s">
        <v>1833</v>
      </c>
      <c r="AD17" s="18" t="s">
        <v>1832</v>
      </c>
      <c r="AE17" s="18"/>
      <c r="AF17" s="18"/>
      <c r="AG17" s="18"/>
      <c r="AH17" s="18"/>
      <c r="AI17" s="24"/>
      <c r="AJ17" s="24"/>
      <c r="AK17" s="24"/>
      <c r="AL17" s="18"/>
      <c r="AM17" s="18"/>
      <c r="AN17" s="25"/>
      <c r="AO17" s="18"/>
      <c r="AP17" s="18"/>
      <c r="AQ17" s="18"/>
    </row>
    <row r="18" spans="1:43" ht="72">
      <c r="A18" s="18" t="s">
        <v>2044</v>
      </c>
      <c r="B18" s="45" t="s">
        <v>1194</v>
      </c>
      <c r="C18" s="18" t="s">
        <v>202</v>
      </c>
      <c r="D18" s="18"/>
      <c r="E18" s="19" t="s">
        <v>1172</v>
      </c>
      <c r="F18" s="18" t="s">
        <v>1166</v>
      </c>
      <c r="G18" s="79" t="s">
        <v>1437</v>
      </c>
      <c r="H18" s="79" t="s">
        <v>1860</v>
      </c>
      <c r="I18" s="79" t="s">
        <v>1854</v>
      </c>
      <c r="J18" s="80" t="s">
        <v>1858</v>
      </c>
      <c r="K18" s="79" t="s">
        <v>1867</v>
      </c>
      <c r="L18" s="100" t="s">
        <v>1859</v>
      </c>
      <c r="M18" s="79" t="s">
        <v>1851</v>
      </c>
      <c r="N18" s="27">
        <v>2024</v>
      </c>
      <c r="O18" s="20" t="s">
        <v>1670</v>
      </c>
      <c r="P18" s="100" t="s">
        <v>1861</v>
      </c>
      <c r="Q18" s="18"/>
      <c r="R18" s="18"/>
      <c r="S18" s="29"/>
      <c r="T18" s="18"/>
      <c r="U18" s="18"/>
      <c r="V18" s="18"/>
      <c r="W18" s="18"/>
      <c r="X18" s="18" t="s">
        <v>1862</v>
      </c>
      <c r="Y18" s="18" t="s">
        <v>1865</v>
      </c>
      <c r="Z18" s="86" t="s">
        <v>1866</v>
      </c>
      <c r="AA18" s="18" t="s">
        <v>1863</v>
      </c>
      <c r="AB18" s="18"/>
      <c r="AC18" s="89" t="s">
        <v>1947</v>
      </c>
      <c r="AD18" s="18" t="s">
        <v>1864</v>
      </c>
      <c r="AE18" s="18"/>
      <c r="AF18" s="18"/>
      <c r="AG18" s="18"/>
      <c r="AH18" s="18"/>
      <c r="AI18" s="24"/>
      <c r="AJ18" s="24"/>
      <c r="AK18" s="24"/>
      <c r="AL18" s="18"/>
      <c r="AM18" s="18"/>
      <c r="AN18" s="25"/>
      <c r="AO18" s="18"/>
      <c r="AP18" s="18"/>
      <c r="AQ18" s="18"/>
    </row>
    <row r="19" spans="1:43" ht="36">
      <c r="A19" s="18" t="s">
        <v>2045</v>
      </c>
      <c r="B19" s="45" t="s">
        <v>1195</v>
      </c>
      <c r="C19" s="18"/>
      <c r="D19" s="18"/>
      <c r="E19" s="19" t="s">
        <v>1172</v>
      </c>
      <c r="F19" s="18" t="s">
        <v>1166</v>
      </c>
      <c r="G19" s="79" t="s">
        <v>1438</v>
      </c>
      <c r="H19" s="79" t="s">
        <v>1868</v>
      </c>
      <c r="I19" s="57"/>
      <c r="J19" s="57"/>
      <c r="K19" s="57"/>
      <c r="L19" s="57"/>
      <c r="M19" s="79" t="s">
        <v>1869</v>
      </c>
      <c r="N19" s="27">
        <v>2024</v>
      </c>
      <c r="O19" s="20" t="s">
        <v>1670</v>
      </c>
      <c r="P19" s="100" t="s">
        <v>1874</v>
      </c>
      <c r="Q19" s="18"/>
      <c r="R19" s="18"/>
      <c r="S19" s="29"/>
      <c r="T19" s="18"/>
      <c r="U19" s="18"/>
      <c r="V19" s="18"/>
      <c r="W19" s="18"/>
      <c r="X19" s="92" t="s">
        <v>1873</v>
      </c>
      <c r="Y19" s="92" t="s">
        <v>1870</v>
      </c>
      <c r="Z19" s="86" t="s">
        <v>1871</v>
      </c>
      <c r="AA19" s="18" t="s">
        <v>1875</v>
      </c>
      <c r="AB19" s="18"/>
      <c r="AC19" s="89" t="s">
        <v>1877</v>
      </c>
      <c r="AD19" s="18" t="s">
        <v>1876</v>
      </c>
      <c r="AE19" s="18"/>
      <c r="AF19" s="18"/>
      <c r="AG19" s="18"/>
      <c r="AH19" s="18"/>
      <c r="AI19" s="24"/>
      <c r="AJ19" s="24"/>
      <c r="AK19" s="24"/>
      <c r="AL19" s="18"/>
      <c r="AM19" s="18"/>
      <c r="AN19" s="25"/>
      <c r="AO19" s="18"/>
      <c r="AP19" s="18"/>
      <c r="AQ19" s="18"/>
    </row>
    <row r="20" spans="1:43" ht="60">
      <c r="A20" s="18" t="s">
        <v>2046</v>
      </c>
      <c r="B20" s="45" t="s">
        <v>1196</v>
      </c>
      <c r="C20" s="18"/>
      <c r="D20" s="18"/>
      <c r="E20" s="19" t="s">
        <v>1172</v>
      </c>
      <c r="F20" s="18" t="s">
        <v>1166</v>
      </c>
      <c r="G20" s="79" t="s">
        <v>1439</v>
      </c>
      <c r="H20" s="57" t="s">
        <v>1878</v>
      </c>
      <c r="I20" s="57"/>
      <c r="J20" s="57"/>
      <c r="K20" s="57"/>
      <c r="L20" s="57"/>
      <c r="M20" s="27" t="s">
        <v>1881</v>
      </c>
      <c r="N20" s="27">
        <v>2022</v>
      </c>
      <c r="O20" s="20" t="s">
        <v>1670</v>
      </c>
      <c r="P20" s="100" t="s">
        <v>1883</v>
      </c>
      <c r="Q20" s="18"/>
      <c r="R20" s="18"/>
      <c r="S20" s="29"/>
      <c r="T20" s="18"/>
      <c r="U20" s="18"/>
      <c r="V20" s="18"/>
      <c r="W20" s="18"/>
      <c r="X20" s="68" t="s">
        <v>1882</v>
      </c>
      <c r="Y20" s="18" t="s">
        <v>1884</v>
      </c>
      <c r="Z20" s="18" t="s">
        <v>1885</v>
      </c>
      <c r="AA20" s="18" t="s">
        <v>1886</v>
      </c>
      <c r="AB20" s="18"/>
      <c r="AC20" s="18" t="s">
        <v>1879</v>
      </c>
      <c r="AD20" s="18" t="s">
        <v>1880</v>
      </c>
      <c r="AE20" s="18"/>
      <c r="AF20" s="18"/>
      <c r="AG20" s="18"/>
      <c r="AH20" s="18"/>
      <c r="AI20" s="24"/>
      <c r="AJ20" s="24"/>
      <c r="AK20" s="24"/>
      <c r="AL20" s="18"/>
      <c r="AM20" s="18"/>
      <c r="AN20" s="25"/>
      <c r="AO20" s="18"/>
      <c r="AP20" s="18"/>
      <c r="AQ20" s="18"/>
    </row>
    <row r="21" spans="1:43" ht="36">
      <c r="A21" s="18" t="s">
        <v>2047</v>
      </c>
      <c r="B21" s="45" t="s">
        <v>1197</v>
      </c>
      <c r="C21" s="18" t="s">
        <v>202</v>
      </c>
      <c r="D21" s="18"/>
      <c r="E21" s="19" t="s">
        <v>1172</v>
      </c>
      <c r="F21" s="18" t="s">
        <v>1166</v>
      </c>
      <c r="G21" s="79" t="s">
        <v>1440</v>
      </c>
      <c r="H21" s="79" t="s">
        <v>1887</v>
      </c>
      <c r="I21" s="57" t="s">
        <v>1890</v>
      </c>
      <c r="J21" s="57" t="s">
        <v>1897</v>
      </c>
      <c r="K21" s="82" t="s">
        <v>1898</v>
      </c>
      <c r="L21" s="79" t="s">
        <v>1896</v>
      </c>
      <c r="M21" s="27" t="s">
        <v>1891</v>
      </c>
      <c r="N21" s="27">
        <v>2023</v>
      </c>
      <c r="O21" s="20" t="s">
        <v>1670</v>
      </c>
      <c r="P21" s="79" t="s">
        <v>1892</v>
      </c>
      <c r="Q21" s="18"/>
      <c r="R21" s="18"/>
      <c r="S21" s="29"/>
      <c r="T21" s="18"/>
      <c r="U21" s="18"/>
      <c r="V21" s="18"/>
      <c r="W21" s="18"/>
      <c r="X21" s="100" t="s">
        <v>1893</v>
      </c>
      <c r="Y21" s="18" t="s">
        <v>1901</v>
      </c>
      <c r="Z21" s="100" t="s">
        <v>1894</v>
      </c>
      <c r="AA21" s="18" t="s">
        <v>1895</v>
      </c>
      <c r="AB21" s="18"/>
      <c r="AC21" s="89" t="s">
        <v>1888</v>
      </c>
      <c r="AD21" s="18" t="s">
        <v>1889</v>
      </c>
      <c r="AE21" s="18"/>
      <c r="AF21" s="18"/>
      <c r="AG21" s="18"/>
      <c r="AH21" s="18"/>
      <c r="AI21" s="24"/>
      <c r="AJ21" s="24"/>
      <c r="AK21" s="24"/>
      <c r="AL21" s="18"/>
      <c r="AM21" s="18"/>
      <c r="AN21" s="25"/>
      <c r="AO21" s="18"/>
      <c r="AP21" s="18"/>
      <c r="AQ21" s="18"/>
    </row>
    <row r="22" spans="1:43" ht="36">
      <c r="A22" s="18" t="s">
        <v>2048</v>
      </c>
      <c r="B22" s="45" t="s">
        <v>1198</v>
      </c>
      <c r="C22" s="18" t="s">
        <v>202</v>
      </c>
      <c r="D22" s="18"/>
      <c r="E22" s="19" t="s">
        <v>1172</v>
      </c>
      <c r="F22" s="18" t="s">
        <v>1166</v>
      </c>
      <c r="G22" s="74" t="s">
        <v>1440</v>
      </c>
      <c r="H22" s="79" t="s">
        <v>1887</v>
      </c>
      <c r="I22" s="57" t="s">
        <v>1890</v>
      </c>
      <c r="J22" s="57" t="s">
        <v>1897</v>
      </c>
      <c r="K22" s="82" t="s">
        <v>1898</v>
      </c>
      <c r="L22" s="79" t="s">
        <v>1896</v>
      </c>
      <c r="M22" s="27" t="s">
        <v>1899</v>
      </c>
      <c r="N22" s="27">
        <v>2023</v>
      </c>
      <c r="O22" s="20" t="s">
        <v>1670</v>
      </c>
      <c r="P22" s="79" t="s">
        <v>1903</v>
      </c>
      <c r="Q22" s="18"/>
      <c r="R22" s="18"/>
      <c r="S22" s="29"/>
      <c r="T22" s="18"/>
      <c r="U22" s="18"/>
      <c r="V22" s="18"/>
      <c r="W22" s="18"/>
      <c r="X22" s="18" t="s">
        <v>1904</v>
      </c>
      <c r="Y22" s="18" t="s">
        <v>1902</v>
      </c>
      <c r="Z22" s="18" t="s">
        <v>1900</v>
      </c>
      <c r="AA22" s="18" t="s">
        <v>1905</v>
      </c>
      <c r="AB22" s="18"/>
      <c r="AC22" s="89" t="s">
        <v>1888</v>
      </c>
      <c r="AD22" s="18" t="s">
        <v>1889</v>
      </c>
      <c r="AE22" s="18"/>
      <c r="AF22" s="18"/>
      <c r="AG22" s="18"/>
      <c r="AH22" s="18"/>
      <c r="AI22" s="24"/>
      <c r="AJ22" s="24"/>
      <c r="AK22" s="24"/>
      <c r="AL22" s="18"/>
      <c r="AM22" s="18"/>
      <c r="AN22" s="25"/>
      <c r="AO22" s="18"/>
      <c r="AP22" s="18"/>
      <c r="AQ22" s="18"/>
    </row>
    <row r="23" spans="1:43" ht="48">
      <c r="A23" s="18" t="s">
        <v>2049</v>
      </c>
      <c r="B23" s="45" t="s">
        <v>1199</v>
      </c>
      <c r="C23" s="18"/>
      <c r="D23" s="18"/>
      <c r="E23" s="19" t="s">
        <v>1172</v>
      </c>
      <c r="F23" s="18" t="s">
        <v>1166</v>
      </c>
      <c r="G23" s="79" t="s">
        <v>1441</v>
      </c>
      <c r="H23" s="79" t="s">
        <v>1908</v>
      </c>
      <c r="I23" s="57"/>
      <c r="J23" s="57"/>
      <c r="K23" s="82"/>
      <c r="L23" s="57"/>
      <c r="M23" s="27" t="s">
        <v>1906</v>
      </c>
      <c r="N23" s="27">
        <v>2022</v>
      </c>
      <c r="O23" s="20" t="s">
        <v>1670</v>
      </c>
      <c r="P23" s="79" t="s">
        <v>1909</v>
      </c>
      <c r="Q23" s="18"/>
      <c r="R23" s="18"/>
      <c r="S23" s="29"/>
      <c r="T23" s="18"/>
      <c r="U23" s="18"/>
      <c r="V23" s="18"/>
      <c r="W23" s="18"/>
      <c r="X23" s="18" t="s">
        <v>1911</v>
      </c>
      <c r="Y23" s="18" t="s">
        <v>1912</v>
      </c>
      <c r="Z23" s="89" t="s">
        <v>1910</v>
      </c>
      <c r="AA23" s="18" t="s">
        <v>1913</v>
      </c>
      <c r="AB23" s="18"/>
      <c r="AC23" s="89" t="s">
        <v>1914</v>
      </c>
      <c r="AD23" s="18" t="s">
        <v>1686</v>
      </c>
      <c r="AE23" s="18"/>
      <c r="AF23" s="18"/>
      <c r="AG23" s="18"/>
      <c r="AH23" s="18"/>
      <c r="AI23" s="24"/>
      <c r="AJ23" s="24"/>
      <c r="AK23" s="24"/>
      <c r="AL23" s="18"/>
      <c r="AM23" s="18"/>
      <c r="AN23" s="25"/>
      <c r="AO23" s="18"/>
      <c r="AP23" s="101" t="s">
        <v>1907</v>
      </c>
      <c r="AQ23" s="18"/>
    </row>
    <row r="24" spans="1:43" ht="72">
      <c r="A24" s="18" t="s">
        <v>2050</v>
      </c>
      <c r="B24" s="45" t="s">
        <v>1200</v>
      </c>
      <c r="C24" s="18"/>
      <c r="D24" s="18"/>
      <c r="E24" s="19" t="s">
        <v>1172</v>
      </c>
      <c r="F24" s="18" t="s">
        <v>1166</v>
      </c>
      <c r="G24" s="79" t="s">
        <v>1442</v>
      </c>
      <c r="H24" s="79" t="s">
        <v>1860</v>
      </c>
      <c r="I24" s="79" t="s">
        <v>1854</v>
      </c>
      <c r="J24" s="80" t="s">
        <v>1858</v>
      </c>
      <c r="K24" s="80" t="s">
        <v>1867</v>
      </c>
      <c r="L24" s="100" t="s">
        <v>1859</v>
      </c>
      <c r="M24" s="27" t="s">
        <v>1666</v>
      </c>
      <c r="N24" s="27">
        <v>2026</v>
      </c>
      <c r="O24" s="56" t="s">
        <v>1671</v>
      </c>
      <c r="P24" s="79" t="s">
        <v>1915</v>
      </c>
      <c r="Q24" s="18"/>
      <c r="R24" s="18"/>
      <c r="S24" s="29"/>
      <c r="T24" s="18"/>
      <c r="U24" s="18"/>
      <c r="V24" s="18"/>
      <c r="W24" s="18"/>
      <c r="X24" s="18" t="s">
        <v>1917</v>
      </c>
      <c r="Y24" s="18"/>
      <c r="Z24" s="18"/>
      <c r="AA24" s="18" t="s">
        <v>1916</v>
      </c>
      <c r="AB24" s="18"/>
      <c r="AC24" s="18" t="s">
        <v>1947</v>
      </c>
      <c r="AD24" s="18" t="s">
        <v>1864</v>
      </c>
      <c r="AE24" s="18"/>
      <c r="AF24" s="18"/>
      <c r="AG24" s="18"/>
      <c r="AH24" s="18"/>
      <c r="AI24" s="24"/>
      <c r="AJ24" s="24"/>
      <c r="AK24" s="24"/>
      <c r="AL24" s="18"/>
      <c r="AM24" s="18"/>
      <c r="AN24" s="25"/>
      <c r="AO24" s="18"/>
      <c r="AP24" s="18"/>
      <c r="AQ24" s="18"/>
    </row>
    <row r="25" spans="1:43" ht="48">
      <c r="A25" s="18" t="s">
        <v>2051</v>
      </c>
      <c r="B25" s="45" t="s">
        <v>1201</v>
      </c>
      <c r="C25" s="18"/>
      <c r="D25" s="18"/>
      <c r="E25" s="19" t="s">
        <v>1172</v>
      </c>
      <c r="F25" s="18" t="s">
        <v>1166</v>
      </c>
      <c r="G25" s="79" t="s">
        <v>1443</v>
      </c>
      <c r="H25" s="79" t="s">
        <v>1918</v>
      </c>
      <c r="I25" s="57"/>
      <c r="J25" s="57"/>
      <c r="K25" s="82"/>
      <c r="L25" s="57"/>
      <c r="M25" s="27" t="s">
        <v>1920</v>
      </c>
      <c r="N25" s="27">
        <v>2022</v>
      </c>
      <c r="O25" s="20" t="s">
        <v>1670</v>
      </c>
      <c r="P25" s="79" t="s">
        <v>1921</v>
      </c>
      <c r="Q25" s="18"/>
      <c r="R25" s="18"/>
      <c r="S25" s="29"/>
      <c r="T25" s="18"/>
      <c r="U25" s="18"/>
      <c r="V25" s="18"/>
      <c r="W25" s="18"/>
      <c r="X25" s="18" t="s">
        <v>1923</v>
      </c>
      <c r="Y25" s="18" t="s">
        <v>1922</v>
      </c>
      <c r="Z25" s="89" t="s">
        <v>1924</v>
      </c>
      <c r="AA25" s="18"/>
      <c r="AB25" s="18"/>
      <c r="AC25" s="18" t="s">
        <v>1919</v>
      </c>
      <c r="AD25" s="18" t="s">
        <v>1686</v>
      </c>
      <c r="AE25" s="18"/>
      <c r="AF25" s="18"/>
      <c r="AG25" s="18"/>
      <c r="AH25" s="18"/>
      <c r="AI25" s="24"/>
      <c r="AJ25" s="24"/>
      <c r="AK25" s="24"/>
      <c r="AL25" s="18"/>
      <c r="AM25" s="18"/>
      <c r="AN25" s="25"/>
      <c r="AO25" s="18"/>
      <c r="AP25" s="89" t="s">
        <v>1925</v>
      </c>
      <c r="AQ25" s="18"/>
    </row>
    <row r="26" spans="1:43" ht="48">
      <c r="A26" s="18" t="s">
        <v>2052</v>
      </c>
      <c r="B26" s="45" t="s">
        <v>1202</v>
      </c>
      <c r="C26" s="18"/>
      <c r="D26" s="18"/>
      <c r="E26" s="19" t="s">
        <v>1172</v>
      </c>
      <c r="F26" s="18" t="s">
        <v>1166</v>
      </c>
      <c r="G26" s="79" t="s">
        <v>1444</v>
      </c>
      <c r="H26" s="79" t="s">
        <v>1930</v>
      </c>
      <c r="I26" s="57"/>
      <c r="J26" s="57"/>
      <c r="K26" s="82"/>
      <c r="L26" s="57"/>
      <c r="M26" s="27" t="s">
        <v>1931</v>
      </c>
      <c r="N26" s="27">
        <v>2026</v>
      </c>
      <c r="O26" s="56" t="s">
        <v>1671</v>
      </c>
      <c r="P26" s="79" t="s">
        <v>1932</v>
      </c>
      <c r="Q26" s="18"/>
      <c r="R26" s="18"/>
      <c r="S26" s="29"/>
      <c r="T26" s="18"/>
      <c r="U26" s="18"/>
      <c r="V26" s="18"/>
      <c r="W26" s="18"/>
      <c r="X26" s="18" t="s">
        <v>1929</v>
      </c>
      <c r="Y26" s="18" t="s">
        <v>1926</v>
      </c>
      <c r="Z26" s="100" t="s">
        <v>1927</v>
      </c>
      <c r="AA26" s="18" t="s">
        <v>1928</v>
      </c>
      <c r="AB26" s="18"/>
      <c r="AC26" s="89" t="s">
        <v>1933</v>
      </c>
      <c r="AD26" s="18" t="s">
        <v>1876</v>
      </c>
      <c r="AE26" s="18"/>
      <c r="AF26" s="18"/>
      <c r="AG26" s="18"/>
      <c r="AH26" s="18"/>
      <c r="AI26" s="24"/>
      <c r="AJ26" s="24"/>
      <c r="AK26" s="24"/>
      <c r="AL26" s="18"/>
      <c r="AM26" s="18"/>
      <c r="AN26" s="25"/>
      <c r="AO26" s="18"/>
      <c r="AP26" s="18"/>
      <c r="AQ26" s="18"/>
    </row>
    <row r="27" spans="1:43" ht="36">
      <c r="A27" s="18" t="s">
        <v>2053</v>
      </c>
      <c r="B27" s="45" t="s">
        <v>1203</v>
      </c>
      <c r="C27" s="18"/>
      <c r="D27" s="18"/>
      <c r="E27" s="19" t="s">
        <v>1172</v>
      </c>
      <c r="F27" s="18" t="s">
        <v>1166</v>
      </c>
      <c r="G27" s="79" t="s">
        <v>1445</v>
      </c>
      <c r="H27" s="57"/>
      <c r="I27" s="57"/>
      <c r="J27" s="57"/>
      <c r="K27" s="82"/>
      <c r="L27" s="57"/>
      <c r="M27" s="27" t="s">
        <v>1667</v>
      </c>
      <c r="N27" s="27">
        <v>2012</v>
      </c>
      <c r="O27" s="20" t="s">
        <v>1670</v>
      </c>
      <c r="P27" s="79" t="s">
        <v>1936</v>
      </c>
      <c r="Q27" s="18"/>
      <c r="R27" s="18"/>
      <c r="S27" s="29"/>
      <c r="T27" s="18"/>
      <c r="U27" s="18"/>
      <c r="V27" s="18"/>
      <c r="W27" s="18"/>
      <c r="X27" s="18" t="s">
        <v>1935</v>
      </c>
      <c r="Y27" s="18" t="s">
        <v>1937</v>
      </c>
      <c r="Z27" s="89" t="s">
        <v>1938</v>
      </c>
      <c r="AA27" s="18" t="s">
        <v>1940</v>
      </c>
      <c r="AB27" s="18"/>
      <c r="AC27" s="89" t="s">
        <v>1939</v>
      </c>
      <c r="AD27" s="18" t="s">
        <v>1686</v>
      </c>
      <c r="AE27" s="18"/>
      <c r="AF27" s="18"/>
      <c r="AG27" s="18"/>
      <c r="AH27" s="18"/>
      <c r="AI27" s="24"/>
      <c r="AJ27" s="24"/>
      <c r="AK27" s="24"/>
      <c r="AL27" s="18"/>
      <c r="AM27" s="18"/>
      <c r="AN27" s="25"/>
      <c r="AO27" s="18"/>
      <c r="AP27" s="18" t="s">
        <v>1934</v>
      </c>
      <c r="AQ27" s="18"/>
    </row>
    <row r="28" spans="1:43" ht="72">
      <c r="A28" s="18" t="s">
        <v>2054</v>
      </c>
      <c r="B28" s="45" t="s">
        <v>1204</v>
      </c>
      <c r="C28" s="18"/>
      <c r="D28" s="18"/>
      <c r="E28" s="19" t="s">
        <v>1172</v>
      </c>
      <c r="F28" s="18" t="s">
        <v>1166</v>
      </c>
      <c r="G28" s="79" t="s">
        <v>1446</v>
      </c>
      <c r="H28" s="79" t="s">
        <v>1860</v>
      </c>
      <c r="I28" s="79" t="s">
        <v>1854</v>
      </c>
      <c r="J28" s="80" t="s">
        <v>1858</v>
      </c>
      <c r="K28" s="80" t="s">
        <v>1867</v>
      </c>
      <c r="L28" s="100" t="s">
        <v>1859</v>
      </c>
      <c r="M28" s="27" t="s">
        <v>1941</v>
      </c>
      <c r="N28" s="27">
        <v>2024</v>
      </c>
      <c r="O28" s="20" t="s">
        <v>1670</v>
      </c>
      <c r="P28" s="79" t="s">
        <v>1942</v>
      </c>
      <c r="Q28" s="18"/>
      <c r="R28" s="18"/>
      <c r="S28" s="29"/>
      <c r="T28" s="18"/>
      <c r="U28" s="18"/>
      <c r="V28" s="18"/>
      <c r="W28" s="18"/>
      <c r="X28" s="18" t="s">
        <v>1945</v>
      </c>
      <c r="Y28" s="18" t="s">
        <v>1946</v>
      </c>
      <c r="Z28" s="89" t="s">
        <v>1944</v>
      </c>
      <c r="AA28" s="18" t="s">
        <v>1943</v>
      </c>
      <c r="AB28" s="18"/>
      <c r="AC28" s="18" t="s">
        <v>1947</v>
      </c>
      <c r="AD28" s="18" t="s">
        <v>1864</v>
      </c>
      <c r="AE28" s="18"/>
      <c r="AF28" s="18"/>
      <c r="AG28" s="18"/>
      <c r="AH28" s="18"/>
      <c r="AI28" s="24"/>
      <c r="AJ28" s="24"/>
      <c r="AK28" s="24"/>
      <c r="AL28" s="18"/>
      <c r="AM28" s="18"/>
      <c r="AN28" s="25"/>
      <c r="AO28" s="18"/>
      <c r="AP28" s="18"/>
      <c r="AQ28" s="18"/>
    </row>
    <row r="29" spans="1:43" ht="48">
      <c r="A29" s="18" t="s">
        <v>2055</v>
      </c>
      <c r="B29" s="45" t="s">
        <v>1205</v>
      </c>
      <c r="C29" s="18" t="s">
        <v>202</v>
      </c>
      <c r="D29" s="18"/>
      <c r="E29" s="19" t="s">
        <v>1172</v>
      </c>
      <c r="F29" s="18" t="s">
        <v>1166</v>
      </c>
      <c r="G29" s="79" t="s">
        <v>1447</v>
      </c>
      <c r="H29" s="79" t="s">
        <v>1966</v>
      </c>
      <c r="I29" s="57" t="s">
        <v>1951</v>
      </c>
      <c r="J29" s="57" t="s">
        <v>1953</v>
      </c>
      <c r="K29" s="82" t="s">
        <v>1954</v>
      </c>
      <c r="L29" s="79" t="s">
        <v>1952</v>
      </c>
      <c r="M29" s="27" t="s">
        <v>1948</v>
      </c>
      <c r="N29" s="27">
        <v>2024</v>
      </c>
      <c r="O29" s="20" t="s">
        <v>1670</v>
      </c>
      <c r="P29" s="100" t="s">
        <v>1956</v>
      </c>
      <c r="Q29" s="18"/>
      <c r="R29" s="18"/>
      <c r="S29" s="29"/>
      <c r="T29" s="18"/>
      <c r="U29" s="18"/>
      <c r="V29" s="18"/>
      <c r="W29" s="18"/>
      <c r="X29" s="18" t="s">
        <v>1955</v>
      </c>
      <c r="Y29" s="18" t="s">
        <v>1949</v>
      </c>
      <c r="Z29" s="89" t="s">
        <v>1950</v>
      </c>
      <c r="AA29" s="18" t="s">
        <v>1957</v>
      </c>
      <c r="AB29" s="18"/>
      <c r="AC29" s="89" t="s">
        <v>1964</v>
      </c>
      <c r="AD29" s="18" t="s">
        <v>1963</v>
      </c>
      <c r="AE29" s="18"/>
      <c r="AF29" s="18"/>
      <c r="AG29" s="18"/>
      <c r="AH29" s="18"/>
      <c r="AI29" s="24"/>
      <c r="AJ29" s="24"/>
      <c r="AK29" s="24"/>
      <c r="AL29" s="18"/>
      <c r="AM29" s="18"/>
      <c r="AN29" s="25"/>
      <c r="AO29" s="18"/>
      <c r="AP29" s="18" t="s">
        <v>1965</v>
      </c>
      <c r="AQ29" s="18"/>
    </row>
    <row r="30" spans="1:43" ht="48">
      <c r="A30" s="18" t="s">
        <v>2056</v>
      </c>
      <c r="B30" s="45" t="s">
        <v>1206</v>
      </c>
      <c r="C30" s="18" t="s">
        <v>202</v>
      </c>
      <c r="D30" s="18"/>
      <c r="E30" s="19" t="s">
        <v>1172</v>
      </c>
      <c r="F30" s="18" t="s">
        <v>1166</v>
      </c>
      <c r="G30" s="74" t="s">
        <v>1448</v>
      </c>
      <c r="H30" s="79" t="s">
        <v>1966</v>
      </c>
      <c r="I30" s="57" t="s">
        <v>1951</v>
      </c>
      <c r="J30" s="57" t="s">
        <v>1953</v>
      </c>
      <c r="K30" s="82" t="s">
        <v>1954</v>
      </c>
      <c r="L30" s="79" t="s">
        <v>1952</v>
      </c>
      <c r="M30" s="27" t="s">
        <v>1668</v>
      </c>
      <c r="N30" s="27"/>
      <c r="O30" s="56" t="s">
        <v>1671</v>
      </c>
      <c r="P30" s="79" t="s">
        <v>1960</v>
      </c>
      <c r="Q30" s="18"/>
      <c r="R30" s="18"/>
      <c r="S30" s="29"/>
      <c r="T30" s="18"/>
      <c r="U30" s="18"/>
      <c r="V30" s="18"/>
      <c r="W30" s="18"/>
      <c r="X30" s="18" t="s">
        <v>1961</v>
      </c>
      <c r="Y30" s="17" t="s">
        <v>1958</v>
      </c>
      <c r="Z30" s="100" t="s">
        <v>1959</v>
      </c>
      <c r="AA30" s="18" t="s">
        <v>1962</v>
      </c>
      <c r="AB30" s="18"/>
      <c r="AC30" s="89" t="s">
        <v>1964</v>
      </c>
      <c r="AD30" s="18" t="s">
        <v>1963</v>
      </c>
      <c r="AE30" s="18"/>
      <c r="AF30" s="18"/>
      <c r="AG30" s="18"/>
      <c r="AH30" s="18"/>
      <c r="AI30" s="24"/>
      <c r="AJ30" s="24"/>
      <c r="AK30" s="24"/>
      <c r="AL30" s="18"/>
      <c r="AM30" s="18"/>
      <c r="AN30" s="25"/>
      <c r="AO30" s="18"/>
      <c r="AP30" s="18"/>
      <c r="AQ30" s="18"/>
    </row>
    <row r="31" spans="1:43" ht="48">
      <c r="A31" s="18" t="s">
        <v>2057</v>
      </c>
      <c r="B31" s="45" t="s">
        <v>1207</v>
      </c>
      <c r="C31" s="18"/>
      <c r="D31" s="18"/>
      <c r="E31" s="19" t="s">
        <v>1172</v>
      </c>
      <c r="F31" s="18" t="s">
        <v>1166</v>
      </c>
      <c r="G31" s="79" t="s">
        <v>1449</v>
      </c>
      <c r="H31" s="79" t="s">
        <v>1967</v>
      </c>
      <c r="I31" s="57"/>
      <c r="J31" s="57"/>
      <c r="K31" s="57"/>
      <c r="L31" s="57"/>
      <c r="M31" s="27" t="s">
        <v>1968</v>
      </c>
      <c r="N31" s="27">
        <v>2018</v>
      </c>
      <c r="O31" s="20" t="s">
        <v>1670</v>
      </c>
      <c r="P31" s="79" t="s">
        <v>1969</v>
      </c>
      <c r="Q31" s="18"/>
      <c r="R31" s="18"/>
      <c r="S31" s="29"/>
      <c r="T31" s="18"/>
      <c r="U31" s="18"/>
      <c r="V31" s="18"/>
      <c r="W31" s="18"/>
      <c r="X31" s="18" t="s">
        <v>1975</v>
      </c>
      <c r="Y31" s="18" t="s">
        <v>1971</v>
      </c>
      <c r="Z31" s="89" t="s">
        <v>1972</v>
      </c>
      <c r="AA31" s="18" t="s">
        <v>1970</v>
      </c>
      <c r="AB31" s="18"/>
      <c r="AC31" s="89" t="s">
        <v>1974</v>
      </c>
      <c r="AD31" s="18" t="s">
        <v>1973</v>
      </c>
      <c r="AE31" s="18"/>
      <c r="AF31" s="18"/>
      <c r="AG31" s="18"/>
      <c r="AH31" s="18"/>
      <c r="AI31" s="24"/>
      <c r="AJ31" s="24"/>
      <c r="AK31" s="24"/>
      <c r="AL31" s="18"/>
      <c r="AM31" s="18"/>
      <c r="AN31" s="25"/>
      <c r="AO31" s="18"/>
      <c r="AP31" s="18"/>
      <c r="AQ31" s="18"/>
    </row>
    <row r="32" spans="1:43" ht="60">
      <c r="A32" s="18" t="s">
        <v>2058</v>
      </c>
      <c r="B32" s="45" t="s">
        <v>1208</v>
      </c>
      <c r="C32" s="18"/>
      <c r="D32" s="18"/>
      <c r="E32" s="19" t="s">
        <v>1172</v>
      </c>
      <c r="F32" s="18" t="s">
        <v>1166</v>
      </c>
      <c r="G32" s="79" t="s">
        <v>1450</v>
      </c>
      <c r="H32" s="79" t="s">
        <v>1983</v>
      </c>
      <c r="I32" s="57"/>
      <c r="J32" s="57"/>
      <c r="K32" s="57"/>
      <c r="L32" s="57"/>
      <c r="M32" s="27" t="s">
        <v>1977</v>
      </c>
      <c r="N32" s="27">
        <v>2020</v>
      </c>
      <c r="O32" s="20" t="s">
        <v>1670</v>
      </c>
      <c r="P32" s="79" t="s">
        <v>1978</v>
      </c>
      <c r="Q32" s="18"/>
      <c r="R32" s="18"/>
      <c r="S32" s="29"/>
      <c r="T32" s="18"/>
      <c r="U32" s="18"/>
      <c r="V32" s="18"/>
      <c r="W32" s="18"/>
      <c r="X32" s="102" t="s">
        <v>1981</v>
      </c>
      <c r="Y32" s="18" t="s">
        <v>1979</v>
      </c>
      <c r="Z32" s="89" t="s">
        <v>1980</v>
      </c>
      <c r="AA32" s="18" t="s">
        <v>1982</v>
      </c>
      <c r="AB32" s="18"/>
      <c r="AC32" s="89" t="s">
        <v>1976</v>
      </c>
      <c r="AD32" s="18" t="s">
        <v>1759</v>
      </c>
      <c r="AE32" s="18"/>
      <c r="AF32" s="18"/>
      <c r="AG32" s="18"/>
      <c r="AH32" s="18"/>
      <c r="AI32" s="24"/>
      <c r="AJ32" s="24"/>
      <c r="AK32" s="24"/>
      <c r="AL32" s="18"/>
      <c r="AM32" s="18"/>
      <c r="AN32" s="25"/>
      <c r="AO32" s="18"/>
      <c r="AP32" s="18"/>
      <c r="AQ32" s="18"/>
    </row>
    <row r="33" spans="1:43" ht="60">
      <c r="A33" s="18" t="s">
        <v>2059</v>
      </c>
      <c r="B33" s="45" t="s">
        <v>1209</v>
      </c>
      <c r="C33" s="18"/>
      <c r="D33" s="18"/>
      <c r="E33" s="19" t="s">
        <v>1172</v>
      </c>
      <c r="F33" s="18" t="s">
        <v>1166</v>
      </c>
      <c r="G33" s="79" t="s">
        <v>1451</v>
      </c>
      <c r="H33" s="57" t="s">
        <v>1988</v>
      </c>
      <c r="I33" s="57"/>
      <c r="J33" s="57"/>
      <c r="K33" s="57"/>
      <c r="L33" s="57"/>
      <c r="M33" s="27" t="s">
        <v>1984</v>
      </c>
      <c r="N33" s="27">
        <v>2023</v>
      </c>
      <c r="O33" s="20" t="s">
        <v>1670</v>
      </c>
      <c r="P33" s="79" t="s">
        <v>1989</v>
      </c>
      <c r="Q33" s="18"/>
      <c r="R33" s="18"/>
      <c r="S33" s="29"/>
      <c r="T33" s="18"/>
      <c r="U33" s="18"/>
      <c r="V33" s="18"/>
      <c r="W33" s="18"/>
      <c r="X33" s="18" t="s">
        <v>1987</v>
      </c>
      <c r="Y33" s="18" t="s">
        <v>1985</v>
      </c>
      <c r="Z33" s="89" t="s">
        <v>1986</v>
      </c>
      <c r="AA33" s="18" t="s">
        <v>1990</v>
      </c>
      <c r="AB33" s="18"/>
      <c r="AC33" s="89" t="s">
        <v>1992</v>
      </c>
      <c r="AD33" s="18" t="s">
        <v>1991</v>
      </c>
      <c r="AE33" s="18"/>
      <c r="AF33" s="18"/>
      <c r="AG33" s="18"/>
      <c r="AH33" s="18"/>
      <c r="AI33" s="24"/>
      <c r="AJ33" s="24"/>
      <c r="AK33" s="24"/>
      <c r="AL33" s="18"/>
      <c r="AM33" s="18"/>
      <c r="AN33" s="25"/>
      <c r="AO33" s="18"/>
      <c r="AP33" s="18"/>
      <c r="AQ33" s="18"/>
    </row>
    <row r="34" spans="1:43" ht="60">
      <c r="A34" s="18" t="s">
        <v>2060</v>
      </c>
      <c r="B34" s="45" t="s">
        <v>1210</v>
      </c>
      <c r="C34" s="18" t="s">
        <v>55</v>
      </c>
      <c r="D34" s="18"/>
      <c r="E34" s="19" t="s">
        <v>1172</v>
      </c>
      <c r="F34" s="18" t="s">
        <v>1166</v>
      </c>
      <c r="G34" s="79" t="s">
        <v>1452</v>
      </c>
      <c r="H34" s="79" t="s">
        <v>1996</v>
      </c>
      <c r="I34" s="57"/>
      <c r="J34" s="57"/>
      <c r="K34" s="57"/>
      <c r="L34" s="57"/>
      <c r="M34" s="27" t="s">
        <v>1997</v>
      </c>
      <c r="N34" s="27">
        <v>2025</v>
      </c>
      <c r="O34" s="20" t="s">
        <v>1670</v>
      </c>
      <c r="P34" s="79" t="s">
        <v>1998</v>
      </c>
      <c r="Q34" s="18"/>
      <c r="R34" s="18"/>
      <c r="S34" s="29"/>
      <c r="T34" s="18"/>
      <c r="U34" s="18"/>
      <c r="V34" s="18"/>
      <c r="W34" s="18"/>
      <c r="X34" s="18" t="s">
        <v>1999</v>
      </c>
      <c r="Y34" s="18" t="s">
        <v>1993</v>
      </c>
      <c r="Z34" s="89" t="s">
        <v>1994</v>
      </c>
      <c r="AA34" s="18" t="s">
        <v>2000</v>
      </c>
      <c r="AB34" s="18"/>
      <c r="AC34" s="89" t="s">
        <v>1995</v>
      </c>
      <c r="AD34" s="18" t="s">
        <v>1759</v>
      </c>
      <c r="AE34" s="18"/>
      <c r="AF34" s="18"/>
      <c r="AG34" s="18"/>
      <c r="AH34" s="18"/>
      <c r="AI34" s="24"/>
      <c r="AJ34" s="24"/>
      <c r="AK34" s="24"/>
      <c r="AL34" s="18"/>
      <c r="AM34" s="18"/>
      <c r="AN34" s="25"/>
      <c r="AO34" s="18"/>
      <c r="AP34" s="18"/>
      <c r="AQ34" s="18"/>
    </row>
    <row r="35" spans="1:43" ht="24">
      <c r="A35" s="18" t="s">
        <v>2061</v>
      </c>
      <c r="B35" s="45" t="s">
        <v>1211</v>
      </c>
      <c r="C35" s="18" t="s">
        <v>55</v>
      </c>
      <c r="D35" s="18"/>
      <c r="E35" s="19" t="s">
        <v>1172</v>
      </c>
      <c r="F35" s="18" t="s">
        <v>1166</v>
      </c>
      <c r="G35" s="79" t="s">
        <v>1453</v>
      </c>
      <c r="H35" s="79" t="s">
        <v>2007</v>
      </c>
      <c r="I35" s="57"/>
      <c r="J35" s="57"/>
      <c r="K35" s="57"/>
      <c r="L35" s="57"/>
      <c r="M35" s="27" t="s">
        <v>2001</v>
      </c>
      <c r="N35" s="27">
        <v>2026</v>
      </c>
      <c r="O35" s="20" t="s">
        <v>1670</v>
      </c>
      <c r="P35" s="79" t="s">
        <v>2003</v>
      </c>
      <c r="Q35" s="18"/>
      <c r="R35" s="18"/>
      <c r="S35" s="29"/>
      <c r="T35" s="18"/>
      <c r="U35" s="18"/>
      <c r="V35" s="18"/>
      <c r="W35" s="18"/>
      <c r="X35" s="18" t="s">
        <v>2002</v>
      </c>
      <c r="Y35" s="18" t="s">
        <v>2004</v>
      </c>
      <c r="Z35" s="89" t="s">
        <v>2005</v>
      </c>
      <c r="AA35" s="18" t="s">
        <v>2006</v>
      </c>
      <c r="AB35" s="18"/>
      <c r="AC35" s="89" t="s">
        <v>2009</v>
      </c>
      <c r="AD35" s="18" t="s">
        <v>2008</v>
      </c>
      <c r="AE35" s="18"/>
      <c r="AF35" s="18"/>
      <c r="AG35" s="18"/>
      <c r="AH35" s="18"/>
      <c r="AI35" s="24"/>
      <c r="AJ35" s="24"/>
      <c r="AK35" s="24"/>
      <c r="AL35" s="18"/>
      <c r="AM35" s="18"/>
      <c r="AN35" s="25"/>
      <c r="AO35" s="18"/>
      <c r="AP35" s="18"/>
      <c r="AQ35" s="18"/>
    </row>
    <row r="36" spans="1:43" s="55" customFormat="1" ht="48">
      <c r="A36" s="18" t="s">
        <v>2062</v>
      </c>
      <c r="B36" s="45" t="s">
        <v>1212</v>
      </c>
      <c r="C36" s="18" t="s">
        <v>55</v>
      </c>
      <c r="D36" s="18"/>
      <c r="E36" s="19" t="s">
        <v>1173</v>
      </c>
      <c r="F36" s="18" t="s">
        <v>240</v>
      </c>
      <c r="G36" s="79" t="s">
        <v>1454</v>
      </c>
      <c r="H36" s="79" t="s">
        <v>2010</v>
      </c>
      <c r="I36" s="75"/>
      <c r="J36" s="75"/>
      <c r="K36" s="75"/>
      <c r="L36" s="75"/>
      <c r="M36" s="18" t="s">
        <v>2011</v>
      </c>
      <c r="N36" s="18">
        <v>2014</v>
      </c>
      <c r="O36" s="20" t="s">
        <v>1670</v>
      </c>
      <c r="P36" s="89" t="s">
        <v>2014</v>
      </c>
      <c r="Q36" s="51"/>
      <c r="R36" s="51"/>
      <c r="S36" s="52"/>
      <c r="T36" s="51"/>
      <c r="U36" s="51"/>
      <c r="V36" s="51"/>
      <c r="W36" s="51"/>
      <c r="X36" s="18" t="s">
        <v>2015</v>
      </c>
      <c r="Y36" s="94" t="s">
        <v>2012</v>
      </c>
      <c r="Z36" s="89" t="s">
        <v>2013</v>
      </c>
      <c r="AA36" s="18" t="s">
        <v>2016</v>
      </c>
      <c r="AB36" s="51"/>
      <c r="AC36" s="89" t="s">
        <v>2017</v>
      </c>
      <c r="AD36" s="18"/>
      <c r="AE36" s="18"/>
      <c r="AF36" s="51"/>
      <c r="AG36" s="51"/>
      <c r="AH36" s="51"/>
      <c r="AI36" s="53"/>
      <c r="AJ36" s="53"/>
      <c r="AK36" s="53"/>
      <c r="AL36" s="51"/>
      <c r="AM36" s="51"/>
      <c r="AN36" s="54"/>
      <c r="AO36" s="51"/>
      <c r="AP36" s="18" t="s">
        <v>2018</v>
      </c>
      <c r="AQ36" s="51"/>
    </row>
    <row r="37" spans="1:43" ht="60">
      <c r="A37" s="18" t="s">
        <v>2063</v>
      </c>
      <c r="B37" s="45" t="s">
        <v>1213</v>
      </c>
      <c r="C37" s="18" t="s">
        <v>202</v>
      </c>
      <c r="D37" s="18" t="s">
        <v>2490</v>
      </c>
      <c r="E37" s="19" t="s">
        <v>1173</v>
      </c>
      <c r="F37" s="18" t="s">
        <v>240</v>
      </c>
      <c r="G37" s="79" t="s">
        <v>1455</v>
      </c>
      <c r="H37" s="79" t="s">
        <v>2317</v>
      </c>
      <c r="I37" s="82" t="s">
        <v>2307</v>
      </c>
      <c r="J37" s="57" t="s">
        <v>2305</v>
      </c>
      <c r="K37" s="57" t="s">
        <v>2306</v>
      </c>
      <c r="L37" s="79" t="s">
        <v>2304</v>
      </c>
      <c r="M37" s="18" t="s">
        <v>2308</v>
      </c>
      <c r="N37" s="18">
        <v>2023</v>
      </c>
      <c r="O37" s="18" t="s">
        <v>1670</v>
      </c>
      <c r="P37" s="89" t="s">
        <v>2310</v>
      </c>
      <c r="Q37" s="18"/>
      <c r="R37" s="18"/>
      <c r="S37" s="29"/>
      <c r="T37" s="18"/>
      <c r="U37" s="18"/>
      <c r="V37" s="18"/>
      <c r="W37" s="18"/>
      <c r="X37" s="18" t="s">
        <v>2312</v>
      </c>
      <c r="Y37" s="18" t="s">
        <v>2313</v>
      </c>
      <c r="Z37" s="89" t="s">
        <v>2314</v>
      </c>
      <c r="AA37" s="18" t="s">
        <v>2311</v>
      </c>
      <c r="AB37" s="18"/>
      <c r="AC37" s="89" t="s">
        <v>2316</v>
      </c>
      <c r="AD37" s="50" t="s">
        <v>2315</v>
      </c>
      <c r="AE37" s="18"/>
      <c r="AF37" s="18"/>
      <c r="AG37" s="18"/>
      <c r="AH37" s="18"/>
      <c r="AI37" s="24"/>
      <c r="AJ37" s="24"/>
      <c r="AK37" s="24"/>
      <c r="AL37" s="18"/>
      <c r="AM37" s="18"/>
      <c r="AN37" s="25"/>
      <c r="AO37" s="18"/>
      <c r="AP37" s="18" t="s">
        <v>2309</v>
      </c>
      <c r="AQ37" s="18"/>
    </row>
    <row r="38" spans="1:43" ht="60">
      <c r="A38" s="18" t="s">
        <v>2064</v>
      </c>
      <c r="B38" s="45" t="s">
        <v>1214</v>
      </c>
      <c r="C38" s="18" t="s">
        <v>202</v>
      </c>
      <c r="D38" s="18"/>
      <c r="E38" s="19" t="s">
        <v>1173</v>
      </c>
      <c r="F38" s="18" t="s">
        <v>240</v>
      </c>
      <c r="G38" s="79" t="s">
        <v>1456</v>
      </c>
      <c r="H38" s="79" t="s">
        <v>2318</v>
      </c>
      <c r="I38" s="57"/>
      <c r="J38" s="57"/>
      <c r="K38" s="57"/>
      <c r="L38" s="57"/>
      <c r="M38" s="18" t="s">
        <v>2325</v>
      </c>
      <c r="N38" s="18">
        <v>2022</v>
      </c>
      <c r="O38" s="18" t="s">
        <v>1670</v>
      </c>
      <c r="P38" s="89" t="s">
        <v>2320</v>
      </c>
      <c r="Q38" s="18"/>
      <c r="R38" s="18"/>
      <c r="S38" s="29"/>
      <c r="T38" s="18"/>
      <c r="U38" s="18"/>
      <c r="V38" s="18"/>
      <c r="W38" s="18"/>
      <c r="X38" s="76" t="s">
        <v>2321</v>
      </c>
      <c r="Y38" s="18" t="s">
        <v>2322</v>
      </c>
      <c r="Z38" s="89" t="s">
        <v>2323</v>
      </c>
      <c r="AA38" s="18" t="s">
        <v>2324</v>
      </c>
      <c r="AB38" s="18"/>
      <c r="AC38" s="18"/>
      <c r="AD38" s="18"/>
      <c r="AE38" s="89" t="s">
        <v>2319</v>
      </c>
      <c r="AF38" s="18"/>
      <c r="AG38" s="18"/>
      <c r="AH38" s="18"/>
      <c r="AI38" s="24"/>
      <c r="AJ38" s="24"/>
      <c r="AK38" s="24"/>
      <c r="AL38" s="18"/>
      <c r="AM38" s="18"/>
      <c r="AN38" s="25"/>
      <c r="AO38" s="18"/>
      <c r="AP38" s="18"/>
      <c r="AQ38" s="18"/>
    </row>
    <row r="39" spans="1:43" ht="60">
      <c r="A39" s="18" t="s">
        <v>2065</v>
      </c>
      <c r="B39" s="45" t="s">
        <v>1215</v>
      </c>
      <c r="C39" s="18" t="s">
        <v>202</v>
      </c>
      <c r="D39" s="18" t="s">
        <v>2341</v>
      </c>
      <c r="E39" s="19" t="s">
        <v>1173</v>
      </c>
      <c r="F39" s="18" t="s">
        <v>240</v>
      </c>
      <c r="G39" s="79" t="s">
        <v>1457</v>
      </c>
      <c r="H39" s="79" t="s">
        <v>2342</v>
      </c>
      <c r="I39" s="82" t="s">
        <v>2350</v>
      </c>
      <c r="J39" s="82" t="s">
        <v>2344</v>
      </c>
      <c r="K39" s="82" t="s">
        <v>2346</v>
      </c>
      <c r="L39" s="79" t="s">
        <v>2345</v>
      </c>
      <c r="M39" s="18" t="s">
        <v>2326</v>
      </c>
      <c r="N39" s="18">
        <v>2026</v>
      </c>
      <c r="O39" s="18" t="s">
        <v>1670</v>
      </c>
      <c r="P39" s="89" t="s">
        <v>2338</v>
      </c>
      <c r="Q39" s="18"/>
      <c r="R39" s="18"/>
      <c r="S39" s="29"/>
      <c r="T39" s="18"/>
      <c r="U39" s="18"/>
      <c r="V39" s="18"/>
      <c r="W39" s="18"/>
      <c r="X39" s="18" t="s">
        <v>2339</v>
      </c>
      <c r="Y39" s="18" t="s">
        <v>2327</v>
      </c>
      <c r="Z39" s="89" t="s">
        <v>2336</v>
      </c>
      <c r="AA39" s="18" t="s">
        <v>2337</v>
      </c>
      <c r="AB39" s="18"/>
      <c r="AC39" s="89" t="s">
        <v>2347</v>
      </c>
      <c r="AD39" s="18" t="s">
        <v>2340</v>
      </c>
      <c r="AE39" s="18"/>
      <c r="AF39" s="18"/>
      <c r="AG39" s="18"/>
      <c r="AH39" s="18"/>
      <c r="AI39" s="24"/>
      <c r="AJ39" s="24"/>
      <c r="AK39" s="24"/>
      <c r="AL39" s="18"/>
      <c r="AM39" s="18"/>
      <c r="AN39" s="25"/>
      <c r="AO39" s="18"/>
      <c r="AP39" s="89" t="s">
        <v>2341</v>
      </c>
      <c r="AQ39" s="18"/>
    </row>
    <row r="40" spans="1:43" ht="36">
      <c r="A40" s="18" t="s">
        <v>2066</v>
      </c>
      <c r="B40" s="45" t="s">
        <v>1216</v>
      </c>
      <c r="C40" s="18"/>
      <c r="D40" s="18"/>
      <c r="E40" s="19" t="s">
        <v>1173</v>
      </c>
      <c r="F40" s="18" t="s">
        <v>240</v>
      </c>
      <c r="G40" s="79" t="s">
        <v>1458</v>
      </c>
      <c r="H40" s="79" t="s">
        <v>2348</v>
      </c>
      <c r="I40" s="46"/>
      <c r="J40" s="57"/>
      <c r="K40" s="57"/>
      <c r="L40" s="57"/>
      <c r="M40" s="82" t="s">
        <v>2351</v>
      </c>
      <c r="N40" s="18">
        <v>2017</v>
      </c>
      <c r="O40" s="18" t="s">
        <v>1670</v>
      </c>
      <c r="P40" s="90" t="s">
        <v>2355</v>
      </c>
      <c r="Q40" s="18"/>
      <c r="R40" s="18"/>
      <c r="S40" s="29"/>
      <c r="T40" s="18"/>
      <c r="U40" s="18"/>
      <c r="V40" s="18"/>
      <c r="W40" s="18"/>
      <c r="X40" s="18" t="s">
        <v>2354</v>
      </c>
      <c r="Y40" s="18" t="s">
        <v>2353</v>
      </c>
      <c r="Z40" s="100" t="s">
        <v>2352</v>
      </c>
      <c r="AA40" s="18" t="s">
        <v>2356</v>
      </c>
      <c r="AB40" s="18"/>
      <c r="AC40" s="89" t="s">
        <v>2357</v>
      </c>
      <c r="AD40" s="18"/>
      <c r="AE40" s="18"/>
      <c r="AF40" s="18"/>
      <c r="AG40" s="18"/>
      <c r="AH40" s="18"/>
      <c r="AI40" s="24"/>
      <c r="AJ40" s="24"/>
      <c r="AK40" s="24"/>
      <c r="AL40" s="18"/>
      <c r="AM40" s="18"/>
      <c r="AN40" s="25"/>
      <c r="AO40" s="18"/>
      <c r="AP40" s="89" t="s">
        <v>2349</v>
      </c>
      <c r="AQ40" s="18"/>
    </row>
    <row r="41" spans="1:43" ht="60">
      <c r="A41" s="18" t="s">
        <v>2067</v>
      </c>
      <c r="B41" s="45" t="s">
        <v>1217</v>
      </c>
      <c r="C41" s="18" t="s">
        <v>202</v>
      </c>
      <c r="D41" s="18" t="s">
        <v>2361</v>
      </c>
      <c r="E41" s="19" t="s">
        <v>1173</v>
      </c>
      <c r="F41" s="18" t="s">
        <v>240</v>
      </c>
      <c r="G41" s="79" t="s">
        <v>1459</v>
      </c>
      <c r="H41" s="79" t="s">
        <v>2542</v>
      </c>
      <c r="I41" s="82" t="s">
        <v>2543</v>
      </c>
      <c r="J41" s="82" t="s">
        <v>2545</v>
      </c>
      <c r="K41" s="82" t="s">
        <v>2546</v>
      </c>
      <c r="L41" s="79" t="s">
        <v>2544</v>
      </c>
      <c r="M41" s="18" t="s">
        <v>2358</v>
      </c>
      <c r="N41" s="18">
        <v>2023</v>
      </c>
      <c r="O41" s="18" t="s">
        <v>2364</v>
      </c>
      <c r="P41" s="89" t="s">
        <v>2363</v>
      </c>
      <c r="Q41" s="18"/>
      <c r="R41" s="18"/>
      <c r="S41" s="29"/>
      <c r="T41" s="18"/>
      <c r="U41" s="18"/>
      <c r="V41" s="18"/>
      <c r="W41" s="18"/>
      <c r="X41" s="18" t="s">
        <v>2365</v>
      </c>
      <c r="Y41" s="18" t="s">
        <v>2359</v>
      </c>
      <c r="Z41" s="100" t="s">
        <v>2360</v>
      </c>
      <c r="AA41" s="18" t="s">
        <v>2362</v>
      </c>
      <c r="AB41" s="18"/>
      <c r="AC41" s="89" t="s">
        <v>2366</v>
      </c>
      <c r="AD41" s="18" t="s">
        <v>1759</v>
      </c>
      <c r="AE41" s="18"/>
      <c r="AF41" s="18"/>
      <c r="AG41" s="18"/>
      <c r="AH41" s="18"/>
      <c r="AI41" s="24"/>
      <c r="AJ41" s="24"/>
      <c r="AK41" s="24"/>
      <c r="AL41" s="18"/>
      <c r="AM41" s="18"/>
      <c r="AN41" s="25"/>
      <c r="AO41" s="18"/>
      <c r="AP41" s="18" t="s">
        <v>2361</v>
      </c>
      <c r="AQ41" s="18"/>
    </row>
    <row r="42" spans="1:43" ht="48">
      <c r="A42" s="18" t="s">
        <v>2068</v>
      </c>
      <c r="B42" s="45" t="s">
        <v>1218</v>
      </c>
      <c r="C42" s="18"/>
      <c r="D42" s="18"/>
      <c r="E42" s="19" t="s">
        <v>1173</v>
      </c>
      <c r="F42" s="18" t="s">
        <v>240</v>
      </c>
      <c r="G42" s="79" t="s">
        <v>1460</v>
      </c>
      <c r="H42" s="79" t="s">
        <v>2367</v>
      </c>
      <c r="I42" s="57"/>
      <c r="J42" s="57"/>
      <c r="K42" s="57"/>
      <c r="L42" s="57"/>
      <c r="M42" s="76" t="s">
        <v>2370</v>
      </c>
      <c r="N42" s="31">
        <v>2022</v>
      </c>
      <c r="O42" s="18" t="s">
        <v>1670</v>
      </c>
      <c r="P42" s="89" t="s">
        <v>2372</v>
      </c>
      <c r="Q42" s="18"/>
      <c r="R42" s="18"/>
      <c r="S42" s="29"/>
      <c r="T42" s="18"/>
      <c r="U42" s="18"/>
      <c r="V42" s="18"/>
      <c r="W42" s="18"/>
      <c r="X42" s="18" t="s">
        <v>2373</v>
      </c>
      <c r="Y42" s="89" t="s">
        <v>2368</v>
      </c>
      <c r="Z42" s="100" t="s">
        <v>2369</v>
      </c>
      <c r="AA42" s="18" t="s">
        <v>2371</v>
      </c>
      <c r="AB42" s="18"/>
      <c r="AC42" s="18" t="s">
        <v>2374</v>
      </c>
      <c r="AD42" s="18" t="s">
        <v>2375</v>
      </c>
      <c r="AE42" s="18"/>
      <c r="AF42" s="18"/>
      <c r="AG42" s="18"/>
      <c r="AH42" s="18"/>
      <c r="AI42" s="24"/>
      <c r="AJ42" s="24"/>
      <c r="AK42" s="24"/>
      <c r="AL42" s="18"/>
      <c r="AM42" s="18"/>
      <c r="AN42" s="25"/>
      <c r="AO42" s="18"/>
      <c r="AP42" s="18"/>
      <c r="AQ42" s="18"/>
    </row>
    <row r="43" spans="1:43" ht="48">
      <c r="A43" s="18" t="s">
        <v>2069</v>
      </c>
      <c r="B43" s="45" t="s">
        <v>1219</v>
      </c>
      <c r="C43" s="18"/>
      <c r="D43" s="18"/>
      <c r="E43" s="19" t="s">
        <v>1173</v>
      </c>
      <c r="F43" s="18" t="s">
        <v>240</v>
      </c>
      <c r="G43" s="79" t="s">
        <v>1461</v>
      </c>
      <c r="H43" s="79" t="s">
        <v>2376</v>
      </c>
      <c r="I43" s="57"/>
      <c r="J43" s="57"/>
      <c r="K43" s="57"/>
      <c r="L43" s="57"/>
      <c r="M43" s="18" t="s">
        <v>2377</v>
      </c>
      <c r="N43" s="18">
        <v>2026</v>
      </c>
      <c r="O43" s="18" t="s">
        <v>1670</v>
      </c>
      <c r="P43" s="89" t="s">
        <v>2378</v>
      </c>
      <c r="Q43" s="18"/>
      <c r="R43" s="18"/>
      <c r="S43" s="29"/>
      <c r="T43" s="18"/>
      <c r="U43" s="18"/>
      <c r="V43" s="18"/>
      <c r="W43" s="18"/>
      <c r="X43" s="18" t="s">
        <v>2380</v>
      </c>
      <c r="Y43" s="18" t="s">
        <v>2381</v>
      </c>
      <c r="Z43" s="18" t="s">
        <v>2382</v>
      </c>
      <c r="AA43" s="18" t="s">
        <v>2379</v>
      </c>
      <c r="AB43" s="18"/>
      <c r="AC43" s="89" t="s">
        <v>2383</v>
      </c>
      <c r="AD43" s="50" t="s">
        <v>2384</v>
      </c>
      <c r="AE43" s="18"/>
      <c r="AF43" s="18"/>
      <c r="AG43" s="18"/>
      <c r="AH43" s="18"/>
      <c r="AI43" s="24"/>
      <c r="AJ43" s="24"/>
      <c r="AK43" s="24"/>
      <c r="AL43" s="18"/>
      <c r="AM43" s="18"/>
      <c r="AN43" s="25"/>
      <c r="AO43" s="18"/>
      <c r="AP43" s="18"/>
      <c r="AQ43" s="18"/>
    </row>
    <row r="44" spans="1:43" ht="36">
      <c r="A44" s="18" t="s">
        <v>2070</v>
      </c>
      <c r="B44" s="45" t="s">
        <v>1220</v>
      </c>
      <c r="C44" s="18"/>
      <c r="D44" s="18"/>
      <c r="E44" s="19" t="s">
        <v>1173</v>
      </c>
      <c r="F44" s="18" t="s">
        <v>240</v>
      </c>
      <c r="G44" s="79" t="s">
        <v>1462</v>
      </c>
      <c r="H44" s="79" t="s">
        <v>2385</v>
      </c>
      <c r="I44" s="57"/>
      <c r="J44" s="57"/>
      <c r="K44" s="57"/>
      <c r="L44" s="57"/>
      <c r="M44" s="18" t="s">
        <v>2386</v>
      </c>
      <c r="N44" s="18">
        <v>2020</v>
      </c>
      <c r="O44" s="18" t="s">
        <v>1670</v>
      </c>
      <c r="P44" s="89" t="s">
        <v>2390</v>
      </c>
      <c r="Q44" s="18"/>
      <c r="R44" s="18"/>
      <c r="S44" s="29"/>
      <c r="T44" s="18"/>
      <c r="U44" s="18"/>
      <c r="V44" s="18"/>
      <c r="W44" s="18"/>
      <c r="X44" s="18"/>
      <c r="Y44" s="18" t="s">
        <v>2387</v>
      </c>
      <c r="Z44" s="89" t="s">
        <v>2391</v>
      </c>
      <c r="AA44" s="111" t="s">
        <v>2388</v>
      </c>
      <c r="AB44" s="18"/>
      <c r="AC44" s="89" t="s">
        <v>2392</v>
      </c>
      <c r="AD44" s="18" t="s">
        <v>2375</v>
      </c>
      <c r="AE44" s="18"/>
      <c r="AF44" s="18"/>
      <c r="AG44" s="18"/>
      <c r="AH44" s="18"/>
      <c r="AI44" s="24"/>
      <c r="AJ44" s="24"/>
      <c r="AK44" s="24"/>
      <c r="AL44" s="18"/>
      <c r="AM44" s="18"/>
      <c r="AN44" s="25"/>
      <c r="AO44" s="18"/>
      <c r="AP44" s="18"/>
      <c r="AQ44" s="18"/>
    </row>
    <row r="45" spans="1:43" ht="36">
      <c r="A45" s="18" t="s">
        <v>2071</v>
      </c>
      <c r="B45" s="45" t="s">
        <v>1221</v>
      </c>
      <c r="C45" s="18" t="s">
        <v>202</v>
      </c>
      <c r="D45" s="18"/>
      <c r="E45" s="19" t="s">
        <v>1173</v>
      </c>
      <c r="F45" s="18" t="s">
        <v>240</v>
      </c>
      <c r="G45" s="79" t="s">
        <v>1463</v>
      </c>
      <c r="H45" s="57" t="s">
        <v>2402</v>
      </c>
      <c r="I45" s="109" t="s">
        <v>2398</v>
      </c>
      <c r="J45" s="109" t="s">
        <v>2400</v>
      </c>
      <c r="K45" s="82" t="s">
        <v>2401</v>
      </c>
      <c r="L45" s="79" t="s">
        <v>2399</v>
      </c>
      <c r="M45" s="18" t="s">
        <v>2393</v>
      </c>
      <c r="N45" s="18">
        <v>2021</v>
      </c>
      <c r="O45" s="18" t="s">
        <v>1670</v>
      </c>
      <c r="P45" s="76" t="s">
        <v>2394</v>
      </c>
      <c r="Q45" s="18"/>
      <c r="R45" s="18"/>
      <c r="S45" s="29"/>
      <c r="T45" s="18"/>
      <c r="U45" s="18"/>
      <c r="V45" s="18"/>
      <c r="W45" s="18"/>
      <c r="X45" s="100" t="s">
        <v>2396</v>
      </c>
      <c r="Y45" s="76"/>
      <c r="Z45" s="100" t="s">
        <v>2410</v>
      </c>
      <c r="AA45" s="111" t="s">
        <v>2395</v>
      </c>
      <c r="AB45" s="18"/>
      <c r="AC45" s="89" t="s">
        <v>2397</v>
      </c>
      <c r="AD45" s="18" t="s">
        <v>2340</v>
      </c>
      <c r="AE45" s="18"/>
      <c r="AF45" s="18"/>
      <c r="AG45" s="18"/>
      <c r="AH45" s="18"/>
      <c r="AI45" s="24"/>
      <c r="AJ45" s="24"/>
      <c r="AK45" s="24"/>
      <c r="AL45" s="18"/>
      <c r="AM45" s="18"/>
      <c r="AN45" s="25"/>
      <c r="AO45" s="18"/>
      <c r="AP45" s="18"/>
      <c r="AQ45" s="18"/>
    </row>
    <row r="46" spans="1:43" ht="36">
      <c r="A46" s="18" t="s">
        <v>2072</v>
      </c>
      <c r="B46" s="45" t="s">
        <v>1222</v>
      </c>
      <c r="C46" s="18"/>
      <c r="D46" s="18"/>
      <c r="E46" s="19" t="s">
        <v>1173</v>
      </c>
      <c r="F46" s="18" t="s">
        <v>240</v>
      </c>
      <c r="G46" s="74" t="s">
        <v>1464</v>
      </c>
      <c r="H46" s="57" t="s">
        <v>2418</v>
      </c>
      <c r="I46" s="57"/>
      <c r="J46" s="57"/>
      <c r="K46" s="57"/>
      <c r="L46" s="57"/>
      <c r="M46" s="18" t="s">
        <v>2417</v>
      </c>
      <c r="N46" s="18">
        <v>2015</v>
      </c>
      <c r="O46" s="18" t="s">
        <v>1670</v>
      </c>
      <c r="P46" s="89" t="s">
        <v>2419</v>
      </c>
      <c r="Q46" s="18"/>
      <c r="R46" s="18"/>
      <c r="S46" s="29"/>
      <c r="T46" s="18"/>
      <c r="U46" s="18"/>
      <c r="V46" s="18"/>
      <c r="W46" s="18"/>
      <c r="X46" s="18" t="s">
        <v>2421</v>
      </c>
      <c r="Y46" s="18" t="s">
        <v>2422</v>
      </c>
      <c r="Z46" s="89" t="s">
        <v>2423</v>
      </c>
      <c r="AA46" s="18" t="s">
        <v>2420</v>
      </c>
      <c r="AB46" s="18"/>
      <c r="AC46" s="18"/>
      <c r="AD46" s="18"/>
      <c r="AE46" s="18"/>
      <c r="AF46" s="18"/>
      <c r="AG46" s="18"/>
      <c r="AH46" s="18"/>
      <c r="AI46" s="24"/>
      <c r="AJ46" s="24"/>
      <c r="AK46" s="24"/>
      <c r="AL46" s="18"/>
      <c r="AM46" s="18"/>
      <c r="AN46" s="25"/>
      <c r="AO46" s="18"/>
      <c r="AP46" s="18"/>
      <c r="AQ46" s="18"/>
    </row>
    <row r="47" spans="1:43" ht="48">
      <c r="A47" s="18" t="s">
        <v>2073</v>
      </c>
      <c r="B47" s="45" t="s">
        <v>1223</v>
      </c>
      <c r="C47" s="18" t="s">
        <v>202</v>
      </c>
      <c r="D47" s="18" t="s">
        <v>2341</v>
      </c>
      <c r="E47" s="19" t="s">
        <v>1173</v>
      </c>
      <c r="F47" s="18" t="s">
        <v>240</v>
      </c>
      <c r="G47" s="79" t="s">
        <v>1465</v>
      </c>
      <c r="H47" s="79" t="s">
        <v>2342</v>
      </c>
      <c r="I47" s="82" t="s">
        <v>2343</v>
      </c>
      <c r="J47" s="82" t="s">
        <v>2344</v>
      </c>
      <c r="K47" s="82" t="s">
        <v>2346</v>
      </c>
      <c r="L47" s="79" t="s">
        <v>2345</v>
      </c>
      <c r="M47" s="18" t="s">
        <v>2425</v>
      </c>
      <c r="N47" s="18">
        <v>2026</v>
      </c>
      <c r="O47" s="18" t="s">
        <v>1670</v>
      </c>
      <c r="P47" s="89" t="s">
        <v>2426</v>
      </c>
      <c r="Q47" s="18"/>
      <c r="R47" s="18"/>
      <c r="S47" s="29"/>
      <c r="T47" s="18"/>
      <c r="U47" s="18"/>
      <c r="V47" s="18"/>
      <c r="W47" s="18"/>
      <c r="X47" s="18" t="s">
        <v>2427</v>
      </c>
      <c r="Y47" s="90" t="s">
        <v>2429</v>
      </c>
      <c r="Z47" s="100" t="s">
        <v>2428</v>
      </c>
      <c r="AA47" s="18" t="s">
        <v>2430</v>
      </c>
      <c r="AB47" s="18"/>
      <c r="AC47" s="89" t="s">
        <v>2424</v>
      </c>
      <c r="AD47" s="18" t="s">
        <v>2340</v>
      </c>
      <c r="AE47" s="18"/>
      <c r="AF47" s="18"/>
      <c r="AG47" s="18"/>
      <c r="AH47" s="18"/>
      <c r="AI47" s="24"/>
      <c r="AJ47" s="24"/>
      <c r="AK47" s="24"/>
      <c r="AL47" s="18"/>
      <c r="AM47" s="18"/>
      <c r="AN47" s="25"/>
      <c r="AO47" s="18"/>
      <c r="AP47" s="18"/>
      <c r="AQ47" s="18"/>
    </row>
    <row r="48" spans="1:43" ht="48">
      <c r="A48" s="18" t="s">
        <v>2074</v>
      </c>
      <c r="B48" s="45" t="s">
        <v>1224</v>
      </c>
      <c r="C48" s="18"/>
      <c r="D48" s="18"/>
      <c r="E48" s="19" t="s">
        <v>1173</v>
      </c>
      <c r="F48" s="18" t="s">
        <v>240</v>
      </c>
      <c r="G48" s="74" t="s">
        <v>1466</v>
      </c>
      <c r="H48" s="79" t="s">
        <v>2431</v>
      </c>
      <c r="I48" s="82" t="s">
        <v>2432</v>
      </c>
      <c r="J48" s="82" t="s">
        <v>2433</v>
      </c>
      <c r="K48" s="82" t="s">
        <v>2435</v>
      </c>
      <c r="L48" s="79" t="s">
        <v>2434</v>
      </c>
      <c r="M48" s="109" t="s">
        <v>2446</v>
      </c>
      <c r="N48" s="31">
        <v>2023</v>
      </c>
      <c r="O48" s="31" t="s">
        <v>1670</v>
      </c>
      <c r="P48" s="96" t="s">
        <v>2443</v>
      </c>
      <c r="R48" s="30"/>
      <c r="S48" s="31"/>
      <c r="U48" s="31"/>
      <c r="V48" s="31"/>
      <c r="X48" s="31" t="s">
        <v>2442</v>
      </c>
      <c r="Y48" s="112" t="s">
        <v>2444</v>
      </c>
      <c r="Z48" s="100" t="s">
        <v>2445</v>
      </c>
      <c r="AA48" s="31" t="s">
        <v>2447</v>
      </c>
      <c r="AB48" s="18"/>
      <c r="AC48" s="18"/>
      <c r="AD48" s="18"/>
      <c r="AE48" s="18"/>
      <c r="AF48" s="18"/>
      <c r="AG48" s="18"/>
      <c r="AH48" s="18"/>
      <c r="AI48" s="24"/>
      <c r="AJ48" s="24"/>
      <c r="AK48" s="24"/>
      <c r="AL48" s="18"/>
      <c r="AM48" s="18"/>
      <c r="AN48" s="25"/>
      <c r="AO48" s="18"/>
      <c r="AP48" s="18"/>
      <c r="AQ48" s="18"/>
    </row>
    <row r="49" spans="1:43" ht="72">
      <c r="A49" s="18" t="s">
        <v>2075</v>
      </c>
      <c r="B49" s="45" t="s">
        <v>1225</v>
      </c>
      <c r="C49" s="18"/>
      <c r="D49" s="18"/>
      <c r="E49" s="19" t="s">
        <v>1173</v>
      </c>
      <c r="F49" s="18" t="s">
        <v>240</v>
      </c>
      <c r="G49" s="74" t="s">
        <v>1467</v>
      </c>
      <c r="H49" s="79" t="s">
        <v>2448</v>
      </c>
      <c r="I49" s="57"/>
      <c r="J49" s="57"/>
      <c r="K49" s="57"/>
      <c r="L49" s="57"/>
      <c r="M49" s="18" t="s">
        <v>2449</v>
      </c>
      <c r="N49" s="18">
        <v>2007</v>
      </c>
      <c r="O49" s="18" t="s">
        <v>1670</v>
      </c>
      <c r="P49" s="89" t="s">
        <v>2452</v>
      </c>
      <c r="Q49" s="18"/>
      <c r="R49" s="18"/>
      <c r="S49" s="29"/>
      <c r="T49" s="18"/>
      <c r="U49" s="18"/>
      <c r="V49" s="18"/>
      <c r="W49" s="18"/>
      <c r="X49" s="18" t="s">
        <v>2453</v>
      </c>
      <c r="Y49" s="18" t="s">
        <v>2450</v>
      </c>
      <c r="Z49" s="89" t="s">
        <v>2451</v>
      </c>
      <c r="AA49" s="18" t="s">
        <v>2454</v>
      </c>
      <c r="AB49" s="18"/>
      <c r="AC49" s="89" t="s">
        <v>2455</v>
      </c>
      <c r="AD49" s="18" t="s">
        <v>2456</v>
      </c>
      <c r="AE49" s="18"/>
      <c r="AF49" s="18"/>
      <c r="AG49" s="18"/>
      <c r="AH49" s="18"/>
      <c r="AI49" s="24"/>
      <c r="AJ49" s="24"/>
      <c r="AK49" s="24"/>
      <c r="AL49" s="18"/>
      <c r="AM49" s="18"/>
      <c r="AN49" s="25"/>
      <c r="AO49" s="18"/>
      <c r="AP49" s="18"/>
      <c r="AQ49" s="18"/>
    </row>
    <row r="50" spans="1:43" ht="48">
      <c r="A50" s="18" t="s">
        <v>2076</v>
      </c>
      <c r="B50" s="45" t="s">
        <v>1226</v>
      </c>
      <c r="C50" s="18"/>
      <c r="D50" s="18"/>
      <c r="E50" s="19" t="s">
        <v>1173</v>
      </c>
      <c r="F50" s="18" t="s">
        <v>240</v>
      </c>
      <c r="G50" s="74" t="s">
        <v>1468</v>
      </c>
      <c r="H50" s="57" t="s">
        <v>2464</v>
      </c>
      <c r="I50" s="57"/>
      <c r="J50" s="57"/>
      <c r="K50" s="57"/>
      <c r="L50" s="57"/>
      <c r="M50" s="18" t="s">
        <v>2458</v>
      </c>
      <c r="N50" s="18">
        <v>2021</v>
      </c>
      <c r="O50" s="18" t="s">
        <v>1670</v>
      </c>
      <c r="P50" s="89" t="s">
        <v>2461</v>
      </c>
      <c r="Q50" s="18"/>
      <c r="R50" s="18"/>
      <c r="S50" s="29"/>
      <c r="T50" s="18"/>
      <c r="U50" s="18"/>
      <c r="V50" s="18"/>
      <c r="W50" s="18"/>
      <c r="X50" s="18" t="s">
        <v>2462</v>
      </c>
      <c r="Y50" s="18" t="s">
        <v>2459</v>
      </c>
      <c r="Z50" s="89" t="s">
        <v>2460</v>
      </c>
      <c r="AA50" s="111" t="s">
        <v>2463</v>
      </c>
      <c r="AB50" s="18"/>
      <c r="AC50" s="89" t="s">
        <v>2457</v>
      </c>
      <c r="AD50" s="18" t="s">
        <v>1727</v>
      </c>
      <c r="AE50" s="18"/>
      <c r="AF50" s="18"/>
      <c r="AG50" s="18"/>
      <c r="AH50" s="18"/>
      <c r="AI50" s="24"/>
      <c r="AJ50" s="24"/>
      <c r="AK50" s="24"/>
      <c r="AL50" s="18"/>
      <c r="AM50" s="18"/>
      <c r="AN50" s="25"/>
      <c r="AO50" s="18"/>
      <c r="AP50" s="18"/>
      <c r="AQ50" s="18"/>
    </row>
    <row r="51" spans="1:43" ht="60">
      <c r="A51" s="18" t="s">
        <v>2077</v>
      </c>
      <c r="B51" s="45" t="s">
        <v>1227</v>
      </c>
      <c r="C51" s="18"/>
      <c r="D51" s="18"/>
      <c r="E51" s="19" t="s">
        <v>1173</v>
      </c>
      <c r="F51" s="18" t="s">
        <v>240</v>
      </c>
      <c r="G51" s="74" t="s">
        <v>1469</v>
      </c>
      <c r="H51" s="79" t="s">
        <v>2465</v>
      </c>
      <c r="I51" s="57"/>
      <c r="J51" s="57"/>
      <c r="K51" s="57"/>
      <c r="L51" s="57"/>
      <c r="M51" s="18" t="s">
        <v>2466</v>
      </c>
      <c r="N51" s="18">
        <v>2025</v>
      </c>
      <c r="O51" s="18" t="s">
        <v>1670</v>
      </c>
      <c r="P51" s="89" t="s">
        <v>2467</v>
      </c>
      <c r="Q51" s="18"/>
      <c r="R51" s="18"/>
      <c r="S51" s="29"/>
      <c r="T51" s="18"/>
      <c r="U51" s="18"/>
      <c r="V51" s="18"/>
      <c r="W51" s="18"/>
      <c r="X51" s="18" t="s">
        <v>2471</v>
      </c>
      <c r="Y51" s="18" t="s">
        <v>2469</v>
      </c>
      <c r="Z51" s="89" t="s">
        <v>2470</v>
      </c>
      <c r="AA51" s="18" t="s">
        <v>2468</v>
      </c>
      <c r="AB51" s="18"/>
      <c r="AC51" s="18"/>
      <c r="AD51" s="18"/>
      <c r="AE51" s="18"/>
      <c r="AF51" s="18"/>
      <c r="AG51" s="18"/>
      <c r="AH51" s="18"/>
      <c r="AI51" s="24"/>
      <c r="AJ51" s="24"/>
      <c r="AK51" s="24"/>
      <c r="AL51" s="18"/>
      <c r="AM51" s="18"/>
      <c r="AN51" s="25"/>
      <c r="AO51" s="18"/>
      <c r="AP51" s="18"/>
      <c r="AQ51" s="18"/>
    </row>
    <row r="52" spans="1:43" ht="60">
      <c r="A52" s="18" t="s">
        <v>2078</v>
      </c>
      <c r="B52" s="45" t="s">
        <v>1228</v>
      </c>
      <c r="C52" s="18"/>
      <c r="D52" s="18" t="s">
        <v>2499</v>
      </c>
      <c r="E52" s="19" t="s">
        <v>1173</v>
      </c>
      <c r="F52" s="18" t="s">
        <v>240</v>
      </c>
      <c r="G52" s="79" t="s">
        <v>1470</v>
      </c>
      <c r="H52" s="15" t="s">
        <v>2844</v>
      </c>
      <c r="I52" s="82" t="s">
        <v>2472</v>
      </c>
      <c r="J52" s="57" t="s">
        <v>2477</v>
      </c>
      <c r="K52" s="82" t="s">
        <v>2478</v>
      </c>
      <c r="L52" s="106" t="s">
        <v>2479</v>
      </c>
      <c r="M52" s="18" t="s">
        <v>2473</v>
      </c>
      <c r="N52" s="18">
        <v>2023</v>
      </c>
      <c r="O52" s="18" t="s">
        <v>1670</v>
      </c>
      <c r="P52" s="89" t="s">
        <v>2480</v>
      </c>
      <c r="Q52" s="18"/>
      <c r="R52" s="18"/>
      <c r="S52" s="29"/>
      <c r="T52" s="18"/>
      <c r="U52" s="18"/>
      <c r="V52" s="18"/>
      <c r="W52" s="18"/>
      <c r="X52" s="18" t="s">
        <v>2481</v>
      </c>
      <c r="Y52" s="18"/>
      <c r="Z52" s="18"/>
      <c r="AA52" s="18" t="s">
        <v>2482</v>
      </c>
      <c r="AB52" s="18"/>
      <c r="AC52" s="18" t="s">
        <v>2483</v>
      </c>
      <c r="AD52" s="18" t="s">
        <v>2484</v>
      </c>
      <c r="AE52" s="18"/>
      <c r="AF52" s="18"/>
      <c r="AG52" s="18"/>
      <c r="AH52" s="18"/>
      <c r="AI52" s="24"/>
      <c r="AJ52" s="24"/>
      <c r="AK52" s="24"/>
      <c r="AL52" s="18"/>
      <c r="AM52" s="18"/>
      <c r="AN52" s="25"/>
      <c r="AO52" s="18"/>
      <c r="AP52" s="18"/>
      <c r="AQ52" s="18"/>
    </row>
    <row r="53" spans="1:43" ht="48.75" thickBot="1">
      <c r="A53" s="18" t="s">
        <v>2079</v>
      </c>
      <c r="B53" s="45" t="s">
        <v>1229</v>
      </c>
      <c r="C53" s="18" t="s">
        <v>202</v>
      </c>
      <c r="D53" s="18" t="s">
        <v>2501</v>
      </c>
      <c r="E53" s="19" t="s">
        <v>1173</v>
      </c>
      <c r="F53" s="18" t="s">
        <v>240</v>
      </c>
      <c r="G53" s="79" t="s">
        <v>1471</v>
      </c>
      <c r="H53" s="79" t="s">
        <v>2509</v>
      </c>
      <c r="I53" s="82" t="s">
        <v>2508</v>
      </c>
      <c r="J53" s="107" t="s">
        <v>2515</v>
      </c>
      <c r="K53" s="82" t="s">
        <v>2513</v>
      </c>
      <c r="L53" s="79" t="s">
        <v>2514</v>
      </c>
      <c r="M53" s="18" t="s">
        <v>2507</v>
      </c>
      <c r="N53" s="18">
        <v>2022</v>
      </c>
      <c r="O53" s="18" t="s">
        <v>1670</v>
      </c>
      <c r="P53" s="100" t="s">
        <v>2505</v>
      </c>
      <c r="Q53" s="18"/>
      <c r="R53" s="18"/>
      <c r="S53" s="29"/>
      <c r="T53" s="18"/>
      <c r="U53" s="18"/>
      <c r="V53" s="18"/>
      <c r="W53" s="18"/>
      <c r="X53" s="18" t="s">
        <v>2506</v>
      </c>
      <c r="Y53" s="18"/>
      <c r="Z53" s="18"/>
      <c r="AA53" s="18" t="s">
        <v>2915</v>
      </c>
      <c r="AB53" s="18"/>
      <c r="AC53" s="89" t="s">
        <v>2512</v>
      </c>
      <c r="AD53" s="18" t="s">
        <v>2008</v>
      </c>
      <c r="AE53" s="18"/>
      <c r="AF53" s="18"/>
      <c r="AG53" s="18"/>
      <c r="AH53" s="18"/>
      <c r="AI53" s="24"/>
      <c r="AJ53" s="24"/>
      <c r="AK53" s="24"/>
      <c r="AL53" s="18"/>
      <c r="AM53" s="18"/>
      <c r="AN53" s="25"/>
      <c r="AO53" s="18"/>
      <c r="AP53" s="18"/>
      <c r="AQ53" s="18"/>
    </row>
    <row r="54" spans="1:43" ht="48">
      <c r="A54" s="18" t="s">
        <v>2080</v>
      </c>
      <c r="B54" s="45" t="s">
        <v>1230</v>
      </c>
      <c r="C54" s="18" t="s">
        <v>202</v>
      </c>
      <c r="D54" s="18" t="s">
        <v>2486</v>
      </c>
      <c r="E54" s="19" t="s">
        <v>1173</v>
      </c>
      <c r="F54" s="18" t="s">
        <v>240</v>
      </c>
      <c r="G54" s="79" t="s">
        <v>1472</v>
      </c>
      <c r="H54" s="79" t="s">
        <v>2518</v>
      </c>
      <c r="I54" s="82" t="s">
        <v>2519</v>
      </c>
      <c r="J54" s="80" t="s">
        <v>2521</v>
      </c>
      <c r="K54" s="82" t="s">
        <v>2522</v>
      </c>
      <c r="L54" s="79" t="s">
        <v>2520</v>
      </c>
      <c r="M54" s="18" t="s">
        <v>2523</v>
      </c>
      <c r="N54" s="18">
        <v>2021</v>
      </c>
      <c r="O54" s="18" t="s">
        <v>1670</v>
      </c>
      <c r="P54" s="89" t="s">
        <v>2527</v>
      </c>
      <c r="Q54" s="18"/>
      <c r="R54" s="18"/>
      <c r="S54" s="29"/>
      <c r="T54" s="18"/>
      <c r="U54" s="18"/>
      <c r="V54" s="18"/>
      <c r="W54" s="18"/>
      <c r="X54" s="18"/>
      <c r="Y54" s="18" t="s">
        <v>2524</v>
      </c>
      <c r="Z54" s="89" t="s">
        <v>2525</v>
      </c>
      <c r="AA54" s="18" t="s">
        <v>2526</v>
      </c>
      <c r="AB54" s="18"/>
      <c r="AC54" s="89" t="s">
        <v>2528</v>
      </c>
      <c r="AD54" s="18"/>
      <c r="AE54" s="18"/>
      <c r="AF54" s="18"/>
      <c r="AG54" s="18"/>
      <c r="AH54" s="18"/>
      <c r="AI54" s="24"/>
      <c r="AJ54" s="24"/>
      <c r="AK54" s="24"/>
      <c r="AL54" s="18"/>
      <c r="AM54" s="18"/>
      <c r="AN54" s="25"/>
      <c r="AO54" s="18"/>
      <c r="AP54" s="18"/>
      <c r="AQ54" s="18"/>
    </row>
    <row r="55" spans="1:43" ht="60">
      <c r="A55" s="18" t="s">
        <v>2081</v>
      </c>
      <c r="B55" s="45" t="s">
        <v>1231</v>
      </c>
      <c r="C55" s="18"/>
      <c r="D55" s="18" t="s">
        <v>2361</v>
      </c>
      <c r="E55" s="19" t="s">
        <v>1173</v>
      </c>
      <c r="F55" s="18" t="s">
        <v>240</v>
      </c>
      <c r="G55" s="79" t="s">
        <v>1473</v>
      </c>
      <c r="H55" s="79" t="s">
        <v>2542</v>
      </c>
      <c r="I55" s="82" t="s">
        <v>2543</v>
      </c>
      <c r="J55" s="82" t="s">
        <v>2545</v>
      </c>
      <c r="K55" s="82" t="s">
        <v>2546</v>
      </c>
      <c r="L55" s="79" t="s">
        <v>2544</v>
      </c>
      <c r="M55" s="17" t="s">
        <v>2547</v>
      </c>
      <c r="N55" s="31">
        <v>2024</v>
      </c>
      <c r="O55" s="31" t="s">
        <v>1670</v>
      </c>
      <c r="P55" s="89" t="s">
        <v>2550</v>
      </c>
      <c r="Q55" s="18"/>
      <c r="R55" s="18"/>
      <c r="S55" s="29"/>
      <c r="T55" s="18"/>
      <c r="U55" s="18"/>
      <c r="V55" s="18"/>
      <c r="W55" s="18"/>
      <c r="X55" s="18" t="s">
        <v>2551</v>
      </c>
      <c r="Y55" s="18" t="s">
        <v>2553</v>
      </c>
      <c r="Z55" s="89" t="s">
        <v>2552</v>
      </c>
      <c r="AA55" s="18" t="s">
        <v>2554</v>
      </c>
      <c r="AB55" s="18"/>
      <c r="AC55" s="18"/>
      <c r="AD55" s="18"/>
      <c r="AE55" s="18"/>
      <c r="AF55" s="18"/>
      <c r="AG55" s="18"/>
      <c r="AH55" s="18"/>
      <c r="AI55" s="24"/>
      <c r="AJ55" s="24"/>
      <c r="AK55" s="24"/>
      <c r="AL55" s="18"/>
      <c r="AM55" s="18"/>
      <c r="AN55" s="25"/>
      <c r="AO55" s="18"/>
      <c r="AP55" s="18"/>
      <c r="AQ55" s="18"/>
    </row>
    <row r="56" spans="1:43" ht="42.75">
      <c r="A56" s="18" t="s">
        <v>2082</v>
      </c>
      <c r="B56" s="45" t="s">
        <v>1232</v>
      </c>
      <c r="C56" s="18"/>
      <c r="D56" s="18"/>
      <c r="E56" s="19" t="s">
        <v>1173</v>
      </c>
      <c r="F56" s="18" t="s">
        <v>240</v>
      </c>
      <c r="G56" s="15" t="s">
        <v>1474</v>
      </c>
      <c r="H56" s="15" t="s">
        <v>2565</v>
      </c>
      <c r="I56" s="57"/>
      <c r="J56" s="57"/>
      <c r="K56" s="57"/>
      <c r="L56" s="57"/>
      <c r="M56" s="18" t="s">
        <v>2566</v>
      </c>
      <c r="N56" s="18">
        <v>2024</v>
      </c>
      <c r="O56" s="18" t="s">
        <v>1670</v>
      </c>
      <c r="P56" s="18" t="s">
        <v>2567</v>
      </c>
      <c r="Q56" s="18"/>
      <c r="R56" s="18"/>
      <c r="S56" s="29"/>
      <c r="T56" s="18"/>
      <c r="U56" s="18"/>
      <c r="V56" s="18"/>
      <c r="W56" s="18"/>
      <c r="X56" s="18" t="s">
        <v>2568</v>
      </c>
      <c r="Y56" s="18"/>
      <c r="Z56" s="18"/>
      <c r="AA56" s="18" t="s">
        <v>2569</v>
      </c>
      <c r="AB56" s="18"/>
      <c r="AC56" s="77" t="s">
        <v>2570</v>
      </c>
      <c r="AD56" s="18" t="s">
        <v>1772</v>
      </c>
      <c r="AE56" s="18"/>
      <c r="AF56" s="18"/>
      <c r="AG56" s="18"/>
      <c r="AH56" s="18"/>
      <c r="AI56" s="24"/>
      <c r="AJ56" s="24"/>
      <c r="AK56" s="24"/>
      <c r="AL56" s="18"/>
      <c r="AM56" s="18"/>
      <c r="AN56" s="25"/>
      <c r="AO56" s="18"/>
      <c r="AP56" s="18"/>
      <c r="AQ56" s="18"/>
    </row>
    <row r="57" spans="1:43" ht="60">
      <c r="A57" s="18" t="s">
        <v>2083</v>
      </c>
      <c r="B57" s="45" t="s">
        <v>1233</v>
      </c>
      <c r="C57" s="18" t="s">
        <v>202</v>
      </c>
      <c r="D57" s="18"/>
      <c r="E57" s="19" t="s">
        <v>1173</v>
      </c>
      <c r="F57" s="18" t="s">
        <v>240</v>
      </c>
      <c r="G57" s="74" t="s">
        <v>1475</v>
      </c>
      <c r="H57" s="57" t="s">
        <v>2402</v>
      </c>
      <c r="I57" s="109" t="s">
        <v>2398</v>
      </c>
      <c r="J57" s="109" t="s">
        <v>2400</v>
      </c>
      <c r="K57" s="82" t="s">
        <v>2401</v>
      </c>
      <c r="L57" s="79" t="s">
        <v>2399</v>
      </c>
      <c r="M57" s="18" t="s">
        <v>2411</v>
      </c>
      <c r="N57" s="18">
        <v>2024</v>
      </c>
      <c r="O57" s="18" t="s">
        <v>1670</v>
      </c>
      <c r="P57" s="18" t="s">
        <v>2414</v>
      </c>
      <c r="Q57" s="18"/>
      <c r="R57" s="18"/>
      <c r="S57" s="29"/>
      <c r="T57" s="18"/>
      <c r="U57" s="18"/>
      <c r="V57" s="18"/>
      <c r="W57" s="18"/>
      <c r="X57" s="110" t="s">
        <v>2412</v>
      </c>
      <c r="Y57" s="18" t="s">
        <v>2413</v>
      </c>
      <c r="Z57" s="100" t="s">
        <v>2416</v>
      </c>
      <c r="AA57" s="18" t="s">
        <v>2415</v>
      </c>
      <c r="AB57" s="18"/>
      <c r="AC57" s="89" t="s">
        <v>2397</v>
      </c>
      <c r="AD57" s="18" t="s">
        <v>2340</v>
      </c>
      <c r="AE57" s="18"/>
      <c r="AF57" s="18"/>
      <c r="AG57" s="18"/>
      <c r="AH57" s="18"/>
      <c r="AI57" s="24"/>
      <c r="AJ57" s="24"/>
      <c r="AK57" s="24"/>
      <c r="AL57" s="18"/>
      <c r="AM57" s="18"/>
      <c r="AN57" s="25"/>
      <c r="AO57" s="18"/>
      <c r="AP57" s="18"/>
      <c r="AQ57" s="18"/>
    </row>
    <row r="58" spans="1:43" ht="48">
      <c r="A58" s="18" t="s">
        <v>2084</v>
      </c>
      <c r="B58" s="45" t="s">
        <v>1234</v>
      </c>
      <c r="C58" s="18"/>
      <c r="D58" s="18"/>
      <c r="E58" s="19" t="s">
        <v>1173</v>
      </c>
      <c r="F58" s="18" t="s">
        <v>240</v>
      </c>
      <c r="G58" s="15" t="s">
        <v>1476</v>
      </c>
      <c r="H58" s="15" t="s">
        <v>2572</v>
      </c>
      <c r="I58" s="57"/>
      <c r="J58" s="57"/>
      <c r="K58" s="57"/>
      <c r="L58" s="57"/>
      <c r="M58" s="18" t="s">
        <v>2571</v>
      </c>
      <c r="N58" s="18">
        <v>2026</v>
      </c>
      <c r="O58" s="18" t="s">
        <v>1670</v>
      </c>
      <c r="P58" s="77" t="s">
        <v>2573</v>
      </c>
      <c r="Q58" s="18"/>
      <c r="R58" s="18"/>
      <c r="S58" s="29"/>
      <c r="T58" s="18"/>
      <c r="U58" s="18"/>
      <c r="V58" s="18"/>
      <c r="W58" s="18"/>
      <c r="X58" s="18" t="s">
        <v>2859</v>
      </c>
      <c r="Y58" s="18" t="s">
        <v>2860</v>
      </c>
      <c r="Z58" s="77" t="s">
        <v>2861</v>
      </c>
      <c r="AA58" s="18" t="s">
        <v>2574</v>
      </c>
      <c r="AB58" s="18"/>
      <c r="AC58" s="77" t="s">
        <v>2575</v>
      </c>
      <c r="AD58" s="18" t="s">
        <v>2456</v>
      </c>
      <c r="AE58" s="18"/>
      <c r="AF58" s="18"/>
      <c r="AG58" s="18"/>
      <c r="AH58" s="18"/>
      <c r="AI58" s="24"/>
      <c r="AJ58" s="24"/>
      <c r="AK58" s="24"/>
      <c r="AL58" s="18"/>
      <c r="AM58" s="18"/>
      <c r="AN58" s="25"/>
      <c r="AO58" s="18"/>
      <c r="AP58" s="18"/>
      <c r="AQ58" s="18"/>
    </row>
    <row r="59" spans="1:43" ht="72">
      <c r="A59" s="18" t="s">
        <v>2085</v>
      </c>
      <c r="B59" s="45" t="s">
        <v>1235</v>
      </c>
      <c r="C59" s="18"/>
      <c r="D59" s="18"/>
      <c r="E59" s="19" t="s">
        <v>1173</v>
      </c>
      <c r="F59" s="18" t="s">
        <v>240</v>
      </c>
      <c r="G59" s="15" t="s">
        <v>1477</v>
      </c>
      <c r="H59" s="57" t="s">
        <v>2581</v>
      </c>
      <c r="I59" s="57"/>
      <c r="J59" s="57"/>
      <c r="K59" s="57"/>
      <c r="L59" s="57"/>
      <c r="M59" s="18" t="s">
        <v>2576</v>
      </c>
      <c r="N59" s="18">
        <v>2025</v>
      </c>
      <c r="O59" s="18" t="s">
        <v>1670</v>
      </c>
      <c r="P59" s="77" t="s">
        <v>2862</v>
      </c>
      <c r="Q59" s="18"/>
      <c r="R59" s="18"/>
      <c r="S59" s="29"/>
      <c r="T59" s="18"/>
      <c r="U59" s="18"/>
      <c r="V59" s="18"/>
      <c r="W59" s="18"/>
      <c r="X59" s="31" t="s">
        <v>2863</v>
      </c>
      <c r="Y59" s="18" t="s">
        <v>2578</v>
      </c>
      <c r="Z59" s="77" t="s">
        <v>2579</v>
      </c>
      <c r="AA59" s="18" t="s">
        <v>2577</v>
      </c>
      <c r="AB59" s="18"/>
      <c r="AC59" s="18"/>
      <c r="AD59" s="18"/>
      <c r="AE59" s="18"/>
      <c r="AF59" s="18"/>
      <c r="AG59" s="18"/>
      <c r="AH59" s="18"/>
      <c r="AI59" s="24"/>
      <c r="AJ59" s="24"/>
      <c r="AK59" s="24"/>
      <c r="AL59" s="18"/>
      <c r="AM59" s="18"/>
      <c r="AN59" s="25"/>
      <c r="AO59" s="18"/>
      <c r="AP59" s="18"/>
      <c r="AQ59" s="18"/>
    </row>
    <row r="60" spans="1:43" ht="48">
      <c r="A60" s="18" t="s">
        <v>2086</v>
      </c>
      <c r="B60" s="45" t="s">
        <v>1236</v>
      </c>
      <c r="C60" s="18"/>
      <c r="D60" s="18"/>
      <c r="E60" s="19" t="s">
        <v>1173</v>
      </c>
      <c r="F60" s="18" t="s">
        <v>240</v>
      </c>
      <c r="G60" s="74" t="s">
        <v>1478</v>
      </c>
      <c r="H60" s="15" t="s">
        <v>2580</v>
      </c>
      <c r="I60" s="57"/>
      <c r="J60" s="57"/>
      <c r="K60" s="57"/>
      <c r="L60" s="57"/>
      <c r="M60" s="18" t="s">
        <v>2582</v>
      </c>
      <c r="N60" s="18">
        <v>2015</v>
      </c>
      <c r="O60" s="18" t="s">
        <v>1670</v>
      </c>
      <c r="P60" s="77" t="s">
        <v>2584</v>
      </c>
      <c r="Q60" s="18"/>
      <c r="R60" s="18"/>
      <c r="S60" s="29"/>
      <c r="T60" s="18"/>
      <c r="U60" s="18"/>
      <c r="V60" s="18"/>
      <c r="W60" s="18"/>
      <c r="X60" s="18" t="s">
        <v>2587</v>
      </c>
      <c r="Y60" s="18" t="s">
        <v>2586</v>
      </c>
      <c r="Z60" t="s">
        <v>2588</v>
      </c>
      <c r="AA60" s="18" t="s">
        <v>2585</v>
      </c>
      <c r="AB60" s="18"/>
      <c r="AC60" s="18"/>
      <c r="AD60" s="18"/>
      <c r="AE60" s="18"/>
      <c r="AF60" s="18"/>
      <c r="AG60" s="18"/>
      <c r="AH60" s="18"/>
      <c r="AI60" s="24"/>
      <c r="AJ60" s="24"/>
      <c r="AK60" s="24"/>
      <c r="AL60" s="18"/>
      <c r="AM60" s="18"/>
      <c r="AN60" s="25"/>
      <c r="AO60" s="18"/>
      <c r="AP60" s="18" t="s">
        <v>2583</v>
      </c>
      <c r="AQ60" s="18"/>
    </row>
    <row r="61" spans="1:43" ht="71.25">
      <c r="A61" s="18" t="s">
        <v>2087</v>
      </c>
      <c r="B61" s="45" t="s">
        <v>1237</v>
      </c>
      <c r="C61" s="18"/>
      <c r="D61" s="18"/>
      <c r="E61" s="19" t="s">
        <v>1173</v>
      </c>
      <c r="F61" s="18" t="s">
        <v>240</v>
      </c>
      <c r="G61" s="15" t="s">
        <v>1479</v>
      </c>
      <c r="H61" s="15" t="s">
        <v>2589</v>
      </c>
      <c r="I61" s="57"/>
      <c r="J61" s="57"/>
      <c r="K61" s="57"/>
      <c r="L61" s="57"/>
      <c r="M61" s="18" t="s">
        <v>2590</v>
      </c>
      <c r="N61" s="18">
        <v>2018</v>
      </c>
      <c r="O61" s="18" t="s">
        <v>1670</v>
      </c>
      <c r="P61" s="77" t="s">
        <v>2591</v>
      </c>
      <c r="Q61" s="18"/>
      <c r="R61" s="18"/>
      <c r="S61" s="29"/>
      <c r="T61" s="18"/>
      <c r="U61" s="18"/>
      <c r="V61" s="18"/>
      <c r="W61" s="18"/>
      <c r="X61" s="18" t="s">
        <v>2592</v>
      </c>
      <c r="Y61" s="18" t="s">
        <v>2593</v>
      </c>
      <c r="Z61" s="77" t="s">
        <v>2594</v>
      </c>
      <c r="AA61" s="18" t="s">
        <v>2595</v>
      </c>
      <c r="AB61" s="18"/>
      <c r="AC61" s="77" t="s">
        <v>2597</v>
      </c>
      <c r="AD61" s="18" t="s">
        <v>2596</v>
      </c>
      <c r="AE61" s="18"/>
      <c r="AF61" s="18"/>
      <c r="AG61" s="18"/>
      <c r="AH61" s="18"/>
      <c r="AI61" s="24"/>
      <c r="AJ61" s="24"/>
      <c r="AK61" s="24"/>
      <c r="AL61" s="18"/>
      <c r="AM61" s="18"/>
      <c r="AN61" s="25"/>
      <c r="AO61" s="18"/>
      <c r="AP61" s="18"/>
      <c r="AQ61" s="18"/>
    </row>
    <row r="62" spans="1:43" ht="36">
      <c r="A62" s="18" t="s">
        <v>2088</v>
      </c>
      <c r="B62" s="45" t="s">
        <v>1238</v>
      </c>
      <c r="C62" s="18" t="s">
        <v>55</v>
      </c>
      <c r="D62" s="18"/>
      <c r="E62" s="19" t="s">
        <v>1173</v>
      </c>
      <c r="F62" s="18" t="s">
        <v>240</v>
      </c>
      <c r="G62" s="15" t="s">
        <v>1480</v>
      </c>
      <c r="H62" s="15" t="s">
        <v>2601</v>
      </c>
      <c r="I62" s="57"/>
      <c r="J62" s="57"/>
      <c r="K62" s="57"/>
      <c r="L62" s="57"/>
      <c r="M62" s="18" t="s">
        <v>2598</v>
      </c>
      <c r="N62" s="18">
        <v>2022</v>
      </c>
      <c r="O62" s="18" t="s">
        <v>1670</v>
      </c>
      <c r="P62" s="77" t="s">
        <v>2599</v>
      </c>
      <c r="Q62" s="18"/>
      <c r="R62" s="18"/>
      <c r="S62" s="29"/>
      <c r="T62" s="18"/>
      <c r="U62" s="18"/>
      <c r="V62" s="18"/>
      <c r="W62" s="18"/>
      <c r="X62" s="18" t="s">
        <v>2600</v>
      </c>
      <c r="Y62" s="18" t="s">
        <v>171</v>
      </c>
      <c r="Z62" s="18"/>
      <c r="AA62" s="18" t="s">
        <v>2602</v>
      </c>
      <c r="AB62" s="18"/>
      <c r="AC62" s="18"/>
      <c r="AD62" s="18"/>
      <c r="AE62" s="18"/>
      <c r="AF62" s="18"/>
      <c r="AG62" s="18"/>
      <c r="AH62" s="18"/>
      <c r="AI62" s="24"/>
      <c r="AJ62" s="24"/>
      <c r="AK62" s="24"/>
      <c r="AL62" s="18"/>
      <c r="AM62" s="18"/>
      <c r="AN62" s="25"/>
      <c r="AO62" s="18"/>
      <c r="AP62" s="18"/>
      <c r="AQ62" s="18"/>
    </row>
    <row r="63" spans="1:43" ht="57">
      <c r="A63" s="18" t="s">
        <v>2089</v>
      </c>
      <c r="B63" s="45" t="s">
        <v>1239</v>
      </c>
      <c r="C63" s="18" t="s">
        <v>202</v>
      </c>
      <c r="D63" s="18" t="s">
        <v>2503</v>
      </c>
      <c r="E63" s="19" t="s">
        <v>1173</v>
      </c>
      <c r="F63" s="18" t="s">
        <v>240</v>
      </c>
      <c r="G63" s="15" t="s">
        <v>1481</v>
      </c>
      <c r="H63" s="15" t="s">
        <v>2610</v>
      </c>
      <c r="I63" s="82" t="s">
        <v>2609</v>
      </c>
      <c r="J63" s="57" t="s">
        <v>2612</v>
      </c>
      <c r="K63" s="82" t="s">
        <v>2611</v>
      </c>
      <c r="L63" s="78" t="s">
        <v>2613</v>
      </c>
      <c r="M63" s="18" t="s">
        <v>2605</v>
      </c>
      <c r="N63" s="18">
        <v>2025</v>
      </c>
      <c r="O63" s="18" t="s">
        <v>1671</v>
      </c>
      <c r="P63" s="77" t="s">
        <v>2606</v>
      </c>
      <c r="Q63" s="18"/>
      <c r="R63" s="18"/>
      <c r="S63" s="29"/>
      <c r="T63" s="18"/>
      <c r="U63" s="18"/>
      <c r="V63" s="18"/>
      <c r="W63" s="18"/>
      <c r="X63" s="18" t="s">
        <v>2607</v>
      </c>
      <c r="Y63" s="84" t="s">
        <v>2603</v>
      </c>
      <c r="Z63" s="77" t="s">
        <v>2604</v>
      </c>
      <c r="AA63" s="18" t="s">
        <v>2620</v>
      </c>
      <c r="AB63" s="18"/>
      <c r="AC63" s="77" t="s">
        <v>2608</v>
      </c>
      <c r="AD63" s="18" t="s">
        <v>1796</v>
      </c>
      <c r="AE63" s="18"/>
      <c r="AF63" s="18"/>
      <c r="AG63" s="18"/>
      <c r="AH63" s="18"/>
      <c r="AI63" s="24"/>
      <c r="AJ63" s="24"/>
      <c r="AK63" s="24"/>
      <c r="AL63" s="18"/>
      <c r="AM63" s="18"/>
      <c r="AN63" s="25"/>
      <c r="AO63" s="18"/>
      <c r="AP63" s="18"/>
      <c r="AQ63" s="18"/>
    </row>
    <row r="64" spans="1:43" ht="28.5">
      <c r="A64" s="18" t="s">
        <v>2090</v>
      </c>
      <c r="B64" s="45" t="s">
        <v>1240</v>
      </c>
      <c r="C64" s="18" t="s">
        <v>55</v>
      </c>
      <c r="D64" s="18"/>
      <c r="E64" s="19" t="s">
        <v>1173</v>
      </c>
      <c r="F64" s="18" t="s">
        <v>240</v>
      </c>
      <c r="G64" s="15" t="s">
        <v>1482</v>
      </c>
      <c r="H64" s="15" t="s">
        <v>2625</v>
      </c>
      <c r="I64" s="57"/>
      <c r="J64" s="57"/>
      <c r="K64" s="57"/>
      <c r="L64" s="57"/>
      <c r="M64" s="18" t="s">
        <v>2621</v>
      </c>
      <c r="N64" s="18">
        <v>2013</v>
      </c>
      <c r="O64" s="18" t="s">
        <v>1670</v>
      </c>
      <c r="P64" s="78" t="s">
        <v>2622</v>
      </c>
      <c r="Q64" s="18"/>
      <c r="R64" s="18"/>
      <c r="S64" s="29"/>
      <c r="T64" s="18"/>
      <c r="U64" s="18"/>
      <c r="V64" s="18"/>
      <c r="W64" s="18"/>
      <c r="X64" s="18" t="s">
        <v>2626</v>
      </c>
      <c r="Y64" s="18" t="s">
        <v>2623</v>
      </c>
      <c r="Z64" s="77" t="s">
        <v>2624</v>
      </c>
      <c r="AA64" s="18" t="s">
        <v>2627</v>
      </c>
      <c r="AB64" s="18"/>
      <c r="AC64" s="18" t="s">
        <v>2628</v>
      </c>
      <c r="AD64" s="18">
        <v>2035</v>
      </c>
      <c r="AE64" s="18"/>
      <c r="AF64" s="18"/>
      <c r="AG64" s="18"/>
      <c r="AH64" s="18"/>
      <c r="AI64" s="24"/>
      <c r="AJ64" s="24"/>
      <c r="AK64" s="24"/>
      <c r="AL64" s="18"/>
      <c r="AM64" s="18"/>
      <c r="AN64" s="25"/>
      <c r="AO64" s="18"/>
      <c r="AP64" s="18"/>
      <c r="AQ64" s="18"/>
    </row>
    <row r="65" spans="1:43" ht="60">
      <c r="A65" s="18" t="s">
        <v>2091</v>
      </c>
      <c r="B65" s="45" t="s">
        <v>1241</v>
      </c>
      <c r="C65" s="18" t="s">
        <v>202</v>
      </c>
      <c r="D65" s="18" t="s">
        <v>2487</v>
      </c>
      <c r="E65" s="19" t="s">
        <v>1173</v>
      </c>
      <c r="F65" s="18" t="s">
        <v>240</v>
      </c>
      <c r="G65" s="74" t="s">
        <v>1483</v>
      </c>
      <c r="H65" s="15" t="s">
        <v>2630</v>
      </c>
      <c r="I65" s="82" t="s">
        <v>2629</v>
      </c>
      <c r="J65" s="57" t="s">
        <v>2632</v>
      </c>
      <c r="K65" s="82" t="s">
        <v>2633</v>
      </c>
      <c r="L65" s="15" t="s">
        <v>2631</v>
      </c>
      <c r="M65" s="18" t="s">
        <v>2634</v>
      </c>
      <c r="N65" s="18">
        <v>2023</v>
      </c>
      <c r="O65" s="18" t="s">
        <v>1670</v>
      </c>
      <c r="P65" s="77" t="s">
        <v>2637</v>
      </c>
      <c r="Q65" s="18"/>
      <c r="R65" s="18"/>
      <c r="S65" s="29"/>
      <c r="T65" s="18"/>
      <c r="U65" s="18"/>
      <c r="V65" s="18"/>
      <c r="W65" s="18"/>
      <c r="X65" s="18" t="s">
        <v>2638</v>
      </c>
      <c r="Y65" s="18" t="s">
        <v>2635</v>
      </c>
      <c r="Z65" s="18" t="s">
        <v>2636</v>
      </c>
      <c r="AA65" s="18" t="s">
        <v>2639</v>
      </c>
      <c r="AB65" s="18"/>
      <c r="AC65" s="77" t="s">
        <v>2643</v>
      </c>
      <c r="AD65" s="18" t="s">
        <v>2340</v>
      </c>
      <c r="AE65" s="18"/>
      <c r="AF65" s="18"/>
      <c r="AG65" s="18"/>
      <c r="AH65" s="18"/>
      <c r="AI65" s="24"/>
      <c r="AJ65" s="24"/>
      <c r="AK65" s="24"/>
      <c r="AL65" s="18"/>
      <c r="AM65" s="18"/>
      <c r="AN65" s="25"/>
      <c r="AO65" s="18"/>
      <c r="AP65" s="18"/>
      <c r="AQ65" s="18"/>
    </row>
    <row r="66" spans="1:43" ht="48">
      <c r="A66" s="18" t="s">
        <v>2092</v>
      </c>
      <c r="B66" s="45" t="s">
        <v>1242</v>
      </c>
      <c r="C66" s="18" t="s">
        <v>55</v>
      </c>
      <c r="D66" s="18"/>
      <c r="E66" s="19" t="s">
        <v>1173</v>
      </c>
      <c r="F66" s="18" t="s">
        <v>240</v>
      </c>
      <c r="G66" s="15" t="s">
        <v>1484</v>
      </c>
      <c r="H66" s="57"/>
      <c r="I66" s="57"/>
      <c r="J66" s="57"/>
      <c r="K66" s="57"/>
      <c r="L66" s="57"/>
      <c r="M66" s="18" t="s">
        <v>2652</v>
      </c>
      <c r="N66" s="18">
        <v>2019</v>
      </c>
      <c r="O66" s="18" t="s">
        <v>1670</v>
      </c>
      <c r="P66" s="77" t="s">
        <v>2653</v>
      </c>
      <c r="Q66" s="18"/>
      <c r="R66" s="18"/>
      <c r="S66" s="29"/>
      <c r="T66" s="18"/>
      <c r="U66" s="18"/>
      <c r="V66" s="18"/>
      <c r="W66" s="18"/>
      <c r="X66" s="119" t="s">
        <v>2655</v>
      </c>
      <c r="Y66" s="18" t="s">
        <v>2656</v>
      </c>
      <c r="Z66" s="77" t="s">
        <v>2657</v>
      </c>
      <c r="AA66" s="18" t="s">
        <v>2654</v>
      </c>
      <c r="AB66" s="18"/>
      <c r="AC66" s="18"/>
      <c r="AD66" s="18"/>
      <c r="AE66" s="18"/>
      <c r="AF66" s="18"/>
      <c r="AG66" s="18"/>
      <c r="AH66" s="18"/>
      <c r="AI66" s="24"/>
      <c r="AJ66" s="24"/>
      <c r="AK66" s="24"/>
      <c r="AL66" s="18"/>
      <c r="AM66" s="18"/>
      <c r="AN66" s="25"/>
      <c r="AO66" s="18"/>
      <c r="AP66" s="18"/>
      <c r="AQ66" s="18"/>
    </row>
    <row r="67" spans="1:43" ht="71.25">
      <c r="A67" s="18" t="s">
        <v>2093</v>
      </c>
      <c r="B67" s="45" t="s">
        <v>1243</v>
      </c>
      <c r="C67" s="18" t="s">
        <v>202</v>
      </c>
      <c r="D67" s="18" t="s">
        <v>2490</v>
      </c>
      <c r="E67" s="19" t="s">
        <v>1173</v>
      </c>
      <c r="F67" s="18" t="s">
        <v>240</v>
      </c>
      <c r="G67" s="74" t="s">
        <v>1485</v>
      </c>
      <c r="H67" s="79" t="s">
        <v>2317</v>
      </c>
      <c r="I67" s="82" t="s">
        <v>2307</v>
      </c>
      <c r="J67" s="57" t="s">
        <v>2305</v>
      </c>
      <c r="K67" s="57" t="s">
        <v>2306</v>
      </c>
      <c r="L67" s="79" t="s">
        <v>2304</v>
      </c>
      <c r="M67" s="18" t="s">
        <v>2658</v>
      </c>
      <c r="N67" s="18">
        <v>2015</v>
      </c>
      <c r="O67" s="18" t="s">
        <v>1670</v>
      </c>
      <c r="P67" s="77" t="s">
        <v>2661</v>
      </c>
      <c r="Q67" s="18"/>
      <c r="R67" s="18"/>
      <c r="S67" s="29"/>
      <c r="T67" s="18"/>
      <c r="U67" s="18"/>
      <c r="V67" s="18"/>
      <c r="W67" s="18"/>
      <c r="X67" s="18" t="s">
        <v>2662</v>
      </c>
      <c r="Y67" s="18" t="s">
        <v>2663</v>
      </c>
      <c r="Z67" s="77" t="s">
        <v>2664</v>
      </c>
      <c r="AA67" s="18" t="s">
        <v>2665</v>
      </c>
      <c r="AB67" s="18"/>
      <c r="AC67" s="77" t="s">
        <v>2666</v>
      </c>
      <c r="AD67" s="18"/>
      <c r="AE67" s="18"/>
      <c r="AF67" s="18"/>
      <c r="AG67" s="18"/>
      <c r="AH67" s="18"/>
      <c r="AI67" s="24"/>
      <c r="AJ67" s="24"/>
      <c r="AK67" s="24"/>
      <c r="AL67" s="18"/>
      <c r="AM67" s="18"/>
      <c r="AN67" s="25"/>
      <c r="AO67" s="18"/>
      <c r="AP67" s="18"/>
      <c r="AQ67" s="18"/>
    </row>
    <row r="68" spans="1:43" ht="72" thickBot="1">
      <c r="A68" s="18" t="s">
        <v>2094</v>
      </c>
      <c r="B68" s="45" t="s">
        <v>1244</v>
      </c>
      <c r="C68" s="18"/>
      <c r="D68" s="18" t="s">
        <v>2494</v>
      </c>
      <c r="E68" s="19" t="s">
        <v>1173</v>
      </c>
      <c r="F68" s="18" t="s">
        <v>240</v>
      </c>
      <c r="G68" s="74" t="s">
        <v>1486</v>
      </c>
      <c r="H68" s="15" t="s">
        <v>2680</v>
      </c>
      <c r="I68" s="82" t="s">
        <v>2681</v>
      </c>
      <c r="J68" s="121" t="s">
        <v>2682</v>
      </c>
      <c r="K68" s="122" t="s">
        <v>2684</v>
      </c>
      <c r="L68" s="15" t="s">
        <v>2683</v>
      </c>
      <c r="M68" s="18" t="s">
        <v>2685</v>
      </c>
      <c r="N68" s="18">
        <v>2019</v>
      </c>
      <c r="O68" s="18" t="s">
        <v>1670</v>
      </c>
      <c r="P68" s="77" t="s">
        <v>2690</v>
      </c>
      <c r="Q68" s="18"/>
      <c r="R68" s="18"/>
      <c r="S68" s="29"/>
      <c r="T68" s="18"/>
      <c r="U68" s="18"/>
      <c r="V68" s="18"/>
      <c r="W68" s="18"/>
      <c r="X68" s="18" t="s">
        <v>2691</v>
      </c>
      <c r="Y68" s="123" t="s">
        <v>2692</v>
      </c>
      <c r="Z68" s="77" t="s">
        <v>2693</v>
      </c>
      <c r="AA68" s="18" t="s">
        <v>2695</v>
      </c>
      <c r="AB68" s="18"/>
      <c r="AC68" s="77" t="s">
        <v>2694</v>
      </c>
      <c r="AD68" s="18" t="s">
        <v>1686</v>
      </c>
      <c r="AE68" s="18"/>
      <c r="AF68" s="18"/>
      <c r="AG68" s="18"/>
      <c r="AH68" s="18"/>
      <c r="AI68" s="24"/>
      <c r="AJ68" s="24"/>
      <c r="AK68" s="24"/>
      <c r="AL68" s="18"/>
      <c r="AM68" s="18"/>
      <c r="AN68" s="25"/>
      <c r="AO68" s="18"/>
      <c r="AP68" s="18"/>
      <c r="AQ68" s="18"/>
    </row>
    <row r="69" spans="1:43" ht="36.75" thickTop="1">
      <c r="A69" s="18" t="s">
        <v>2095</v>
      </c>
      <c r="B69" s="45" t="s">
        <v>1245</v>
      </c>
      <c r="C69" s="18" t="s">
        <v>55</v>
      </c>
      <c r="D69" s="18"/>
      <c r="E69" s="19" t="s">
        <v>1173</v>
      </c>
      <c r="F69" s="18" t="s">
        <v>240</v>
      </c>
      <c r="G69" s="15" t="s">
        <v>1487</v>
      </c>
      <c r="H69" s="57" t="s">
        <v>2698</v>
      </c>
      <c r="I69" s="57"/>
      <c r="J69" s="57"/>
      <c r="K69" s="57"/>
      <c r="L69" s="57"/>
      <c r="M69" s="18" t="s">
        <v>2699</v>
      </c>
      <c r="N69" s="18">
        <v>2018</v>
      </c>
      <c r="O69" s="18" t="s">
        <v>1670</v>
      </c>
      <c r="P69" s="77" t="s">
        <v>2703</v>
      </c>
      <c r="Q69" s="18"/>
      <c r="R69" s="18"/>
      <c r="S69" s="29"/>
      <c r="T69" s="18"/>
      <c r="U69" s="18"/>
      <c r="V69" s="18"/>
      <c r="W69" s="18"/>
      <c r="X69" s="18" t="s">
        <v>2700</v>
      </c>
      <c r="Y69" s="18" t="s">
        <v>2701</v>
      </c>
      <c r="Z69" s="77" t="s">
        <v>2702</v>
      </c>
      <c r="AA69" s="18" t="s">
        <v>2704</v>
      </c>
      <c r="AB69" s="18"/>
      <c r="AC69" s="18"/>
      <c r="AD69" s="18"/>
      <c r="AE69" s="18"/>
      <c r="AF69" s="18"/>
      <c r="AG69" s="18"/>
      <c r="AH69" s="18"/>
      <c r="AI69" s="24"/>
      <c r="AJ69" s="24"/>
      <c r="AK69" s="24"/>
      <c r="AL69" s="18"/>
      <c r="AM69" s="18"/>
      <c r="AN69" s="25"/>
      <c r="AO69" s="18"/>
      <c r="AP69" s="18"/>
      <c r="AQ69" s="18"/>
    </row>
    <row r="70" spans="1:43" ht="48">
      <c r="A70" s="18" t="s">
        <v>2096</v>
      </c>
      <c r="B70" s="45" t="s">
        <v>1246</v>
      </c>
      <c r="C70" s="18" t="s">
        <v>202</v>
      </c>
      <c r="D70" s="18" t="s">
        <v>2488</v>
      </c>
      <c r="E70" s="19" t="s">
        <v>1173</v>
      </c>
      <c r="F70" s="18" t="s">
        <v>240</v>
      </c>
      <c r="G70" s="74" t="s">
        <v>1488</v>
      </c>
      <c r="H70" s="15" t="s">
        <v>2711</v>
      </c>
      <c r="I70" s="82" t="s">
        <v>2705</v>
      </c>
      <c r="J70" s="82" t="s">
        <v>2708</v>
      </c>
      <c r="K70" s="82" t="s">
        <v>2710</v>
      </c>
      <c r="L70" s="15" t="s">
        <v>2709</v>
      </c>
      <c r="M70" s="18" t="s">
        <v>2707</v>
      </c>
      <c r="N70" s="18">
        <v>2023</v>
      </c>
      <c r="O70" s="18" t="s">
        <v>1670</v>
      </c>
      <c r="P70" s="77" t="s">
        <v>2712</v>
      </c>
      <c r="Q70" s="18"/>
      <c r="R70" s="18"/>
      <c r="S70" s="29"/>
      <c r="T70" s="18"/>
      <c r="U70" s="18"/>
      <c r="V70" s="18"/>
      <c r="W70" s="18"/>
      <c r="X70" s="18" t="s">
        <v>2713</v>
      </c>
      <c r="Y70" s="18" t="s">
        <v>2715</v>
      </c>
      <c r="Z70" s="77" t="s">
        <v>2716</v>
      </c>
      <c r="AA70" s="18" t="s">
        <v>2714</v>
      </c>
      <c r="AB70" s="18"/>
      <c r="AC70" s="18"/>
      <c r="AD70" s="18"/>
      <c r="AE70" s="18"/>
      <c r="AF70" s="18"/>
      <c r="AG70" s="18"/>
      <c r="AH70" s="18"/>
      <c r="AI70" s="24"/>
      <c r="AJ70" s="24"/>
      <c r="AK70" s="24"/>
      <c r="AL70" s="18"/>
      <c r="AM70" s="18"/>
      <c r="AN70" s="25"/>
      <c r="AO70" s="18"/>
      <c r="AP70" s="18"/>
      <c r="AQ70" s="18"/>
    </row>
    <row r="71" spans="1:43" ht="99.75">
      <c r="A71" s="18" t="s">
        <v>2097</v>
      </c>
      <c r="B71" s="45" t="s">
        <v>1247</v>
      </c>
      <c r="C71" s="18" t="s">
        <v>202</v>
      </c>
      <c r="D71" s="18" t="s">
        <v>2491</v>
      </c>
      <c r="E71" s="19" t="s">
        <v>1173</v>
      </c>
      <c r="F71" s="18" t="s">
        <v>240</v>
      </c>
      <c r="G71" s="74" t="s">
        <v>1489</v>
      </c>
      <c r="H71" s="15" t="s">
        <v>2721</v>
      </c>
      <c r="I71" s="82" t="s">
        <v>2722</v>
      </c>
      <c r="J71" s="82" t="s">
        <v>2723</v>
      </c>
      <c r="K71" s="129" t="s">
        <v>2725</v>
      </c>
      <c r="L71" s="15" t="s">
        <v>2724</v>
      </c>
      <c r="M71" s="18" t="s">
        <v>2726</v>
      </c>
      <c r="N71" s="18">
        <v>2024</v>
      </c>
      <c r="O71" s="18" t="s">
        <v>1670</v>
      </c>
      <c r="P71" s="77" t="s">
        <v>2729</v>
      </c>
      <c r="Q71" s="18"/>
      <c r="R71" s="18"/>
      <c r="S71" s="29"/>
      <c r="T71" s="18"/>
      <c r="U71" s="18"/>
      <c r="V71" s="18"/>
      <c r="W71" s="18"/>
      <c r="X71" s="18" t="s">
        <v>2730</v>
      </c>
      <c r="Y71" s="18" t="s">
        <v>2743</v>
      </c>
      <c r="Z71" s="95" t="s">
        <v>2744</v>
      </c>
      <c r="AA71" s="3" t="s">
        <v>2732</v>
      </c>
      <c r="AB71" s="18"/>
      <c r="AC71" s="18"/>
      <c r="AD71" s="18"/>
      <c r="AE71" s="18"/>
      <c r="AF71" s="18"/>
      <c r="AG71" s="18"/>
      <c r="AH71" s="18"/>
      <c r="AI71" s="24"/>
      <c r="AJ71" s="24"/>
      <c r="AK71" s="24"/>
      <c r="AL71" s="18"/>
      <c r="AM71" s="18"/>
      <c r="AN71" s="25"/>
      <c r="AO71" s="18"/>
      <c r="AP71" s="18"/>
      <c r="AQ71" s="18"/>
    </row>
    <row r="72" spans="1:43" ht="60">
      <c r="A72" s="18" t="s">
        <v>2098</v>
      </c>
      <c r="B72" s="45" t="s">
        <v>1248</v>
      </c>
      <c r="C72" s="18" t="s">
        <v>202</v>
      </c>
      <c r="D72" s="18" t="s">
        <v>2797</v>
      </c>
      <c r="E72" s="19" t="s">
        <v>1173</v>
      </c>
      <c r="F72" s="18" t="s">
        <v>240</v>
      </c>
      <c r="G72" s="74" t="s">
        <v>1490</v>
      </c>
      <c r="H72" s="15" t="s">
        <v>2798</v>
      </c>
      <c r="I72" s="82" t="s">
        <v>2799</v>
      </c>
      <c r="J72" s="82" t="s">
        <v>2801</v>
      </c>
      <c r="K72" s="82" t="s">
        <v>2803</v>
      </c>
      <c r="L72" s="15" t="s">
        <v>2802</v>
      </c>
      <c r="M72" s="102" t="s">
        <v>2804</v>
      </c>
      <c r="N72" s="18">
        <v>2026</v>
      </c>
      <c r="O72" s="50" t="s">
        <v>1671</v>
      </c>
      <c r="P72" s="77" t="s">
        <v>2809</v>
      </c>
      <c r="Q72" s="18"/>
      <c r="R72" s="18"/>
      <c r="S72" s="29"/>
      <c r="T72" s="18"/>
      <c r="U72" s="18"/>
      <c r="V72" s="18"/>
      <c r="W72" s="18"/>
      <c r="X72" s="18" t="s">
        <v>2807</v>
      </c>
      <c r="Y72" s="18" t="s">
        <v>2805</v>
      </c>
      <c r="Z72" s="78" t="s">
        <v>2806</v>
      </c>
      <c r="AA72" s="18" t="s">
        <v>2808</v>
      </c>
      <c r="AB72" s="18"/>
      <c r="AC72" s="18"/>
      <c r="AD72" s="18"/>
      <c r="AE72" s="18"/>
      <c r="AF72" s="18"/>
      <c r="AG72" s="18"/>
      <c r="AH72" s="18"/>
      <c r="AI72" s="24"/>
      <c r="AJ72" s="24"/>
      <c r="AK72" s="24"/>
      <c r="AL72" s="18"/>
      <c r="AM72" s="18"/>
      <c r="AN72" s="25"/>
      <c r="AO72" s="18"/>
      <c r="AP72" s="18"/>
      <c r="AQ72" s="18"/>
    </row>
    <row r="73" spans="1:43" ht="60">
      <c r="A73" s="18" t="s">
        <v>2099</v>
      </c>
      <c r="B73" s="45" t="s">
        <v>1249</v>
      </c>
      <c r="C73" s="18" t="s">
        <v>202</v>
      </c>
      <c r="D73" s="18" t="s">
        <v>2487</v>
      </c>
      <c r="E73" s="19" t="s">
        <v>1173</v>
      </c>
      <c r="F73" s="18" t="s">
        <v>240</v>
      </c>
      <c r="G73" s="74" t="s">
        <v>1491</v>
      </c>
      <c r="H73" s="15" t="s">
        <v>2630</v>
      </c>
      <c r="I73" s="82" t="s">
        <v>2629</v>
      </c>
      <c r="J73" s="57" t="s">
        <v>2632</v>
      </c>
      <c r="K73" s="82" t="s">
        <v>2633</v>
      </c>
      <c r="L73" s="15" t="s">
        <v>2631</v>
      </c>
      <c r="M73" s="18" t="s">
        <v>2640</v>
      </c>
      <c r="N73" s="18">
        <v>2025</v>
      </c>
      <c r="O73" s="18" t="s">
        <v>1670</v>
      </c>
      <c r="P73" s="77" t="s">
        <v>2641</v>
      </c>
      <c r="Q73" s="18"/>
      <c r="R73" s="18"/>
      <c r="S73" s="29"/>
      <c r="T73" s="18"/>
      <c r="U73" s="18"/>
      <c r="V73" s="18"/>
      <c r="W73" s="18"/>
      <c r="X73" s="18" t="s">
        <v>2642</v>
      </c>
      <c r="Y73" s="18" t="s">
        <v>2645</v>
      </c>
      <c r="Z73" s="105" t="s">
        <v>2731</v>
      </c>
      <c r="AA73" s="18" t="s">
        <v>2644</v>
      </c>
      <c r="AB73" s="18"/>
      <c r="AC73" s="18" t="s">
        <v>2643</v>
      </c>
      <c r="AD73" s="18" t="s">
        <v>2340</v>
      </c>
      <c r="AE73" s="18"/>
      <c r="AF73" s="18"/>
      <c r="AG73" s="18"/>
      <c r="AH73" s="18"/>
      <c r="AI73" s="24"/>
      <c r="AJ73" s="24"/>
      <c r="AK73" s="24"/>
      <c r="AL73" s="18"/>
      <c r="AM73" s="18"/>
      <c r="AN73" s="25"/>
      <c r="AO73" s="18"/>
      <c r="AP73" s="18"/>
      <c r="AQ73" s="18"/>
    </row>
    <row r="74" spans="1:43" ht="36">
      <c r="A74" s="18" t="s">
        <v>2100</v>
      </c>
      <c r="B74" s="45" t="s">
        <v>1250</v>
      </c>
      <c r="C74" s="18" t="s">
        <v>202</v>
      </c>
      <c r="D74" s="18" t="s">
        <v>2489</v>
      </c>
      <c r="E74" s="19" t="s">
        <v>1173</v>
      </c>
      <c r="F74" s="18" t="s">
        <v>240</v>
      </c>
      <c r="G74" s="15" t="s">
        <v>1492</v>
      </c>
      <c r="H74" s="57" t="s">
        <v>2745</v>
      </c>
      <c r="I74" s="82" t="s">
        <v>2746</v>
      </c>
      <c r="J74" s="82" t="s">
        <v>2749</v>
      </c>
      <c r="K74" t="s">
        <v>2748</v>
      </c>
      <c r="L74" s="15" t="s">
        <v>2747</v>
      </c>
      <c r="M74" s="18" t="s">
        <v>2750</v>
      </c>
      <c r="N74" s="18">
        <v>2024</v>
      </c>
      <c r="O74" s="18" t="s">
        <v>1670</v>
      </c>
      <c r="P74" s="77" t="s">
        <v>2760</v>
      </c>
      <c r="Q74" s="18"/>
      <c r="R74" s="18"/>
      <c r="S74" s="29"/>
      <c r="T74" s="18"/>
      <c r="U74" s="18"/>
      <c r="V74" s="18"/>
      <c r="W74" s="18"/>
      <c r="X74" s="18" t="s">
        <v>2759</v>
      </c>
      <c r="Y74" s="18"/>
      <c r="Z74" s="85"/>
      <c r="AA74" s="18" t="s">
        <v>2764</v>
      </c>
      <c r="AB74" s="18"/>
      <c r="AC74" s="18"/>
      <c r="AD74" s="18"/>
      <c r="AE74" s="18"/>
      <c r="AF74" s="18"/>
      <c r="AG74" s="18"/>
      <c r="AH74" s="18"/>
      <c r="AI74" s="24"/>
      <c r="AJ74" s="24"/>
      <c r="AK74" s="24"/>
      <c r="AL74" s="18"/>
      <c r="AM74" s="18"/>
      <c r="AN74" s="25"/>
      <c r="AO74" s="18"/>
      <c r="AP74" s="18"/>
      <c r="AQ74" s="18"/>
    </row>
    <row r="75" spans="1:43" ht="36">
      <c r="A75" s="18" t="s">
        <v>2101</v>
      </c>
      <c r="B75" s="45" t="s">
        <v>1251</v>
      </c>
      <c r="C75" s="18" t="s">
        <v>55</v>
      </c>
      <c r="D75" s="18"/>
      <c r="E75" s="19" t="s">
        <v>1173</v>
      </c>
      <c r="F75" s="18" t="s">
        <v>240</v>
      </c>
      <c r="G75" s="15" t="s">
        <v>1493</v>
      </c>
      <c r="H75" s="15" t="s">
        <v>2813</v>
      </c>
      <c r="I75" s="57"/>
      <c r="J75" s="57"/>
      <c r="K75" s="57"/>
      <c r="L75" s="57"/>
      <c r="M75" s="18" t="s">
        <v>2814</v>
      </c>
      <c r="N75" s="18">
        <v>2021</v>
      </c>
      <c r="O75" s="18" t="s">
        <v>1670</v>
      </c>
      <c r="P75" s="77" t="s">
        <v>2815</v>
      </c>
      <c r="Q75" s="18"/>
      <c r="R75" s="18"/>
      <c r="S75" s="29"/>
      <c r="T75" s="18"/>
      <c r="U75" s="18"/>
      <c r="V75" s="18"/>
      <c r="W75" s="18"/>
      <c r="X75" s="18" t="s">
        <v>2816</v>
      </c>
      <c r="Y75" t="s">
        <v>2818</v>
      </c>
      <c r="Z75" s="77" t="s">
        <v>2819</v>
      </c>
      <c r="AA75" s="18" t="s">
        <v>2817</v>
      </c>
      <c r="AB75" s="18"/>
      <c r="AC75" s="18"/>
      <c r="AD75" s="18"/>
      <c r="AE75" s="18"/>
      <c r="AF75" s="18"/>
      <c r="AG75" s="18"/>
      <c r="AH75" s="18"/>
      <c r="AI75" s="24"/>
      <c r="AJ75" s="24"/>
      <c r="AK75" s="24"/>
      <c r="AL75" s="18"/>
      <c r="AM75" s="18"/>
      <c r="AN75" s="25"/>
      <c r="AO75" s="18"/>
      <c r="AP75" s="18"/>
      <c r="AQ75" s="18"/>
    </row>
    <row r="76" spans="1:43" ht="60">
      <c r="A76" s="18" t="s">
        <v>2102</v>
      </c>
      <c r="B76" s="45" t="s">
        <v>1252</v>
      </c>
      <c r="C76" s="18" t="s">
        <v>202</v>
      </c>
      <c r="D76" s="18" t="s">
        <v>2496</v>
      </c>
      <c r="E76" s="19" t="s">
        <v>1173</v>
      </c>
      <c r="F76" s="18" t="s">
        <v>240</v>
      </c>
      <c r="G76" s="74" t="s">
        <v>1494</v>
      </c>
      <c r="H76" s="15" t="s">
        <v>2820</v>
      </c>
      <c r="I76" s="18" t="s">
        <v>2821</v>
      </c>
      <c r="J76" s="130" t="s">
        <v>2822</v>
      </c>
      <c r="K76" s="18" t="s">
        <v>2824</v>
      </c>
      <c r="L76" s="15" t="s">
        <v>2823</v>
      </c>
      <c r="M76" s="18" t="s">
        <v>2825</v>
      </c>
      <c r="N76" s="18">
        <v>2024</v>
      </c>
      <c r="O76" s="18" t="s">
        <v>1670</v>
      </c>
      <c r="P76" s="77" t="s">
        <v>2830</v>
      </c>
      <c r="Q76" s="18"/>
      <c r="R76" s="18"/>
      <c r="S76" s="29"/>
      <c r="T76" s="18"/>
      <c r="U76" s="18"/>
      <c r="V76" s="18"/>
      <c r="W76" s="18"/>
      <c r="X76" s="18" t="s">
        <v>2826</v>
      </c>
      <c r="Y76" s="18" t="s">
        <v>2827</v>
      </c>
      <c r="Z76" s="78" t="s">
        <v>2828</v>
      </c>
      <c r="AA76" s="18" t="s">
        <v>2829</v>
      </c>
      <c r="AB76" s="18"/>
      <c r="AC76" s="18"/>
      <c r="AD76" s="18"/>
      <c r="AE76" s="18"/>
      <c r="AF76" s="18"/>
      <c r="AG76" s="18"/>
      <c r="AH76" s="18"/>
      <c r="AI76" s="24"/>
      <c r="AJ76" s="24"/>
      <c r="AK76" s="24"/>
      <c r="AL76" s="18"/>
      <c r="AM76" s="18"/>
      <c r="AN76" s="25"/>
      <c r="AO76" s="18"/>
      <c r="AP76" s="18"/>
      <c r="AQ76" s="18"/>
    </row>
    <row r="77" spans="1:43" ht="36">
      <c r="A77" s="18" t="s">
        <v>2103</v>
      </c>
      <c r="B77" s="45" t="s">
        <v>1253</v>
      </c>
      <c r="C77" s="18"/>
      <c r="D77" s="18"/>
      <c r="E77" s="19" t="s">
        <v>1173</v>
      </c>
      <c r="F77" s="18" t="s">
        <v>240</v>
      </c>
      <c r="G77" s="74" t="s">
        <v>1495</v>
      </c>
      <c r="H77" s="15" t="s">
        <v>2841</v>
      </c>
      <c r="I77" s="57"/>
      <c r="J77" s="57"/>
      <c r="K77" s="57"/>
      <c r="L77" s="57"/>
      <c r="M77" s="18" t="s">
        <v>2837</v>
      </c>
      <c r="N77" s="18">
        <v>2012</v>
      </c>
      <c r="O77" s="18" t="s">
        <v>1670</v>
      </c>
      <c r="P77" s="77" t="s">
        <v>2838</v>
      </c>
      <c r="Q77" s="18"/>
      <c r="R77" s="18"/>
      <c r="S77" s="29"/>
      <c r="T77" s="18"/>
      <c r="U77" s="18"/>
      <c r="V77" s="18"/>
      <c r="W77" s="18"/>
      <c r="X77" s="18" t="s">
        <v>2839</v>
      </c>
      <c r="Y77" s="18" t="s">
        <v>2842</v>
      </c>
      <c r="Z77" s="77" t="s">
        <v>2843</v>
      </c>
      <c r="AA77" s="18" t="s">
        <v>2840</v>
      </c>
      <c r="AB77" s="18"/>
      <c r="AC77" s="18"/>
      <c r="AD77" s="18"/>
      <c r="AE77" s="18"/>
      <c r="AF77" s="18"/>
      <c r="AG77" s="18"/>
      <c r="AH77" s="18"/>
      <c r="AI77" s="24"/>
      <c r="AJ77" s="24"/>
      <c r="AK77" s="24"/>
      <c r="AL77" s="18"/>
      <c r="AM77" s="18"/>
      <c r="AN77" s="25"/>
      <c r="AO77" s="18"/>
      <c r="AP77" s="18"/>
      <c r="AQ77" s="18"/>
    </row>
    <row r="78" spans="1:43" ht="42.75">
      <c r="A78" s="18" t="s">
        <v>2104</v>
      </c>
      <c r="B78" s="45" t="s">
        <v>1254</v>
      </c>
      <c r="C78" s="18" t="s">
        <v>202</v>
      </c>
      <c r="D78" s="18" t="s">
        <v>2490</v>
      </c>
      <c r="E78" s="19" t="s">
        <v>1173</v>
      </c>
      <c r="F78" s="18" t="s">
        <v>240</v>
      </c>
      <c r="G78" s="74" t="s">
        <v>1496</v>
      </c>
      <c r="H78" s="79" t="s">
        <v>2317</v>
      </c>
      <c r="I78" s="82" t="s">
        <v>2307</v>
      </c>
      <c r="J78" s="57" t="s">
        <v>2305</v>
      </c>
      <c r="K78" s="57" t="s">
        <v>2306</v>
      </c>
      <c r="L78" s="79" t="s">
        <v>2304</v>
      </c>
      <c r="M78" s="18" t="s">
        <v>2659</v>
      </c>
      <c r="N78" s="18">
        <v>2023</v>
      </c>
      <c r="O78" s="18" t="s">
        <v>1670</v>
      </c>
      <c r="P78" s="77" t="s">
        <v>2667</v>
      </c>
      <c r="Q78" s="18"/>
      <c r="R78" s="18"/>
      <c r="S78" s="29"/>
      <c r="T78" s="18"/>
      <c r="U78" s="18"/>
      <c r="V78" s="18"/>
      <c r="W78" s="18"/>
      <c r="X78" s="18" t="s">
        <v>2668</v>
      </c>
      <c r="Y78" s="18" t="s">
        <v>2669</v>
      </c>
      <c r="Z78" s="77" t="s">
        <v>2670</v>
      </c>
      <c r="AA78" s="18" t="s">
        <v>2671</v>
      </c>
      <c r="AB78" s="18"/>
      <c r="AC78" s="77" t="s">
        <v>2672</v>
      </c>
      <c r="AD78" s="18" t="s">
        <v>2340</v>
      </c>
      <c r="AE78" s="18"/>
      <c r="AF78" s="18"/>
      <c r="AG78" s="18"/>
      <c r="AH78" s="18"/>
      <c r="AI78" s="24"/>
      <c r="AJ78" s="24"/>
      <c r="AK78" s="24"/>
      <c r="AL78" s="18"/>
      <c r="AM78" s="18"/>
      <c r="AN78" s="25"/>
      <c r="AO78" s="18"/>
      <c r="AP78" s="18"/>
      <c r="AQ78" s="18"/>
    </row>
    <row r="79" spans="1:43" ht="48">
      <c r="A79" s="18" t="s">
        <v>2105</v>
      </c>
      <c r="B79" s="45" t="s">
        <v>1255</v>
      </c>
      <c r="C79" s="18" t="s">
        <v>202</v>
      </c>
      <c r="D79" s="18" t="s">
        <v>2797</v>
      </c>
      <c r="E79" s="19" t="s">
        <v>1173</v>
      </c>
      <c r="F79" s="18" t="s">
        <v>240</v>
      </c>
      <c r="G79" s="74" t="s">
        <v>1497</v>
      </c>
      <c r="H79" s="15" t="s">
        <v>2798</v>
      </c>
      <c r="I79" s="82" t="s">
        <v>2799</v>
      </c>
      <c r="J79" s="82" t="s">
        <v>2801</v>
      </c>
      <c r="K79" s="82" t="s">
        <v>2803</v>
      </c>
      <c r="L79" s="15" t="s">
        <v>2802</v>
      </c>
      <c r="M79" s="18" t="s">
        <v>2800</v>
      </c>
      <c r="N79" s="18">
        <v>2023</v>
      </c>
      <c r="O79" s="18" t="s">
        <v>1670</v>
      </c>
      <c r="P79" t="s">
        <v>2810</v>
      </c>
      <c r="Q79" s="18"/>
      <c r="R79" s="18"/>
      <c r="S79" s="29"/>
      <c r="T79" s="18"/>
      <c r="U79" s="18"/>
      <c r="V79" s="18"/>
      <c r="W79" s="18"/>
      <c r="X79" t="s">
        <v>2811</v>
      </c>
      <c r="Y79" s="18" t="s">
        <v>2812</v>
      </c>
      <c r="Z79" s="18"/>
      <c r="AA79" s="18"/>
      <c r="AB79" s="18"/>
      <c r="AC79" s="18"/>
      <c r="AD79" s="18"/>
      <c r="AE79" s="18"/>
      <c r="AF79" s="18"/>
      <c r="AG79" s="18"/>
      <c r="AH79" s="18"/>
      <c r="AI79" s="24"/>
      <c r="AJ79" s="24"/>
      <c r="AK79" s="24"/>
      <c r="AL79" s="18"/>
      <c r="AM79" s="18"/>
      <c r="AN79" s="25"/>
      <c r="AO79" s="18"/>
      <c r="AP79" s="18"/>
      <c r="AQ79" s="18"/>
    </row>
    <row r="80" spans="1:43" ht="96">
      <c r="A80" s="18" t="s">
        <v>2106</v>
      </c>
      <c r="B80" s="45" t="s">
        <v>1256</v>
      </c>
      <c r="C80" s="18"/>
      <c r="D80" s="18" t="s">
        <v>2499</v>
      </c>
      <c r="E80" s="19" t="s">
        <v>1173</v>
      </c>
      <c r="F80" s="18" t="s">
        <v>240</v>
      </c>
      <c r="G80" s="15" t="s">
        <v>1498</v>
      </c>
      <c r="H80" s="15" t="s">
        <v>2844</v>
      </c>
      <c r="I80" s="82" t="s">
        <v>2472</v>
      </c>
      <c r="J80" s="57" t="s">
        <v>2477</v>
      </c>
      <c r="K80" s="82" t="s">
        <v>2478</v>
      </c>
      <c r="L80" s="106" t="s">
        <v>2479</v>
      </c>
      <c r="M80" s="18" t="s">
        <v>2476</v>
      </c>
      <c r="N80" s="18">
        <v>2025</v>
      </c>
      <c r="O80" s="18" t="s">
        <v>1670</v>
      </c>
      <c r="P80" s="77" t="s">
        <v>2845</v>
      </c>
      <c r="Q80" s="18"/>
      <c r="R80" s="18"/>
      <c r="S80" s="29"/>
      <c r="T80" s="18"/>
      <c r="U80" s="18"/>
      <c r="V80" s="18"/>
      <c r="W80" s="18"/>
      <c r="X80" s="18" t="s">
        <v>2848</v>
      </c>
      <c r="Y80" s="18" t="s">
        <v>2846</v>
      </c>
      <c r="Z80" s="77" t="s">
        <v>2847</v>
      </c>
      <c r="AA80" s="18"/>
      <c r="AB80" s="18"/>
      <c r="AC80" s="18"/>
      <c r="AD80" s="18"/>
      <c r="AE80" s="18"/>
      <c r="AF80" s="18"/>
      <c r="AG80" s="18"/>
      <c r="AH80" s="18"/>
      <c r="AI80" s="24"/>
      <c r="AJ80" s="24"/>
      <c r="AK80" s="24"/>
      <c r="AL80" s="18"/>
      <c r="AM80" s="18"/>
      <c r="AN80" s="25"/>
      <c r="AO80" s="18"/>
      <c r="AP80" s="18" t="s">
        <v>2849</v>
      </c>
      <c r="AQ80" s="18"/>
    </row>
    <row r="81" spans="1:43" ht="71.25">
      <c r="A81" s="18" t="s">
        <v>2107</v>
      </c>
      <c r="B81" s="45" t="s">
        <v>1257</v>
      </c>
      <c r="C81" s="18" t="s">
        <v>202</v>
      </c>
      <c r="D81" s="18" t="s">
        <v>2491</v>
      </c>
      <c r="E81" s="19" t="s">
        <v>1173</v>
      </c>
      <c r="F81" s="18" t="s">
        <v>240</v>
      </c>
      <c r="G81" s="74" t="s">
        <v>1499</v>
      </c>
      <c r="H81" s="15" t="s">
        <v>2721</v>
      </c>
      <c r="I81" s="82" t="s">
        <v>2722</v>
      </c>
      <c r="J81" s="82" t="s">
        <v>2723</v>
      </c>
      <c r="K81" s="82" t="s">
        <v>2725</v>
      </c>
      <c r="L81" s="15" t="s">
        <v>2724</v>
      </c>
      <c r="M81" s="18" t="s">
        <v>2727</v>
      </c>
      <c r="N81" s="18">
        <v>2023</v>
      </c>
      <c r="O81" s="18" t="s">
        <v>1670</v>
      </c>
      <c r="P81" s="77" t="s">
        <v>2733</v>
      </c>
      <c r="Q81" s="18"/>
      <c r="R81" s="18"/>
      <c r="S81" s="29"/>
      <c r="T81" s="18"/>
      <c r="U81" s="18"/>
      <c r="V81" s="18"/>
      <c r="W81" s="18"/>
      <c r="X81" s="103" t="s">
        <v>2734</v>
      </c>
      <c r="Y81" s="18" t="s">
        <v>2741</v>
      </c>
      <c r="Z81" t="s">
        <v>2742</v>
      </c>
      <c r="AA81" s="3" t="s">
        <v>2735</v>
      </c>
      <c r="AB81" s="18"/>
      <c r="AC81" s="18"/>
      <c r="AD81" s="18"/>
      <c r="AE81" s="18"/>
      <c r="AF81" s="18"/>
      <c r="AG81" s="18"/>
      <c r="AH81" s="18"/>
      <c r="AI81" s="24"/>
      <c r="AJ81" s="24"/>
      <c r="AK81" s="24"/>
      <c r="AL81" s="18"/>
      <c r="AM81" s="18"/>
      <c r="AN81" s="25"/>
      <c r="AO81" s="18"/>
      <c r="AP81" s="18"/>
      <c r="AQ81" s="18"/>
    </row>
    <row r="82" spans="1:43" ht="60">
      <c r="A82" s="18" t="s">
        <v>2108</v>
      </c>
      <c r="B82" s="45" t="s">
        <v>1258</v>
      </c>
      <c r="C82" s="18" t="s">
        <v>55</v>
      </c>
      <c r="D82" s="18"/>
      <c r="E82" s="19" t="s">
        <v>1173</v>
      </c>
      <c r="F82" s="18" t="s">
        <v>240</v>
      </c>
      <c r="G82" s="15" t="s">
        <v>1500</v>
      </c>
      <c r="H82" s="15" t="s">
        <v>2864</v>
      </c>
      <c r="I82" s="57"/>
      <c r="J82" s="57"/>
      <c r="K82" s="57"/>
      <c r="L82" s="57"/>
      <c r="M82" s="18" t="s">
        <v>2865</v>
      </c>
      <c r="N82" s="18">
        <v>2022</v>
      </c>
      <c r="O82" s="18" t="s">
        <v>1670</v>
      </c>
      <c r="P82" s="77" t="s">
        <v>2869</v>
      </c>
      <c r="Q82" s="18"/>
      <c r="R82" s="18"/>
      <c r="S82" s="29"/>
      <c r="T82" s="18"/>
      <c r="U82" s="18"/>
      <c r="V82" s="18"/>
      <c r="W82" s="18"/>
      <c r="X82" s="18" t="s">
        <v>2868</v>
      </c>
      <c r="Y82" s="18" t="s">
        <v>2866</v>
      </c>
      <c r="Z82" s="78" t="s">
        <v>2867</v>
      </c>
      <c r="AA82" s="18" t="s">
        <v>2870</v>
      </c>
      <c r="AB82" s="18"/>
      <c r="AC82" s="18"/>
      <c r="AD82" s="18"/>
      <c r="AE82" s="18"/>
      <c r="AF82" s="18"/>
      <c r="AG82" s="18"/>
      <c r="AH82" s="18"/>
      <c r="AI82" s="24"/>
      <c r="AJ82" s="24"/>
      <c r="AK82" s="24"/>
      <c r="AL82" s="18"/>
      <c r="AM82" s="18"/>
      <c r="AN82" s="25"/>
      <c r="AO82" s="18"/>
      <c r="AP82" s="18"/>
      <c r="AQ82" s="18"/>
    </row>
    <row r="83" spans="1:43" ht="60">
      <c r="A83" s="18" t="s">
        <v>2109</v>
      </c>
      <c r="B83" s="45" t="s">
        <v>1259</v>
      </c>
      <c r="C83" s="18" t="s">
        <v>55</v>
      </c>
      <c r="D83" s="18"/>
      <c r="E83" s="19" t="s">
        <v>1173</v>
      </c>
      <c r="F83" s="18" t="s">
        <v>240</v>
      </c>
      <c r="G83" s="15" t="s">
        <v>1501</v>
      </c>
      <c r="H83" s="57" t="s">
        <v>2872</v>
      </c>
      <c r="I83" s="57"/>
      <c r="J83" s="57"/>
      <c r="K83" s="57"/>
      <c r="L83" s="57"/>
      <c r="M83" s="18" t="s">
        <v>2873</v>
      </c>
      <c r="N83" s="18">
        <v>2022</v>
      </c>
      <c r="O83" s="18" t="s">
        <v>1670</v>
      </c>
      <c r="P83" s="77" t="s">
        <v>2877</v>
      </c>
      <c r="Q83" s="18"/>
      <c r="R83" s="18"/>
      <c r="S83" s="29"/>
      <c r="T83" s="18"/>
      <c r="U83" s="18"/>
      <c r="V83" s="18"/>
      <c r="W83" s="18"/>
      <c r="X83" s="18" t="s">
        <v>2871</v>
      </c>
      <c r="Y83" s="18" t="s">
        <v>2874</v>
      </c>
      <c r="Z83" s="78" t="s">
        <v>2875</v>
      </c>
      <c r="AA83" s="18" t="s">
        <v>2876</v>
      </c>
      <c r="AB83" s="18"/>
      <c r="AC83" s="18"/>
      <c r="AD83" s="18"/>
      <c r="AE83" s="18"/>
      <c r="AF83" s="18"/>
      <c r="AG83" s="18"/>
      <c r="AH83" s="18"/>
      <c r="AI83" s="24"/>
      <c r="AJ83" s="24"/>
      <c r="AK83" s="24"/>
      <c r="AL83" s="18"/>
      <c r="AM83" s="18"/>
      <c r="AN83" s="25"/>
      <c r="AO83" s="18"/>
      <c r="AP83" s="18"/>
      <c r="AQ83" s="18"/>
    </row>
    <row r="84" spans="1:43" ht="36">
      <c r="A84" s="18" t="s">
        <v>2110</v>
      </c>
      <c r="B84" s="45" t="s">
        <v>1260</v>
      </c>
      <c r="C84" s="18" t="s">
        <v>202</v>
      </c>
      <c r="D84" s="18" t="s">
        <v>2486</v>
      </c>
      <c r="E84" s="19" t="s">
        <v>1173</v>
      </c>
      <c r="F84" s="18" t="s">
        <v>240</v>
      </c>
      <c r="G84" s="74" t="s">
        <v>1502</v>
      </c>
      <c r="H84" s="79" t="s">
        <v>2518</v>
      </c>
      <c r="I84" s="82" t="s">
        <v>2519</v>
      </c>
      <c r="J84" s="80" t="s">
        <v>2521</v>
      </c>
      <c r="K84" s="82" t="s">
        <v>2522</v>
      </c>
      <c r="L84" s="79" t="s">
        <v>2520</v>
      </c>
      <c r="M84" s="18" t="s">
        <v>2529</v>
      </c>
      <c r="N84" s="18">
        <v>2023</v>
      </c>
      <c r="O84" s="18" t="s">
        <v>1670</v>
      </c>
      <c r="P84" s="89" t="s">
        <v>2530</v>
      </c>
      <c r="Q84" s="18"/>
      <c r="R84" s="18"/>
      <c r="S84" s="29"/>
      <c r="T84" s="18"/>
      <c r="U84" s="18"/>
      <c r="V84" s="18"/>
      <c r="W84" s="18"/>
      <c r="X84" s="18" t="s">
        <v>2532</v>
      </c>
      <c r="Y84" s="113" t="s">
        <v>2533</v>
      </c>
      <c r="Z84" s="89" t="s">
        <v>2534</v>
      </c>
      <c r="AA84" s="18" t="s">
        <v>2531</v>
      </c>
      <c r="AB84" s="18"/>
      <c r="AC84" s="18" t="s">
        <v>2535</v>
      </c>
      <c r="AD84" s="18" t="s">
        <v>2484</v>
      </c>
      <c r="AE84" s="18"/>
      <c r="AF84" s="18"/>
      <c r="AG84" s="18"/>
      <c r="AH84" s="18"/>
      <c r="AI84" s="24"/>
      <c r="AJ84" s="24"/>
      <c r="AK84" s="24"/>
      <c r="AL84" s="18"/>
      <c r="AM84" s="18"/>
      <c r="AN84" s="25"/>
      <c r="AO84" s="18"/>
      <c r="AP84" s="18"/>
      <c r="AQ84" s="18"/>
    </row>
    <row r="85" spans="1:43" ht="48">
      <c r="A85" s="18" t="s">
        <v>2111</v>
      </c>
      <c r="B85" s="45" t="s">
        <v>1261</v>
      </c>
      <c r="C85" s="18" t="s">
        <v>202</v>
      </c>
      <c r="D85" s="18" t="s">
        <v>2488</v>
      </c>
      <c r="E85" s="19" t="s">
        <v>1173</v>
      </c>
      <c r="F85" s="18" t="s">
        <v>240</v>
      </c>
      <c r="G85" s="74" t="s">
        <v>1503</v>
      </c>
      <c r="H85" s="15" t="s">
        <v>2711</v>
      </c>
      <c r="I85" s="82" t="s">
        <v>2705</v>
      </c>
      <c r="J85" s="82" t="s">
        <v>2708</v>
      </c>
      <c r="K85" s="82" t="s">
        <v>2710</v>
      </c>
      <c r="L85" s="15" t="s">
        <v>2709</v>
      </c>
      <c r="M85" s="18" t="s">
        <v>2706</v>
      </c>
      <c r="N85" s="18">
        <v>2025</v>
      </c>
      <c r="O85" s="18" t="s">
        <v>1671</v>
      </c>
      <c r="P85" s="128" t="s">
        <v>2720</v>
      </c>
      <c r="Q85" s="18"/>
      <c r="R85" s="18"/>
      <c r="S85" s="29"/>
      <c r="T85" s="18"/>
      <c r="U85" s="18"/>
      <c r="V85" s="18"/>
      <c r="W85" s="18"/>
      <c r="X85" s="18" t="s">
        <v>2708</v>
      </c>
      <c r="Y85" s="18" t="s">
        <v>2718</v>
      </c>
      <c r="Z85" s="77" t="s">
        <v>2719</v>
      </c>
      <c r="AA85" s="18" t="s">
        <v>2717</v>
      </c>
      <c r="AB85" s="18"/>
      <c r="AC85" s="18"/>
      <c r="AD85" s="18"/>
      <c r="AE85" s="18"/>
      <c r="AF85" s="18"/>
      <c r="AG85" s="18"/>
      <c r="AH85" s="18"/>
      <c r="AI85" s="24"/>
      <c r="AJ85" s="24"/>
      <c r="AK85" s="24"/>
      <c r="AL85" s="18"/>
      <c r="AM85" s="18"/>
      <c r="AN85" s="25"/>
      <c r="AO85" s="18"/>
      <c r="AP85" s="18"/>
      <c r="AQ85" s="18"/>
    </row>
    <row r="86" spans="1:43" ht="36">
      <c r="A86" s="18" t="s">
        <v>2112</v>
      </c>
      <c r="B86" s="45" t="s">
        <v>1262</v>
      </c>
      <c r="C86" s="18" t="s">
        <v>55</v>
      </c>
      <c r="D86" s="18"/>
      <c r="E86" s="19" t="s">
        <v>1173</v>
      </c>
      <c r="F86" s="18" t="s">
        <v>240</v>
      </c>
      <c r="G86" s="15" t="s">
        <v>1504</v>
      </c>
      <c r="H86" s="15" t="s">
        <v>2879</v>
      </c>
      <c r="I86" s="57"/>
      <c r="J86" s="57"/>
      <c r="K86" s="57"/>
      <c r="L86" s="57"/>
      <c r="M86" s="18" t="s">
        <v>2878</v>
      </c>
      <c r="N86" s="18">
        <v>2022</v>
      </c>
      <c r="O86" s="18" t="s">
        <v>1670</v>
      </c>
      <c r="P86" s="77" t="s">
        <v>2880</v>
      </c>
      <c r="Q86" s="18"/>
      <c r="R86" s="18"/>
      <c r="S86" s="29"/>
      <c r="T86" s="18"/>
      <c r="U86" s="18"/>
      <c r="V86" s="18"/>
      <c r="W86" s="18"/>
      <c r="X86" s="18" t="s">
        <v>2881</v>
      </c>
      <c r="Y86" s="18" t="s">
        <v>2882</v>
      </c>
      <c r="Z86" s="18" t="s">
        <v>2883</v>
      </c>
      <c r="AA86" s="18" t="s">
        <v>2884</v>
      </c>
      <c r="AB86" s="18"/>
      <c r="AC86" s="18"/>
      <c r="AD86" s="18"/>
      <c r="AE86" s="18"/>
      <c r="AF86" s="18"/>
      <c r="AG86" s="18"/>
      <c r="AH86" s="18"/>
      <c r="AI86" s="24"/>
      <c r="AJ86" s="24"/>
      <c r="AK86" s="24"/>
      <c r="AL86" s="18"/>
      <c r="AM86" s="18"/>
      <c r="AN86" s="25"/>
      <c r="AO86" s="18"/>
      <c r="AP86" s="18"/>
      <c r="AQ86" s="18"/>
    </row>
    <row r="87" spans="1:43" s="146" customFormat="1" ht="36">
      <c r="A87" s="32" t="s">
        <v>2113</v>
      </c>
      <c r="B87" s="140" t="s">
        <v>1263</v>
      </c>
      <c r="C87" s="32" t="s">
        <v>55</v>
      </c>
      <c r="D87" s="32"/>
      <c r="E87" s="141" t="s">
        <v>1173</v>
      </c>
      <c r="F87" s="32" t="s">
        <v>240</v>
      </c>
      <c r="G87" s="142" t="s">
        <v>1505</v>
      </c>
      <c r="H87" s="142" t="s">
        <v>2888</v>
      </c>
      <c r="I87" s="106"/>
      <c r="J87" s="106"/>
      <c r="K87" s="106"/>
      <c r="L87" s="106"/>
      <c r="M87" s="32" t="s">
        <v>2889</v>
      </c>
      <c r="N87" s="32">
        <v>2022</v>
      </c>
      <c r="O87" s="32" t="s">
        <v>2364</v>
      </c>
      <c r="P87" s="32"/>
      <c r="Q87" s="32"/>
      <c r="R87" s="32"/>
      <c r="S87" s="143"/>
      <c r="T87" s="32"/>
      <c r="U87" s="32"/>
      <c r="V87" s="32"/>
      <c r="W87" s="32"/>
      <c r="X87" s="32"/>
      <c r="Y87" s="32"/>
      <c r="Z87" s="32"/>
      <c r="AA87" s="32"/>
      <c r="AB87" s="32"/>
      <c r="AC87" s="32"/>
      <c r="AD87" s="32"/>
      <c r="AE87" s="32"/>
      <c r="AF87" s="32"/>
      <c r="AG87" s="32"/>
      <c r="AH87" s="32"/>
      <c r="AI87" s="144"/>
      <c r="AJ87" s="144"/>
      <c r="AK87" s="144"/>
      <c r="AL87" s="32"/>
      <c r="AM87" s="32"/>
      <c r="AN87" s="145"/>
      <c r="AO87" s="32"/>
      <c r="AP87" s="32"/>
      <c r="AQ87" s="32"/>
    </row>
    <row r="88" spans="1:43" ht="72">
      <c r="A88" s="18" t="s">
        <v>2114</v>
      </c>
      <c r="B88" s="45" t="s">
        <v>1264</v>
      </c>
      <c r="C88" s="18" t="s">
        <v>202</v>
      </c>
      <c r="D88" s="18" t="s">
        <v>2498</v>
      </c>
      <c r="E88" s="19" t="s">
        <v>1173</v>
      </c>
      <c r="F88" s="18" t="s">
        <v>240</v>
      </c>
      <c r="G88" s="15" t="s">
        <v>1506</v>
      </c>
      <c r="H88" s="15" t="s">
        <v>2890</v>
      </c>
      <c r="I88" s="82" t="s">
        <v>2891</v>
      </c>
      <c r="J88" s="147" t="s">
        <v>2892</v>
      </c>
      <c r="K88" s="82" t="s">
        <v>2893</v>
      </c>
      <c r="L88" s="15" t="s">
        <v>2895</v>
      </c>
      <c r="M88" s="18" t="s">
        <v>2896</v>
      </c>
      <c r="N88" s="18">
        <v>2020</v>
      </c>
      <c r="O88" s="18" t="s">
        <v>1670</v>
      </c>
      <c r="P88" s="77" t="s">
        <v>2897</v>
      </c>
      <c r="Q88" s="18"/>
      <c r="R88" s="18"/>
      <c r="S88" s="29"/>
      <c r="T88" s="18"/>
      <c r="U88" s="18"/>
      <c r="V88" s="18"/>
      <c r="W88" s="18"/>
      <c r="X88" s="18" t="s">
        <v>2898</v>
      </c>
      <c r="Y88" s="18"/>
      <c r="Z88" s="18"/>
      <c r="AA88" s="18"/>
      <c r="AB88" s="18"/>
      <c r="AC88" s="18"/>
      <c r="AD88" s="18"/>
      <c r="AE88" s="18"/>
      <c r="AF88" s="18"/>
      <c r="AG88" s="18"/>
      <c r="AH88" s="18"/>
      <c r="AI88" s="24"/>
      <c r="AJ88" s="24"/>
      <c r="AK88" s="24"/>
      <c r="AL88" s="18"/>
      <c r="AM88" s="18"/>
      <c r="AN88" s="25"/>
      <c r="AO88" s="18"/>
      <c r="AP88" s="18" t="s">
        <v>2899</v>
      </c>
      <c r="AQ88" s="18"/>
    </row>
    <row r="89" spans="1:43" s="139" customFormat="1" ht="36">
      <c r="A89" s="50" t="s">
        <v>2115</v>
      </c>
      <c r="B89" s="132" t="s">
        <v>1265</v>
      </c>
      <c r="C89" s="50" t="s">
        <v>55</v>
      </c>
      <c r="D89" s="50"/>
      <c r="E89" s="133" t="s">
        <v>1173</v>
      </c>
      <c r="F89" s="50" t="s">
        <v>240</v>
      </c>
      <c r="G89" s="149" t="s">
        <v>1507</v>
      </c>
      <c r="H89" s="134" t="s">
        <v>2905</v>
      </c>
      <c r="I89" s="135"/>
      <c r="J89" s="135"/>
      <c r="K89" s="135"/>
      <c r="L89" s="135"/>
      <c r="M89" s="50" t="s">
        <v>2906</v>
      </c>
      <c r="N89" s="50"/>
      <c r="O89" s="50"/>
      <c r="P89" s="50"/>
      <c r="Q89" s="50"/>
      <c r="R89" s="50"/>
      <c r="S89" s="136"/>
      <c r="T89" s="50"/>
      <c r="U89" s="50"/>
      <c r="V89" s="50"/>
      <c r="W89" s="50"/>
      <c r="X89" s="50"/>
      <c r="Y89" s="50"/>
      <c r="Z89" s="50"/>
      <c r="AA89" s="50"/>
      <c r="AB89" s="50"/>
      <c r="AC89" s="50"/>
      <c r="AD89" s="50"/>
      <c r="AE89" s="50"/>
      <c r="AF89" s="50"/>
      <c r="AG89" s="50"/>
      <c r="AH89" s="50"/>
      <c r="AI89" s="137"/>
      <c r="AJ89" s="137"/>
      <c r="AK89" s="137"/>
      <c r="AL89" s="50"/>
      <c r="AM89" s="50"/>
      <c r="AN89" s="138"/>
      <c r="AO89" s="50"/>
      <c r="AP89" s="50" t="s">
        <v>2907</v>
      </c>
      <c r="AQ89" s="50"/>
    </row>
    <row r="90" spans="1:43" ht="48">
      <c r="A90" s="18" t="s">
        <v>2116</v>
      </c>
      <c r="B90" s="45" t="s">
        <v>1266</v>
      </c>
      <c r="C90" s="18" t="s">
        <v>202</v>
      </c>
      <c r="D90" s="18" t="s">
        <v>2361</v>
      </c>
      <c r="E90" s="19" t="s">
        <v>1173</v>
      </c>
      <c r="F90" s="18" t="s">
        <v>240</v>
      </c>
      <c r="G90" s="74" t="s">
        <v>1508</v>
      </c>
      <c r="H90" s="79" t="s">
        <v>2542</v>
      </c>
      <c r="I90" s="82" t="s">
        <v>2543</v>
      </c>
      <c r="J90" s="82" t="s">
        <v>2545</v>
      </c>
      <c r="K90" s="82" t="s">
        <v>2546</v>
      </c>
      <c r="L90" s="79" t="s">
        <v>2544</v>
      </c>
      <c r="M90" s="17" t="s">
        <v>2548</v>
      </c>
      <c r="N90" s="18">
        <v>2025</v>
      </c>
      <c r="O90" s="50" t="s">
        <v>1671</v>
      </c>
      <c r="P90" s="89" t="s">
        <v>2558</v>
      </c>
      <c r="Q90" s="18"/>
      <c r="R90" s="18"/>
      <c r="S90" s="29"/>
      <c r="T90" s="18"/>
      <c r="U90" s="18"/>
      <c r="V90" s="18"/>
      <c r="W90" s="18"/>
      <c r="X90" s="18" t="s">
        <v>2557</v>
      </c>
      <c r="Y90" s="18" t="s">
        <v>2555</v>
      </c>
      <c r="Z90" s="89" t="s">
        <v>2556</v>
      </c>
      <c r="AA90" s="18" t="s">
        <v>2559</v>
      </c>
      <c r="AB90" s="18"/>
      <c r="AC90" s="18"/>
      <c r="AD90" s="18"/>
      <c r="AE90" s="18"/>
      <c r="AF90" s="18"/>
      <c r="AG90" s="18"/>
      <c r="AH90" s="18"/>
      <c r="AI90" s="24"/>
      <c r="AJ90" s="24"/>
      <c r="AK90" s="24"/>
      <c r="AL90" s="18"/>
      <c r="AM90" s="18"/>
      <c r="AN90" s="25"/>
      <c r="AO90" s="18"/>
      <c r="AP90" s="18"/>
      <c r="AQ90" s="18"/>
    </row>
    <row r="91" spans="1:43" ht="36">
      <c r="A91" s="18" t="s">
        <v>2117</v>
      </c>
      <c r="B91" s="45" t="s">
        <v>1267</v>
      </c>
      <c r="C91" s="18"/>
      <c r="D91" s="18"/>
      <c r="E91" s="19" t="s">
        <v>1173</v>
      </c>
      <c r="F91" s="18" t="s">
        <v>240</v>
      </c>
      <c r="G91" s="74" t="s">
        <v>1509</v>
      </c>
      <c r="H91" s="79" t="s">
        <v>2431</v>
      </c>
      <c r="I91" s="82" t="s">
        <v>2432</v>
      </c>
      <c r="J91" s="82" t="s">
        <v>2433</v>
      </c>
      <c r="K91" s="82" t="s">
        <v>2435</v>
      </c>
      <c r="L91" s="79" t="s">
        <v>2434</v>
      </c>
      <c r="M91" s="18" t="s">
        <v>2436</v>
      </c>
      <c r="N91" s="18">
        <v>2020</v>
      </c>
      <c r="O91" s="18" t="s">
        <v>1670</v>
      </c>
      <c r="P91" s="89" t="s">
        <v>2441</v>
      </c>
      <c r="Q91" s="18"/>
      <c r="R91" s="18"/>
      <c r="S91" s="29"/>
      <c r="T91" s="18"/>
      <c r="U91" s="18"/>
      <c r="V91" s="18"/>
      <c r="W91" s="18"/>
      <c r="X91" s="18" t="s">
        <v>2440</v>
      </c>
      <c r="Y91" s="114" t="s">
        <v>2438</v>
      </c>
      <c r="Z91" s="89" t="s">
        <v>2439</v>
      </c>
      <c r="AA91" s="18" t="s">
        <v>2437</v>
      </c>
      <c r="AB91" s="18"/>
      <c r="AC91" s="18"/>
      <c r="AD91" s="18"/>
      <c r="AE91" s="18"/>
      <c r="AF91" s="18"/>
      <c r="AG91" s="18"/>
      <c r="AH91" s="18"/>
      <c r="AI91" s="24"/>
      <c r="AJ91" s="24"/>
      <c r="AK91" s="24"/>
      <c r="AL91" s="18"/>
      <c r="AM91" s="18"/>
      <c r="AN91" s="25"/>
      <c r="AO91" s="18"/>
      <c r="AP91" s="18"/>
      <c r="AQ91" s="18"/>
    </row>
    <row r="92" spans="1:43" ht="60">
      <c r="A92" s="18" t="s">
        <v>2118</v>
      </c>
      <c r="B92" s="45" t="s">
        <v>1268</v>
      </c>
      <c r="C92" s="18" t="s">
        <v>55</v>
      </c>
      <c r="D92" s="18"/>
      <c r="E92" s="19" t="s">
        <v>1173</v>
      </c>
      <c r="F92" s="18" t="s">
        <v>240</v>
      </c>
      <c r="G92" s="15" t="s">
        <v>1510</v>
      </c>
      <c r="H92" s="15" t="s">
        <v>2908</v>
      </c>
      <c r="I92" s="57"/>
      <c r="J92" s="57"/>
      <c r="K92" s="57"/>
      <c r="L92" s="57"/>
      <c r="M92" s="18" t="s">
        <v>2909</v>
      </c>
      <c r="N92" s="18">
        <v>2025</v>
      </c>
      <c r="O92" s="18" t="s">
        <v>1670</v>
      </c>
      <c r="P92" s="77" t="s">
        <v>2910</v>
      </c>
      <c r="Q92" s="18"/>
      <c r="R92" s="18"/>
      <c r="S92" s="29"/>
      <c r="T92" s="18"/>
      <c r="U92" s="18"/>
      <c r="V92" s="18"/>
      <c r="W92" s="18"/>
      <c r="X92" t="s">
        <v>2911</v>
      </c>
      <c r="Y92" s="18" t="s">
        <v>2913</v>
      </c>
      <c r="Z92" s="77" t="s">
        <v>2914</v>
      </c>
      <c r="AA92" s="18" t="s">
        <v>2912</v>
      </c>
      <c r="AB92" s="18"/>
      <c r="AC92" s="18"/>
      <c r="AD92" s="18"/>
      <c r="AE92" s="18"/>
      <c r="AF92" s="18"/>
      <c r="AG92" s="18"/>
      <c r="AH92" s="18"/>
      <c r="AI92" s="24"/>
      <c r="AJ92" s="24"/>
      <c r="AK92" s="24"/>
      <c r="AL92" s="18"/>
      <c r="AM92" s="18"/>
      <c r="AN92" s="25"/>
      <c r="AO92" s="18"/>
      <c r="AP92" s="18"/>
      <c r="AQ92" s="18"/>
    </row>
    <row r="93" spans="1:43" ht="48.75" thickBot="1">
      <c r="A93" s="18" t="s">
        <v>2119</v>
      </c>
      <c r="B93" s="45" t="s">
        <v>1269</v>
      </c>
      <c r="C93" s="18" t="s">
        <v>202</v>
      </c>
      <c r="D93" s="18" t="s">
        <v>2501</v>
      </c>
      <c r="E93" s="19" t="s">
        <v>1173</v>
      </c>
      <c r="F93" s="18" t="s">
        <v>240</v>
      </c>
      <c r="G93" s="79" t="s">
        <v>1511</v>
      </c>
      <c r="H93" s="79" t="s">
        <v>2509</v>
      </c>
      <c r="I93" s="82" t="s">
        <v>2508</v>
      </c>
      <c r="J93" s="107" t="s">
        <v>2515</v>
      </c>
      <c r="K93" s="82" t="s">
        <v>2513</v>
      </c>
      <c r="L93" s="79" t="s">
        <v>2514</v>
      </c>
      <c r="M93" s="18" t="s">
        <v>2516</v>
      </c>
      <c r="N93" s="18">
        <v>2022</v>
      </c>
      <c r="O93" s="18" t="s">
        <v>1670</v>
      </c>
      <c r="P93" s="89" t="s">
        <v>2510</v>
      </c>
      <c r="Q93" s="18"/>
      <c r="R93" s="18"/>
      <c r="S93" s="29"/>
      <c r="T93" s="18"/>
      <c r="U93" s="18"/>
      <c r="V93" s="18"/>
      <c r="W93" s="18"/>
      <c r="X93" s="18" t="s">
        <v>2511</v>
      </c>
      <c r="Y93" s="18"/>
      <c r="Z93" s="18"/>
      <c r="AA93" s="18" t="s">
        <v>2916</v>
      </c>
      <c r="AB93" s="18"/>
      <c r="AC93" s="89" t="s">
        <v>2517</v>
      </c>
      <c r="AD93" s="18" t="s">
        <v>2008</v>
      </c>
      <c r="AE93" s="18"/>
      <c r="AF93" s="18"/>
      <c r="AG93" s="18"/>
      <c r="AH93" s="18"/>
      <c r="AI93" s="24"/>
      <c r="AJ93" s="24"/>
      <c r="AK93" s="24"/>
      <c r="AL93" s="18"/>
      <c r="AM93" s="18"/>
      <c r="AN93" s="25"/>
      <c r="AO93" s="18"/>
      <c r="AP93" s="18"/>
      <c r="AQ93" s="18"/>
    </row>
    <row r="94" spans="1:43" ht="72">
      <c r="A94" s="18" t="s">
        <v>2120</v>
      </c>
      <c r="B94" s="45" t="s">
        <v>1270</v>
      </c>
      <c r="C94" s="18"/>
      <c r="D94" s="18"/>
      <c r="E94" s="19" t="s">
        <v>1173</v>
      </c>
      <c r="F94" s="18" t="s">
        <v>240</v>
      </c>
      <c r="G94" s="15" t="s">
        <v>1512</v>
      </c>
      <c r="H94" s="15" t="s">
        <v>2917</v>
      </c>
      <c r="I94" s="57"/>
      <c r="J94" s="57"/>
      <c r="K94" s="57"/>
      <c r="L94" s="57"/>
      <c r="M94" s="18" t="s">
        <v>2918</v>
      </c>
      <c r="N94" s="18">
        <v>2021</v>
      </c>
      <c r="O94" s="18" t="s">
        <v>1670</v>
      </c>
      <c r="P94" s="77" t="s">
        <v>2919</v>
      </c>
      <c r="Q94" s="18"/>
      <c r="R94" s="18"/>
      <c r="S94" s="29"/>
      <c r="T94" s="18"/>
      <c r="U94" s="18"/>
      <c r="V94" s="18"/>
      <c r="W94" s="18"/>
      <c r="X94" s="18" t="s">
        <v>2920</v>
      </c>
      <c r="Y94" s="18" t="s">
        <v>2922</v>
      </c>
      <c r="Z94" s="77" t="s">
        <v>2923</v>
      </c>
      <c r="AA94" s="18" t="s">
        <v>2921</v>
      </c>
      <c r="AB94" s="18"/>
      <c r="AC94" s="18"/>
      <c r="AD94" s="18"/>
      <c r="AE94" s="18"/>
      <c r="AF94" s="18"/>
      <c r="AG94" s="18"/>
      <c r="AH94" s="18"/>
      <c r="AI94" s="24"/>
      <c r="AJ94" s="24"/>
      <c r="AK94" s="24"/>
      <c r="AL94" s="18"/>
      <c r="AM94" s="18"/>
      <c r="AN94" s="25"/>
      <c r="AO94" s="18"/>
      <c r="AP94" s="18"/>
      <c r="AQ94" s="18"/>
    </row>
    <row r="95" spans="1:43" ht="36">
      <c r="A95" s="18" t="s">
        <v>2121</v>
      </c>
      <c r="B95" s="45" t="s">
        <v>1271</v>
      </c>
      <c r="C95" s="18"/>
      <c r="D95" s="18" t="s">
        <v>2489</v>
      </c>
      <c r="E95" s="19" t="s">
        <v>1173</v>
      </c>
      <c r="F95" s="18" t="s">
        <v>240</v>
      </c>
      <c r="G95" s="74" t="s">
        <v>1513</v>
      </c>
      <c r="H95" s="15" t="s">
        <v>2745</v>
      </c>
      <c r="I95" s="98" t="s">
        <v>2746</v>
      </c>
      <c r="J95" s="82" t="s">
        <v>2749</v>
      </c>
      <c r="K95" t="s">
        <v>2748</v>
      </c>
      <c r="L95" t="s">
        <v>2747</v>
      </c>
      <c r="M95" t="s">
        <v>2751</v>
      </c>
      <c r="N95" s="18">
        <v>2023</v>
      </c>
      <c r="O95" s="18" t="s">
        <v>1670</v>
      </c>
      <c r="P95" s="77" t="s">
        <v>2761</v>
      </c>
      <c r="Q95" s="18"/>
      <c r="R95" s="18"/>
      <c r="S95" s="29"/>
      <c r="T95" s="18"/>
      <c r="U95" s="18"/>
      <c r="V95" s="18"/>
      <c r="W95" s="18"/>
      <c r="X95" s="18" t="s">
        <v>2762</v>
      </c>
      <c r="Y95" s="18" t="s">
        <v>2763</v>
      </c>
      <c r="Z95" s="31"/>
      <c r="AA95" s="18" t="s">
        <v>2765</v>
      </c>
      <c r="AB95" s="18"/>
      <c r="AC95" s="18"/>
      <c r="AD95" s="18"/>
      <c r="AE95" s="18"/>
      <c r="AF95" s="18"/>
      <c r="AG95" s="18"/>
      <c r="AH95" s="18"/>
      <c r="AI95" s="24"/>
      <c r="AJ95" s="24"/>
      <c r="AK95" s="24"/>
      <c r="AL95" s="18"/>
      <c r="AM95" s="18"/>
      <c r="AN95" s="25"/>
      <c r="AO95" s="18"/>
      <c r="AP95" s="18"/>
      <c r="AQ95" s="18"/>
    </row>
    <row r="96" spans="1:43" ht="60">
      <c r="A96" s="18" t="s">
        <v>2122</v>
      </c>
      <c r="B96" s="45" t="s">
        <v>1272</v>
      </c>
      <c r="C96" s="18"/>
      <c r="D96" s="18" t="s">
        <v>2489</v>
      </c>
      <c r="E96" s="19" t="s">
        <v>1173</v>
      </c>
      <c r="F96" s="18" t="s">
        <v>240</v>
      </c>
      <c r="G96" s="74" t="s">
        <v>1514</v>
      </c>
      <c r="H96" s="15" t="s">
        <v>2745</v>
      </c>
      <c r="I96" s="98" t="s">
        <v>2746</v>
      </c>
      <c r="J96" s="82" t="s">
        <v>2749</v>
      </c>
      <c r="K96" t="s">
        <v>2748</v>
      </c>
      <c r="L96" s="57" t="s">
        <v>2747</v>
      </c>
      <c r="M96" s="18" t="s">
        <v>2752</v>
      </c>
      <c r="N96" s="18"/>
      <c r="O96" s="18" t="s">
        <v>1670</v>
      </c>
      <c r="P96" t="s">
        <v>2766</v>
      </c>
      <c r="Q96" s="18"/>
      <c r="R96" s="18"/>
      <c r="S96" s="29"/>
      <c r="T96" s="18"/>
      <c r="U96" s="18"/>
      <c r="V96" s="18"/>
      <c r="W96" s="18"/>
      <c r="X96" s="18" t="s">
        <v>2768</v>
      </c>
      <c r="Y96" s="18" t="s">
        <v>2770</v>
      </c>
      <c r="Z96" s="77" t="s">
        <v>2769</v>
      </c>
      <c r="AA96" s="18" t="s">
        <v>2767</v>
      </c>
      <c r="AB96" s="18"/>
      <c r="AC96" s="18"/>
      <c r="AD96" s="18"/>
      <c r="AE96" s="18"/>
      <c r="AF96" s="18"/>
      <c r="AG96" s="18"/>
      <c r="AH96" s="18"/>
      <c r="AI96" s="24"/>
      <c r="AJ96" s="24"/>
      <c r="AK96" s="24"/>
      <c r="AL96" s="18"/>
      <c r="AM96" s="18"/>
      <c r="AN96" s="25"/>
      <c r="AO96" s="18"/>
      <c r="AP96" s="18"/>
      <c r="AQ96" s="18"/>
    </row>
    <row r="97" spans="1:43" ht="60">
      <c r="A97" s="18" t="s">
        <v>2123</v>
      </c>
      <c r="B97" s="45" t="s">
        <v>1273</v>
      </c>
      <c r="C97" s="18"/>
      <c r="D97" s="18" t="s">
        <v>2489</v>
      </c>
      <c r="E97" s="19" t="s">
        <v>1173</v>
      </c>
      <c r="F97" s="18" t="s">
        <v>240</v>
      </c>
      <c r="G97" s="74" t="s">
        <v>1515</v>
      </c>
      <c r="H97" s="15" t="s">
        <v>2745</v>
      </c>
      <c r="I97" s="98" t="s">
        <v>2746</v>
      </c>
      <c r="J97" s="82" t="s">
        <v>2749</v>
      </c>
      <c r="K97" t="s">
        <v>2748</v>
      </c>
      <c r="L97" s="57" t="s">
        <v>2747</v>
      </c>
      <c r="M97" s="18" t="s">
        <v>2753</v>
      </c>
      <c r="N97" s="18">
        <v>2021</v>
      </c>
      <c r="O97" s="18" t="s">
        <v>1670</v>
      </c>
      <c r="P97" t="s">
        <v>2772</v>
      </c>
      <c r="Q97" s="18"/>
      <c r="R97" s="18"/>
      <c r="S97" s="29"/>
      <c r="T97" s="18"/>
      <c r="U97" s="18"/>
      <c r="V97" s="18"/>
      <c r="W97" s="18"/>
      <c r="X97" s="18" t="s">
        <v>2771</v>
      </c>
      <c r="Y97" s="18" t="s">
        <v>2773</v>
      </c>
      <c r="Z97" s="77" t="s">
        <v>2775</v>
      </c>
      <c r="AA97" s="18" t="s">
        <v>2774</v>
      </c>
      <c r="AB97" s="18"/>
      <c r="AC97" s="18"/>
      <c r="AD97" s="18"/>
      <c r="AE97" s="18"/>
      <c r="AF97" s="18"/>
      <c r="AG97" s="18"/>
      <c r="AH97" s="18"/>
      <c r="AI97" s="24"/>
      <c r="AJ97" s="24"/>
      <c r="AK97" s="24"/>
      <c r="AL97" s="18"/>
      <c r="AM97" s="18"/>
      <c r="AN97" s="25"/>
      <c r="AO97" s="18"/>
      <c r="AP97" s="18"/>
      <c r="AQ97" s="18"/>
    </row>
    <row r="98" spans="1:43" ht="60">
      <c r="A98" s="18" t="s">
        <v>2124</v>
      </c>
      <c r="B98" s="45" t="s">
        <v>1274</v>
      </c>
      <c r="C98" s="18"/>
      <c r="D98" s="18" t="s">
        <v>2489</v>
      </c>
      <c r="E98" s="19" t="s">
        <v>1173</v>
      </c>
      <c r="F98" s="18" t="s">
        <v>240</v>
      </c>
      <c r="G98" s="74" t="s">
        <v>1516</v>
      </c>
      <c r="H98" s="15" t="s">
        <v>2745</v>
      </c>
      <c r="I98" s="98" t="s">
        <v>2746</v>
      </c>
      <c r="J98" s="82" t="s">
        <v>2749</v>
      </c>
      <c r="K98" t="s">
        <v>2748</v>
      </c>
      <c r="L98" s="57" t="s">
        <v>2747</v>
      </c>
      <c r="M98" s="18" t="s">
        <v>2754</v>
      </c>
      <c r="N98" s="18">
        <v>2024</v>
      </c>
      <c r="O98" s="18" t="s">
        <v>1670</v>
      </c>
      <c r="P98" s="77" t="s">
        <v>2778</v>
      </c>
      <c r="Q98" s="18"/>
      <c r="R98" s="18"/>
      <c r="S98" s="29"/>
      <c r="T98" s="18"/>
      <c r="U98" s="18"/>
      <c r="V98" s="18"/>
      <c r="W98" s="18"/>
      <c r="X98" s="18" t="s">
        <v>2779</v>
      </c>
      <c r="Y98" s="18" t="s">
        <v>2776</v>
      </c>
      <c r="Z98" s="77" t="s">
        <v>2780</v>
      </c>
      <c r="AA98" s="18" t="s">
        <v>2777</v>
      </c>
      <c r="AB98" s="18"/>
      <c r="AC98" s="18"/>
      <c r="AD98" s="18"/>
      <c r="AE98" s="18"/>
      <c r="AF98" s="18"/>
      <c r="AG98" s="18"/>
      <c r="AH98" s="18"/>
      <c r="AI98" s="24"/>
      <c r="AJ98" s="24"/>
      <c r="AK98" s="24"/>
      <c r="AL98" s="18"/>
      <c r="AM98" s="18"/>
      <c r="AN98" s="25"/>
      <c r="AO98" s="18"/>
      <c r="AP98" s="18"/>
      <c r="AQ98" s="18"/>
    </row>
    <row r="99" spans="1:43" ht="48">
      <c r="A99" s="18" t="s">
        <v>2125</v>
      </c>
      <c r="B99" s="45" t="s">
        <v>1275</v>
      </c>
      <c r="C99" s="18"/>
      <c r="D99" s="18" t="s">
        <v>2489</v>
      </c>
      <c r="E99" s="19" t="s">
        <v>1173</v>
      </c>
      <c r="F99" s="18" t="s">
        <v>240</v>
      </c>
      <c r="G99" s="74" t="s">
        <v>1517</v>
      </c>
      <c r="H99" s="15" t="s">
        <v>2745</v>
      </c>
      <c r="I99" s="98" t="s">
        <v>2746</v>
      </c>
      <c r="J99" s="82" t="s">
        <v>2749</v>
      </c>
      <c r="K99" t="s">
        <v>2748</v>
      </c>
      <c r="L99" s="57" t="s">
        <v>2747</v>
      </c>
      <c r="M99" s="18" t="s">
        <v>2755</v>
      </c>
      <c r="N99" s="18">
        <v>2023</v>
      </c>
      <c r="O99" s="18" t="s">
        <v>1670</v>
      </c>
      <c r="P99" s="77" t="s">
        <v>2783</v>
      </c>
      <c r="Q99" s="18"/>
      <c r="R99" s="18"/>
      <c r="S99" s="29"/>
      <c r="T99" s="18"/>
      <c r="U99" s="18"/>
      <c r="V99" s="18"/>
      <c r="W99" s="18"/>
      <c r="X99" s="18" t="s">
        <v>2781</v>
      </c>
      <c r="Y99" s="18"/>
      <c r="Z99" s="18"/>
      <c r="AA99" s="18" t="s">
        <v>2782</v>
      </c>
      <c r="AB99" s="18"/>
      <c r="AC99" s="18"/>
      <c r="AD99" s="18"/>
      <c r="AE99" s="18"/>
      <c r="AF99" s="18"/>
      <c r="AG99" s="18"/>
      <c r="AH99" s="18"/>
      <c r="AI99" s="24"/>
      <c r="AJ99" s="24"/>
      <c r="AK99" s="24"/>
      <c r="AL99" s="18"/>
      <c r="AM99" s="18"/>
      <c r="AN99" s="25"/>
      <c r="AO99" s="18"/>
      <c r="AP99" s="18"/>
      <c r="AQ99" s="18"/>
    </row>
    <row r="100" spans="1:43" ht="36">
      <c r="A100" s="18" t="s">
        <v>2126</v>
      </c>
      <c r="B100" s="45" t="s">
        <v>1276</v>
      </c>
      <c r="C100" s="18"/>
      <c r="D100" s="18" t="s">
        <v>2489</v>
      </c>
      <c r="E100" s="19" t="s">
        <v>1173</v>
      </c>
      <c r="F100" s="18" t="s">
        <v>240</v>
      </c>
      <c r="G100" s="74" t="s">
        <v>1518</v>
      </c>
      <c r="H100" s="15" t="s">
        <v>2745</v>
      </c>
      <c r="I100" s="98" t="s">
        <v>2746</v>
      </c>
      <c r="J100" s="82" t="s">
        <v>2749</v>
      </c>
      <c r="K100" t="s">
        <v>2748</v>
      </c>
      <c r="L100" s="57" t="s">
        <v>2747</v>
      </c>
      <c r="M100" t="s">
        <v>2756</v>
      </c>
      <c r="N100" s="18">
        <v>2023</v>
      </c>
      <c r="O100" s="18" t="s">
        <v>1670</v>
      </c>
      <c r="P100" s="77" t="s">
        <v>2784</v>
      </c>
      <c r="Q100" s="18"/>
      <c r="R100" s="18"/>
      <c r="S100" s="29"/>
      <c r="T100" s="18"/>
      <c r="U100" s="18"/>
      <c r="V100" s="18"/>
      <c r="W100" s="18"/>
      <c r="X100" s="18" t="s">
        <v>2785</v>
      </c>
      <c r="Y100" s="18"/>
      <c r="Z100" s="18"/>
      <c r="AA100" s="18" t="s">
        <v>2786</v>
      </c>
      <c r="AB100" s="18"/>
      <c r="AC100" s="18"/>
      <c r="AD100" s="18"/>
      <c r="AE100" s="18"/>
      <c r="AF100" s="18"/>
      <c r="AG100" s="18"/>
      <c r="AH100" s="18"/>
      <c r="AI100" s="24"/>
      <c r="AJ100" s="24"/>
      <c r="AK100" s="24"/>
      <c r="AL100" s="18"/>
      <c r="AM100" s="18"/>
      <c r="AN100" s="25"/>
      <c r="AO100" s="18"/>
      <c r="AP100" s="18"/>
      <c r="AQ100" s="18"/>
    </row>
    <row r="101" spans="1:43" ht="48">
      <c r="A101" s="18" t="s">
        <v>2127</v>
      </c>
      <c r="B101" s="45" t="s">
        <v>1277</v>
      </c>
      <c r="C101" s="18"/>
      <c r="D101" s="18" t="s">
        <v>2489</v>
      </c>
      <c r="E101" s="19" t="s">
        <v>1173</v>
      </c>
      <c r="F101" s="18" t="s">
        <v>240</v>
      </c>
      <c r="G101" s="74" t="s">
        <v>1519</v>
      </c>
      <c r="H101" s="15" t="s">
        <v>2745</v>
      </c>
      <c r="I101" s="98" t="s">
        <v>2746</v>
      </c>
      <c r="J101" s="82" t="s">
        <v>2749</v>
      </c>
      <c r="K101" t="s">
        <v>2748</v>
      </c>
      <c r="L101" s="57" t="s">
        <v>2747</v>
      </c>
      <c r="M101" s="18" t="s">
        <v>2757</v>
      </c>
      <c r="N101" s="18">
        <v>2019</v>
      </c>
      <c r="O101" s="18" t="s">
        <v>1670</v>
      </c>
      <c r="P101" s="77" t="s">
        <v>2787</v>
      </c>
      <c r="Q101" s="18"/>
      <c r="R101" s="18"/>
      <c r="S101" s="29"/>
      <c r="T101" s="18"/>
      <c r="U101" s="18"/>
      <c r="V101" s="18"/>
      <c r="W101" s="18"/>
      <c r="X101" s="18" t="s">
        <v>2788</v>
      </c>
      <c r="Y101" s="18" t="s">
        <v>2790</v>
      </c>
      <c r="Z101" s="77" t="s">
        <v>2791</v>
      </c>
      <c r="AA101" s="18" t="s">
        <v>2789</v>
      </c>
      <c r="AB101" s="18"/>
      <c r="AC101" s="18"/>
      <c r="AD101" s="18"/>
      <c r="AE101" s="18"/>
      <c r="AF101" s="18"/>
      <c r="AG101" s="18"/>
      <c r="AH101" s="18"/>
      <c r="AI101" s="24"/>
      <c r="AJ101" s="24"/>
      <c r="AK101" s="24"/>
      <c r="AL101" s="18"/>
      <c r="AM101" s="18"/>
      <c r="AN101" s="25"/>
      <c r="AO101" s="18"/>
      <c r="AP101" s="18"/>
      <c r="AQ101" s="18"/>
    </row>
    <row r="102" spans="1:43" ht="39" customHeight="1">
      <c r="A102" s="18" t="s">
        <v>2128</v>
      </c>
      <c r="B102" s="45" t="s">
        <v>1278</v>
      </c>
      <c r="C102" s="33" t="s">
        <v>55</v>
      </c>
      <c r="D102" s="18" t="s">
        <v>2487</v>
      </c>
      <c r="E102" s="19" t="s">
        <v>1173</v>
      </c>
      <c r="F102" s="18" t="s">
        <v>240</v>
      </c>
      <c r="G102" s="74" t="s">
        <v>1520</v>
      </c>
      <c r="H102" s="15" t="s">
        <v>2630</v>
      </c>
      <c r="I102" s="82" t="s">
        <v>2629</v>
      </c>
      <c r="J102" s="57" t="s">
        <v>2632</v>
      </c>
      <c r="K102" s="82" t="s">
        <v>2633</v>
      </c>
      <c r="L102" s="15" t="s">
        <v>2631</v>
      </c>
      <c r="M102" s="33" t="s">
        <v>2646</v>
      </c>
      <c r="N102" s="33">
        <v>2023</v>
      </c>
      <c r="O102" s="33" t="s">
        <v>1670</v>
      </c>
      <c r="P102" s="104" t="s">
        <v>2648</v>
      </c>
      <c r="Q102" s="33" t="s">
        <v>58</v>
      </c>
      <c r="R102" s="34"/>
      <c r="S102" s="29"/>
      <c r="T102" s="33" t="s">
        <v>59</v>
      </c>
      <c r="U102" s="33"/>
      <c r="V102" s="33"/>
      <c r="W102" s="33" t="s">
        <v>60</v>
      </c>
      <c r="X102" s="33" t="s">
        <v>2650</v>
      </c>
      <c r="Y102" s="33" t="s">
        <v>2649</v>
      </c>
      <c r="Z102" s="104" t="s">
        <v>2651</v>
      </c>
      <c r="AA102" s="33" t="s">
        <v>2647</v>
      </c>
      <c r="AB102" s="33" t="s">
        <v>61</v>
      </c>
      <c r="AC102" s="104" t="s">
        <v>2643</v>
      </c>
      <c r="AD102" s="33" t="s">
        <v>2340</v>
      </c>
      <c r="AE102" s="33"/>
      <c r="AF102" s="33" t="s">
        <v>62</v>
      </c>
      <c r="AG102" s="33" t="s">
        <v>63</v>
      </c>
      <c r="AH102" s="33" t="s">
        <v>64</v>
      </c>
      <c r="AI102" s="35">
        <v>46205</v>
      </c>
      <c r="AJ102" s="35">
        <v>46205</v>
      </c>
      <c r="AK102" s="35">
        <v>46212</v>
      </c>
      <c r="AL102" s="33" t="s">
        <v>65</v>
      </c>
      <c r="AM102" s="33" t="s">
        <v>66</v>
      </c>
      <c r="AN102" s="36">
        <v>85</v>
      </c>
      <c r="AO102" s="33" t="s">
        <v>67</v>
      </c>
      <c r="AP102" s="37" t="s">
        <v>68</v>
      </c>
      <c r="AQ102" s="37" t="s">
        <v>68</v>
      </c>
    </row>
    <row r="103" spans="1:43" ht="48">
      <c r="A103" s="18" t="s">
        <v>2129</v>
      </c>
      <c r="B103" s="45" t="s">
        <v>1279</v>
      </c>
      <c r="C103" s="38" t="s">
        <v>202</v>
      </c>
      <c r="D103" s="18" t="s">
        <v>2499</v>
      </c>
      <c r="E103" s="19" t="s">
        <v>1173</v>
      </c>
      <c r="F103" s="18" t="s">
        <v>240</v>
      </c>
      <c r="G103" s="74" t="s">
        <v>1521</v>
      </c>
      <c r="H103" s="15" t="s">
        <v>2844</v>
      </c>
      <c r="I103" s="82" t="s">
        <v>2472</v>
      </c>
      <c r="J103" s="57" t="s">
        <v>2477</v>
      </c>
      <c r="K103" s="82" t="s">
        <v>2478</v>
      </c>
      <c r="L103" s="106" t="s">
        <v>2479</v>
      </c>
      <c r="M103" s="38" t="s">
        <v>2475</v>
      </c>
      <c r="N103" s="38">
        <v>2019</v>
      </c>
      <c r="O103" s="38" t="s">
        <v>1670</v>
      </c>
      <c r="P103" s="108" t="s">
        <v>2850</v>
      </c>
      <c r="Q103" s="38"/>
      <c r="R103" s="22"/>
      <c r="S103" s="29"/>
      <c r="T103" s="38"/>
      <c r="U103" s="38"/>
      <c r="V103" s="38"/>
      <c r="W103" s="38"/>
      <c r="X103" s="38" t="s">
        <v>2851</v>
      </c>
      <c r="Y103" s="38" t="s">
        <v>2852</v>
      </c>
      <c r="Z103" s="131" t="s">
        <v>2853</v>
      </c>
      <c r="AA103" s="38" t="s">
        <v>2854</v>
      </c>
      <c r="AB103" s="38"/>
      <c r="AC103" s="38"/>
      <c r="AD103" s="38"/>
      <c r="AE103" s="38"/>
      <c r="AF103" s="38"/>
      <c r="AG103" s="38"/>
      <c r="AH103" s="38"/>
      <c r="AI103" s="39"/>
      <c r="AJ103" s="39"/>
      <c r="AK103" s="39"/>
      <c r="AL103" s="38"/>
      <c r="AM103" s="38"/>
      <c r="AN103" s="40"/>
      <c r="AO103" s="38"/>
      <c r="AP103" s="41"/>
      <c r="AQ103" s="41"/>
    </row>
    <row r="104" spans="1:43" ht="48">
      <c r="A104" s="18" t="s">
        <v>2130</v>
      </c>
      <c r="B104" s="45" t="s">
        <v>1280</v>
      </c>
      <c r="C104" s="33" t="s">
        <v>55</v>
      </c>
      <c r="D104" s="18"/>
      <c r="E104" s="19" t="s">
        <v>1173</v>
      </c>
      <c r="F104" s="18" t="s">
        <v>240</v>
      </c>
      <c r="G104" s="15" t="s">
        <v>1522</v>
      </c>
      <c r="H104" s="15" t="s">
        <v>2924</v>
      </c>
      <c r="I104" s="57"/>
      <c r="J104" s="57"/>
      <c r="K104" s="57"/>
      <c r="L104" s="57"/>
      <c r="M104" s="33" t="s">
        <v>2925</v>
      </c>
      <c r="N104" s="33">
        <v>2020</v>
      </c>
      <c r="O104" s="38" t="s">
        <v>1670</v>
      </c>
      <c r="P104" s="104" t="s">
        <v>2926</v>
      </c>
      <c r="Q104" s="33"/>
      <c r="R104" s="34"/>
      <c r="S104" s="29"/>
      <c r="T104" s="33"/>
      <c r="U104" s="33"/>
      <c r="V104" s="33"/>
      <c r="W104" s="33"/>
      <c r="X104" s="33" t="s">
        <v>2929</v>
      </c>
      <c r="Y104" s="33" t="s">
        <v>2927</v>
      </c>
      <c r="Z104" s="33" t="s">
        <v>2928</v>
      </c>
      <c r="AA104" s="33" t="s">
        <v>2930</v>
      </c>
      <c r="AB104" s="33"/>
      <c r="AC104" s="33"/>
      <c r="AD104" s="33"/>
      <c r="AE104" s="33"/>
      <c r="AF104" s="33"/>
      <c r="AG104" s="33"/>
      <c r="AH104" s="33"/>
      <c r="AI104" s="35"/>
      <c r="AJ104" s="35"/>
      <c r="AK104" s="35"/>
      <c r="AL104" s="33"/>
      <c r="AM104" s="33"/>
      <c r="AN104" s="36"/>
      <c r="AO104" s="33"/>
      <c r="AP104" s="37"/>
      <c r="AQ104" s="37"/>
    </row>
    <row r="105" spans="1:43" ht="48">
      <c r="A105" s="18" t="s">
        <v>2131</v>
      </c>
      <c r="B105" s="45" t="s">
        <v>1281</v>
      </c>
      <c r="C105" s="38" t="s">
        <v>55</v>
      </c>
      <c r="D105" s="18"/>
      <c r="E105" s="19" t="s">
        <v>1173</v>
      </c>
      <c r="F105" s="18" t="s">
        <v>240</v>
      </c>
      <c r="G105" s="15" t="s">
        <v>1523</v>
      </c>
      <c r="H105" s="15" t="s">
        <v>2931</v>
      </c>
      <c r="I105" s="57"/>
      <c r="J105" s="57"/>
      <c r="K105" s="57"/>
      <c r="L105" s="57"/>
      <c r="M105" s="38" t="s">
        <v>2932</v>
      </c>
      <c r="N105" s="38">
        <v>2017</v>
      </c>
      <c r="O105" s="38" t="s">
        <v>1670</v>
      </c>
      <c r="P105" s="108" t="s">
        <v>2933</v>
      </c>
      <c r="Q105" s="38"/>
      <c r="R105" s="22"/>
      <c r="S105" s="29"/>
      <c r="T105" s="38"/>
      <c r="U105" s="38"/>
      <c r="V105" s="38"/>
      <c r="W105" s="38"/>
      <c r="X105" s="38">
        <v>2093846100</v>
      </c>
      <c r="Y105" s="17" t="s">
        <v>2934</v>
      </c>
      <c r="Z105" s="108" t="s">
        <v>2935</v>
      </c>
      <c r="AA105" s="38" t="s">
        <v>2936</v>
      </c>
      <c r="AB105" s="38"/>
      <c r="AC105" s="38"/>
      <c r="AD105" s="38"/>
      <c r="AE105" s="38"/>
      <c r="AF105" s="38"/>
      <c r="AG105" s="38"/>
      <c r="AH105" s="38"/>
      <c r="AI105" s="39"/>
      <c r="AJ105" s="39"/>
      <c r="AK105" s="39"/>
      <c r="AL105" s="38"/>
      <c r="AM105" s="38"/>
      <c r="AN105" s="40"/>
      <c r="AO105" s="38"/>
      <c r="AP105" s="41"/>
      <c r="AQ105" s="41"/>
    </row>
    <row r="106" spans="1:43" ht="36">
      <c r="A106" s="18" t="s">
        <v>2132</v>
      </c>
      <c r="B106" s="45" t="s">
        <v>1282</v>
      </c>
      <c r="C106" s="33" t="s">
        <v>202</v>
      </c>
      <c r="D106" s="18" t="s">
        <v>2361</v>
      </c>
      <c r="E106" s="19" t="s">
        <v>1173</v>
      </c>
      <c r="F106" s="18" t="s">
        <v>240</v>
      </c>
      <c r="G106" s="74" t="s">
        <v>1524</v>
      </c>
      <c r="H106" s="57" t="s">
        <v>2542</v>
      </c>
      <c r="I106" s="82" t="s">
        <v>2543</v>
      </c>
      <c r="J106" s="17" t="s">
        <v>2545</v>
      </c>
      <c r="K106" s="82" t="s">
        <v>2546</v>
      </c>
      <c r="L106" s="79" t="s">
        <v>2544</v>
      </c>
      <c r="M106" s="33" t="s">
        <v>2549</v>
      </c>
      <c r="N106" s="33">
        <v>2020</v>
      </c>
      <c r="O106" s="33" t="s">
        <v>1670</v>
      </c>
      <c r="P106" s="116" t="s">
        <v>2560</v>
      </c>
      <c r="Q106" s="33"/>
      <c r="R106" s="34"/>
      <c r="S106" s="29"/>
      <c r="T106" s="33"/>
      <c r="U106" s="33"/>
      <c r="V106" s="33"/>
      <c r="W106" s="33"/>
      <c r="X106" s="33" t="s">
        <v>2562</v>
      </c>
      <c r="Y106" s="33" t="s">
        <v>2563</v>
      </c>
      <c r="Z106" s="116" t="s">
        <v>2564</v>
      </c>
      <c r="AA106" s="18" t="s">
        <v>2561</v>
      </c>
      <c r="AB106" s="33"/>
      <c r="AC106" s="33"/>
      <c r="AD106" s="33"/>
      <c r="AE106" s="33"/>
      <c r="AF106" s="33"/>
      <c r="AG106" s="33"/>
      <c r="AH106" s="33"/>
      <c r="AI106" s="35"/>
      <c r="AJ106" s="35"/>
      <c r="AK106" s="35"/>
      <c r="AL106" s="33"/>
      <c r="AM106" s="33"/>
      <c r="AN106" s="36"/>
      <c r="AO106" s="33"/>
      <c r="AP106" s="37"/>
      <c r="AQ106" s="37"/>
    </row>
    <row r="107" spans="1:43" ht="42.75">
      <c r="A107" s="18" t="s">
        <v>2133</v>
      </c>
      <c r="B107" s="45" t="s">
        <v>1283</v>
      </c>
      <c r="C107" s="38" t="s">
        <v>55</v>
      </c>
      <c r="D107" s="18"/>
      <c r="E107" s="19" t="s">
        <v>1173</v>
      </c>
      <c r="F107" s="18" t="s">
        <v>240</v>
      </c>
      <c r="G107" s="15" t="s">
        <v>1525</v>
      </c>
      <c r="H107" s="15" t="s">
        <v>2937</v>
      </c>
      <c r="I107" s="57"/>
      <c r="J107" s="57"/>
      <c r="K107" s="57"/>
      <c r="L107" s="57"/>
      <c r="M107" s="38" t="s">
        <v>2885</v>
      </c>
      <c r="N107" s="38" t="s">
        <v>2886</v>
      </c>
      <c r="O107" s="38" t="s">
        <v>1670</v>
      </c>
      <c r="P107" s="108" t="s">
        <v>2941</v>
      </c>
      <c r="Q107" s="38"/>
      <c r="R107" s="22"/>
      <c r="S107" s="29"/>
      <c r="T107" s="38"/>
      <c r="U107" s="38"/>
      <c r="V107" s="38"/>
      <c r="W107" s="38"/>
      <c r="X107" s="38" t="s">
        <v>2940</v>
      </c>
      <c r="Y107" s="38" t="s">
        <v>2939</v>
      </c>
      <c r="Z107" s="108" t="s">
        <v>2938</v>
      </c>
      <c r="AA107" s="17"/>
      <c r="AB107" s="38"/>
      <c r="AC107" s="38"/>
      <c r="AD107" s="38"/>
      <c r="AE107" s="38"/>
      <c r="AF107" s="38"/>
      <c r="AG107" s="38"/>
      <c r="AH107" s="38"/>
      <c r="AI107" s="39"/>
      <c r="AJ107" s="39"/>
      <c r="AK107" s="39"/>
      <c r="AL107" s="38"/>
      <c r="AM107" s="38"/>
      <c r="AN107" s="40"/>
      <c r="AO107" s="38"/>
      <c r="AP107" s="41" t="s">
        <v>2887</v>
      </c>
      <c r="AQ107" s="41"/>
    </row>
    <row r="108" spans="1:43" ht="60">
      <c r="A108" s="18" t="s">
        <v>2134</v>
      </c>
      <c r="B108" s="45" t="s">
        <v>1284</v>
      </c>
      <c r="C108" s="33" t="s">
        <v>202</v>
      </c>
      <c r="D108" s="18" t="s">
        <v>2502</v>
      </c>
      <c r="E108" s="19" t="s">
        <v>1173</v>
      </c>
      <c r="F108" s="18" t="s">
        <v>240</v>
      </c>
      <c r="G108" s="15" t="s">
        <v>1526</v>
      </c>
      <c r="H108" s="57" t="s">
        <v>2942</v>
      </c>
      <c r="I108" s="82" t="s">
        <v>2943</v>
      </c>
      <c r="J108" s="82" t="s">
        <v>2944</v>
      </c>
      <c r="K108" s="82" t="s">
        <v>2946</v>
      </c>
      <c r="L108" s="15" t="s">
        <v>2945</v>
      </c>
      <c r="M108" s="33" t="s">
        <v>2947</v>
      </c>
      <c r="N108" s="33">
        <v>2022</v>
      </c>
      <c r="O108" s="33" t="s">
        <v>2364</v>
      </c>
      <c r="P108" s="104" t="s">
        <v>2949</v>
      </c>
      <c r="Q108" s="33"/>
      <c r="R108" s="34"/>
      <c r="S108" s="29"/>
      <c r="T108" s="33"/>
      <c r="U108" s="33"/>
      <c r="V108" s="33"/>
      <c r="W108" s="33"/>
      <c r="X108" s="150" t="s">
        <v>2948</v>
      </c>
      <c r="Y108" t="s">
        <v>2950</v>
      </c>
      <c r="Z108" s="104" t="s">
        <v>2951</v>
      </c>
      <c r="AA108" s="18" t="s">
        <v>2952</v>
      </c>
      <c r="AB108" s="33"/>
      <c r="AC108" s="33"/>
      <c r="AD108" s="33"/>
      <c r="AE108" s="33"/>
      <c r="AF108" s="33"/>
      <c r="AG108" s="33"/>
      <c r="AH108" s="33"/>
      <c r="AI108" s="35"/>
      <c r="AJ108" s="35"/>
      <c r="AK108" s="35"/>
      <c r="AL108" s="33"/>
      <c r="AM108" s="33"/>
      <c r="AN108" s="36"/>
      <c r="AO108" s="33"/>
      <c r="AP108" s="37"/>
      <c r="AQ108" s="37"/>
    </row>
    <row r="109" spans="1:43" ht="36">
      <c r="A109" s="18" t="s">
        <v>2135</v>
      </c>
      <c r="B109" s="45" t="s">
        <v>1285</v>
      </c>
      <c r="C109" s="38" t="s">
        <v>202</v>
      </c>
      <c r="D109" s="18" t="s">
        <v>2503</v>
      </c>
      <c r="E109" s="19" t="s">
        <v>1173</v>
      </c>
      <c r="F109" s="18" t="s">
        <v>240</v>
      </c>
      <c r="G109" s="74" t="s">
        <v>1527</v>
      </c>
      <c r="H109" s="15" t="s">
        <v>2610</v>
      </c>
      <c r="I109" s="82" t="s">
        <v>2609</v>
      </c>
      <c r="J109" s="57" t="s">
        <v>2612</v>
      </c>
      <c r="K109" s="82" t="s">
        <v>2611</v>
      </c>
      <c r="L109" s="78" t="s">
        <v>2613</v>
      </c>
      <c r="M109" s="118" t="s">
        <v>2614</v>
      </c>
      <c r="N109" s="38">
        <v>2024</v>
      </c>
      <c r="O109" s="38" t="s">
        <v>1670</v>
      </c>
      <c r="P109" s="108" t="s">
        <v>2615</v>
      </c>
      <c r="Q109" s="38"/>
      <c r="R109" s="22"/>
      <c r="S109" s="29"/>
      <c r="T109" s="38"/>
      <c r="U109" s="38"/>
      <c r="V109" s="38"/>
      <c r="W109" s="38"/>
      <c r="X109" s="38" t="s">
        <v>2616</v>
      </c>
      <c r="Y109" s="38" t="s">
        <v>2617</v>
      </c>
      <c r="Z109" s="108" t="s">
        <v>2618</v>
      </c>
      <c r="AA109" s="38" t="s">
        <v>2619</v>
      </c>
      <c r="AB109" s="38"/>
      <c r="AC109" s="108" t="s">
        <v>1682</v>
      </c>
      <c r="AD109" s="38" t="s">
        <v>1759</v>
      </c>
      <c r="AE109" s="38"/>
      <c r="AF109" s="38"/>
      <c r="AG109" s="38"/>
      <c r="AH109" s="38"/>
      <c r="AI109" s="39"/>
      <c r="AJ109" s="39"/>
      <c r="AK109" s="39"/>
      <c r="AL109" s="38"/>
      <c r="AM109" s="38"/>
      <c r="AN109" s="40"/>
      <c r="AO109" s="38"/>
      <c r="AP109" s="41"/>
      <c r="AQ109" s="41"/>
    </row>
    <row r="110" spans="1:43" ht="60">
      <c r="A110" s="18" t="s">
        <v>2136</v>
      </c>
      <c r="B110" s="45" t="s">
        <v>1286</v>
      </c>
      <c r="C110" s="33" t="s">
        <v>55</v>
      </c>
      <c r="D110" s="18"/>
      <c r="E110" s="19" t="s">
        <v>1173</v>
      </c>
      <c r="F110" s="18" t="s">
        <v>240</v>
      </c>
      <c r="G110" s="15" t="s">
        <v>1528</v>
      </c>
      <c r="H110" s="15" t="s">
        <v>2960</v>
      </c>
      <c r="I110" s="57"/>
      <c r="J110" s="57"/>
      <c r="K110" s="57"/>
      <c r="L110" s="57"/>
      <c r="M110" s="33" t="s">
        <v>2961</v>
      </c>
      <c r="N110" s="33">
        <v>2023</v>
      </c>
      <c r="O110" s="33" t="s">
        <v>1670</v>
      </c>
      <c r="P110" t="s">
        <v>2962</v>
      </c>
      <c r="Q110" s="33"/>
      <c r="R110" s="34"/>
      <c r="S110" s="29"/>
      <c r="T110" s="33"/>
      <c r="U110" s="33"/>
      <c r="V110" s="33"/>
      <c r="W110" s="33"/>
      <c r="X110" s="33" t="s">
        <v>2963</v>
      </c>
      <c r="Y110" s="33" t="s">
        <v>2965</v>
      </c>
      <c r="Z110" s="104" t="s">
        <v>2966</v>
      </c>
      <c r="AA110" s="33" t="s">
        <v>2964</v>
      </c>
      <c r="AB110" s="33"/>
      <c r="AC110" s="33"/>
      <c r="AD110" s="33"/>
      <c r="AE110" s="33"/>
      <c r="AF110" s="33"/>
      <c r="AG110" s="33"/>
      <c r="AH110" s="33"/>
      <c r="AI110" s="35"/>
      <c r="AJ110" s="35"/>
      <c r="AK110" s="35"/>
      <c r="AL110" s="33"/>
      <c r="AM110" s="33"/>
      <c r="AN110" s="36"/>
      <c r="AO110" s="33"/>
      <c r="AP110" s="37"/>
      <c r="AQ110" s="37"/>
    </row>
    <row r="111" spans="1:43" ht="36">
      <c r="A111" s="18" t="s">
        <v>2137</v>
      </c>
      <c r="B111" s="45" t="s">
        <v>1287</v>
      </c>
      <c r="C111" s="38" t="s">
        <v>202</v>
      </c>
      <c r="D111" s="18" t="s">
        <v>2500</v>
      </c>
      <c r="E111" s="19" t="s">
        <v>1173</v>
      </c>
      <c r="F111" s="18" t="s">
        <v>240</v>
      </c>
      <c r="G111" s="74" t="s">
        <v>1529</v>
      </c>
      <c r="H111" s="15" t="s">
        <v>2971</v>
      </c>
      <c r="I111" s="82" t="s">
        <v>2967</v>
      </c>
      <c r="J111" s="82" t="s">
        <v>2969</v>
      </c>
      <c r="K111" s="82" t="s">
        <v>2970</v>
      </c>
      <c r="L111" s="15" t="s">
        <v>2968</v>
      </c>
      <c r="M111" s="38" t="s">
        <v>2972</v>
      </c>
      <c r="N111" s="38">
        <v>2021</v>
      </c>
      <c r="O111" s="38" t="s">
        <v>1670</v>
      </c>
      <c r="P111" s="108" t="s">
        <v>2978</v>
      </c>
      <c r="Q111" s="38"/>
      <c r="R111" s="22"/>
      <c r="S111" s="29"/>
      <c r="T111" s="38"/>
      <c r="U111" s="38"/>
      <c r="V111" s="38"/>
      <c r="W111" s="38"/>
      <c r="X111" s="38" t="s">
        <v>2975</v>
      </c>
      <c r="Y111" s="38" t="s">
        <v>2977</v>
      </c>
      <c r="Z111" s="108" t="s">
        <v>2979</v>
      </c>
      <c r="AA111" s="38" t="s">
        <v>2976</v>
      </c>
      <c r="AB111" s="38"/>
      <c r="AC111" s="38"/>
      <c r="AD111" s="38"/>
      <c r="AE111" s="38"/>
      <c r="AF111" s="38"/>
      <c r="AG111" s="38"/>
      <c r="AH111" s="38"/>
      <c r="AI111" s="39"/>
      <c r="AJ111" s="39"/>
      <c r="AK111" s="39"/>
      <c r="AL111" s="38"/>
      <c r="AM111" s="38"/>
      <c r="AN111" s="40"/>
      <c r="AO111" s="38"/>
      <c r="AP111" s="41"/>
      <c r="AQ111" s="41"/>
    </row>
    <row r="112" spans="1:43" ht="48">
      <c r="A112" s="18" t="s">
        <v>2138</v>
      </c>
      <c r="B112" s="45" t="s">
        <v>1288</v>
      </c>
      <c r="C112" s="33" t="s">
        <v>202</v>
      </c>
      <c r="D112" s="18" t="s">
        <v>2493</v>
      </c>
      <c r="E112" s="19" t="s">
        <v>1173</v>
      </c>
      <c r="F112" s="18" t="s">
        <v>240</v>
      </c>
      <c r="G112" s="74" t="s">
        <v>1530</v>
      </c>
      <c r="H112" s="57" t="s">
        <v>2990</v>
      </c>
      <c r="I112" s="152" t="s">
        <v>2995</v>
      </c>
      <c r="J112" s="153" t="s">
        <v>2992</v>
      </c>
      <c r="K112" s="82" t="s">
        <v>2996</v>
      </c>
      <c r="L112" s="15" t="s">
        <v>2993</v>
      </c>
      <c r="M112" s="33" t="s">
        <v>2998</v>
      </c>
      <c r="N112" s="33">
        <v>2025</v>
      </c>
      <c r="O112" s="33" t="s">
        <v>1670</v>
      </c>
      <c r="P112" s="104" t="s">
        <v>3001</v>
      </c>
      <c r="Q112" s="33"/>
      <c r="R112" s="34"/>
      <c r="S112" s="29"/>
      <c r="T112" s="33"/>
      <c r="U112" s="33"/>
      <c r="V112" s="33"/>
      <c r="W112" s="33"/>
      <c r="X112" s="33" t="s">
        <v>3000</v>
      </c>
      <c r="Y112" s="33" t="s">
        <v>2999</v>
      </c>
      <c r="Z112" s="104" t="s">
        <v>3002</v>
      </c>
      <c r="AA112" s="33" t="s">
        <v>3003</v>
      </c>
      <c r="AB112" s="33"/>
      <c r="AC112" s="33"/>
      <c r="AD112" s="33"/>
      <c r="AE112" s="33"/>
      <c r="AF112" s="33"/>
      <c r="AG112" s="33"/>
      <c r="AH112" s="33"/>
      <c r="AI112" s="35"/>
      <c r="AJ112" s="35"/>
      <c r="AK112" s="35"/>
      <c r="AL112" s="33"/>
      <c r="AM112" s="33"/>
      <c r="AN112" s="36"/>
      <c r="AO112" s="33"/>
      <c r="AP112" s="37" t="s">
        <v>2991</v>
      </c>
      <c r="AQ112" s="37"/>
    </row>
    <row r="113" spans="1:43" ht="36">
      <c r="A113" s="18" t="s">
        <v>2139</v>
      </c>
      <c r="B113" s="45" t="s">
        <v>1289</v>
      </c>
      <c r="C113" s="38" t="s">
        <v>55</v>
      </c>
      <c r="D113" s="18"/>
      <c r="E113" s="19" t="s">
        <v>1173</v>
      </c>
      <c r="F113" s="18" t="s">
        <v>240</v>
      </c>
      <c r="G113" s="15" t="s">
        <v>1531</v>
      </c>
      <c r="H113" s="15" t="s">
        <v>3016</v>
      </c>
      <c r="I113" s="57"/>
      <c r="J113" s="57"/>
      <c r="K113" s="57"/>
      <c r="L113" s="57"/>
      <c r="M113" s="38" t="s">
        <v>3017</v>
      </c>
      <c r="N113" s="38">
        <v>2023</v>
      </c>
      <c r="O113" s="38" t="s">
        <v>1670</v>
      </c>
      <c r="P113" s="108" t="s">
        <v>3019</v>
      </c>
      <c r="Q113" s="38"/>
      <c r="R113" s="22"/>
      <c r="S113" s="29"/>
      <c r="T113" s="38"/>
      <c r="U113" s="38"/>
      <c r="V113" s="38"/>
      <c r="W113" s="38"/>
      <c r="X113" s="38" t="s">
        <v>3020</v>
      </c>
      <c r="Y113" s="38" t="s">
        <v>3022</v>
      </c>
      <c r="Z113" s="108" t="s">
        <v>3023</v>
      </c>
      <c r="AA113" s="38" t="s">
        <v>3021</v>
      </c>
      <c r="AB113" s="38"/>
      <c r="AC113" s="38"/>
      <c r="AD113" s="38"/>
      <c r="AE113" s="38"/>
      <c r="AF113" s="38"/>
      <c r="AG113" s="38"/>
      <c r="AH113" s="38"/>
      <c r="AI113" s="39"/>
      <c r="AJ113" s="39"/>
      <c r="AK113" s="39"/>
      <c r="AL113" s="38"/>
      <c r="AM113" s="38"/>
      <c r="AN113" s="40"/>
      <c r="AO113" s="38"/>
      <c r="AP113" s="41" t="s">
        <v>3018</v>
      </c>
      <c r="AQ113" s="41"/>
    </row>
    <row r="114" spans="1:43" ht="48">
      <c r="A114" s="18" t="s">
        <v>2140</v>
      </c>
      <c r="B114" s="45" t="s">
        <v>1290</v>
      </c>
      <c r="C114" s="33" t="s">
        <v>55</v>
      </c>
      <c r="D114" s="18"/>
      <c r="E114" s="19" t="s">
        <v>1173</v>
      </c>
      <c r="F114" s="18" t="s">
        <v>240</v>
      </c>
      <c r="G114" s="15" t="s">
        <v>1532</v>
      </c>
      <c r="H114" s="15" t="s">
        <v>3024</v>
      </c>
      <c r="I114" s="57"/>
      <c r="J114" s="57"/>
      <c r="K114" s="57"/>
      <c r="L114" s="57"/>
      <c r="M114" s="33" t="s">
        <v>3025</v>
      </c>
      <c r="N114" s="33" t="s">
        <v>2886</v>
      </c>
      <c r="O114" s="33" t="s">
        <v>1670</v>
      </c>
      <c r="P114" s="104" t="s">
        <v>3028</v>
      </c>
      <c r="Q114" s="33"/>
      <c r="R114" s="34"/>
      <c r="S114" s="29"/>
      <c r="T114" s="33"/>
      <c r="U114" s="33"/>
      <c r="V114" s="33"/>
      <c r="W114" s="33"/>
      <c r="X114" s="33" t="s">
        <v>3029</v>
      </c>
      <c r="Y114" s="33" t="s">
        <v>3026</v>
      </c>
      <c r="Z114" s="33" t="s">
        <v>3027</v>
      </c>
      <c r="AA114" s="33" t="s">
        <v>3030</v>
      </c>
      <c r="AB114" s="33"/>
      <c r="AC114" s="33"/>
      <c r="AD114" s="33"/>
      <c r="AE114" s="33"/>
      <c r="AF114" s="33"/>
      <c r="AG114" s="33"/>
      <c r="AH114" s="33"/>
      <c r="AI114" s="35"/>
      <c r="AJ114" s="35"/>
      <c r="AK114" s="35"/>
      <c r="AL114" s="33"/>
      <c r="AM114" s="33"/>
      <c r="AN114" s="36"/>
      <c r="AO114" s="33"/>
      <c r="AP114" s="37"/>
      <c r="AQ114" s="37"/>
    </row>
    <row r="115" spans="1:43" ht="84">
      <c r="A115" s="18" t="s">
        <v>2141</v>
      </c>
      <c r="B115" s="45" t="s">
        <v>1291</v>
      </c>
      <c r="C115" s="38" t="s">
        <v>55</v>
      </c>
      <c r="D115" s="18"/>
      <c r="E115" s="19" t="s">
        <v>1173</v>
      </c>
      <c r="F115" s="18" t="s">
        <v>240</v>
      </c>
      <c r="G115" s="15" t="s">
        <v>1533</v>
      </c>
      <c r="H115" s="15" t="s">
        <v>3031</v>
      </c>
      <c r="I115" s="57"/>
      <c r="J115" s="57"/>
      <c r="K115" s="57"/>
      <c r="L115" s="57"/>
      <c r="M115" s="38" t="s">
        <v>3032</v>
      </c>
      <c r="N115" s="38" t="s">
        <v>2886</v>
      </c>
      <c r="O115" s="38" t="s">
        <v>1670</v>
      </c>
      <c r="P115" s="108" t="s">
        <v>3033</v>
      </c>
      <c r="Q115" s="38"/>
      <c r="R115" s="22"/>
      <c r="S115" s="29"/>
      <c r="T115" s="38"/>
      <c r="U115" s="38"/>
      <c r="V115" s="38"/>
      <c r="W115" s="38"/>
      <c r="X115" s="38" t="s">
        <v>3034</v>
      </c>
      <c r="Y115" s="38" t="s">
        <v>3035</v>
      </c>
      <c r="Z115" s="108" t="s">
        <v>3036</v>
      </c>
      <c r="AA115" s="38" t="s">
        <v>3037</v>
      </c>
      <c r="AB115" s="38"/>
      <c r="AC115" s="38"/>
      <c r="AD115" s="38"/>
      <c r="AE115" s="38"/>
      <c r="AF115" s="38"/>
      <c r="AG115" s="38"/>
      <c r="AH115" s="38"/>
      <c r="AI115" s="39"/>
      <c r="AJ115" s="39"/>
      <c r="AK115" s="39"/>
      <c r="AL115" s="38"/>
      <c r="AM115" s="38"/>
      <c r="AN115" s="40"/>
      <c r="AO115" s="38"/>
      <c r="AP115" s="41"/>
      <c r="AQ115" s="41"/>
    </row>
    <row r="116" spans="1:43" ht="36">
      <c r="A116" s="18" t="s">
        <v>2142</v>
      </c>
      <c r="B116" s="45" t="s">
        <v>1292</v>
      </c>
      <c r="C116" s="33" t="s">
        <v>202</v>
      </c>
      <c r="D116" s="18" t="s">
        <v>2493</v>
      </c>
      <c r="E116" s="19" t="s">
        <v>1173</v>
      </c>
      <c r="F116" s="18" t="s">
        <v>240</v>
      </c>
      <c r="G116" s="74" t="s">
        <v>1534</v>
      </c>
      <c r="H116" s="15" t="s">
        <v>2990</v>
      </c>
      <c r="I116" s="152" t="s">
        <v>2995</v>
      </c>
      <c r="J116" s="57" t="s">
        <v>2992</v>
      </c>
      <c r="K116" s="82" t="s">
        <v>2997</v>
      </c>
      <c r="L116" s="154" t="s">
        <v>2994</v>
      </c>
      <c r="M116" s="33" t="s">
        <v>3004</v>
      </c>
      <c r="N116" s="33">
        <v>2019</v>
      </c>
      <c r="O116" s="33" t="s">
        <v>1670</v>
      </c>
      <c r="P116" s="104" t="s">
        <v>3007</v>
      </c>
      <c r="Q116" s="33"/>
      <c r="R116" s="34"/>
      <c r="S116" s="29"/>
      <c r="T116" s="33"/>
      <c r="U116" s="33"/>
      <c r="V116" s="33"/>
      <c r="W116" s="33"/>
      <c r="X116" s="33" t="s">
        <v>3008</v>
      </c>
      <c r="Y116" s="33" t="s">
        <v>3005</v>
      </c>
      <c r="Z116" s="104" t="s">
        <v>3006</v>
      </c>
      <c r="AA116" s="33" t="s">
        <v>3009</v>
      </c>
      <c r="AB116" s="33"/>
      <c r="AC116" s="33"/>
      <c r="AD116" s="33"/>
      <c r="AE116" s="33"/>
      <c r="AF116" s="33"/>
      <c r="AG116" s="33"/>
      <c r="AH116" s="33"/>
      <c r="AI116" s="35"/>
      <c r="AJ116" s="35"/>
      <c r="AK116" s="35"/>
      <c r="AL116" s="33"/>
      <c r="AM116" s="33"/>
      <c r="AN116" s="36"/>
      <c r="AO116" s="33"/>
      <c r="AP116" s="37"/>
      <c r="AQ116" s="37"/>
    </row>
    <row r="117" spans="1:43" ht="72">
      <c r="A117" s="18" t="s">
        <v>2143</v>
      </c>
      <c r="B117" s="45" t="s">
        <v>1293</v>
      </c>
      <c r="C117" s="38" t="s">
        <v>202</v>
      </c>
      <c r="D117" s="18" t="s">
        <v>2491</v>
      </c>
      <c r="E117" s="19" t="s">
        <v>1173</v>
      </c>
      <c r="F117" s="18" t="s">
        <v>240</v>
      </c>
      <c r="G117" s="74" t="s">
        <v>1535</v>
      </c>
      <c r="H117" s="15" t="s">
        <v>2721</v>
      </c>
      <c r="I117" s="82" t="s">
        <v>2722</v>
      </c>
      <c r="J117" s="82" t="s">
        <v>2723</v>
      </c>
      <c r="K117" s="82" t="s">
        <v>2725</v>
      </c>
      <c r="L117" s="15" t="s">
        <v>2724</v>
      </c>
      <c r="M117" s="38" t="s">
        <v>2728</v>
      </c>
      <c r="N117" s="38">
        <v>2015</v>
      </c>
      <c r="O117" s="38" t="s">
        <v>1670</v>
      </c>
      <c r="P117" s="108" t="s">
        <v>2736</v>
      </c>
      <c r="Q117" s="38"/>
      <c r="R117" s="22"/>
      <c r="S117" s="29"/>
      <c r="T117" s="38"/>
      <c r="U117" s="38"/>
      <c r="V117" s="38"/>
      <c r="W117" s="38"/>
      <c r="X117" s="38" t="s">
        <v>2737</v>
      </c>
      <c r="Y117" s="38" t="s">
        <v>2739</v>
      </c>
      <c r="Z117" s="95" t="s">
        <v>2740</v>
      </c>
      <c r="AA117" s="38" t="s">
        <v>2738</v>
      </c>
      <c r="AB117" s="38"/>
      <c r="AC117" s="38"/>
      <c r="AD117" s="38"/>
      <c r="AE117" s="38"/>
      <c r="AF117" s="38"/>
      <c r="AG117" s="38"/>
      <c r="AH117" s="38"/>
      <c r="AI117" s="39"/>
      <c r="AJ117" s="39"/>
      <c r="AK117" s="39"/>
      <c r="AL117" s="38"/>
      <c r="AM117" s="38"/>
      <c r="AN117" s="40"/>
      <c r="AO117" s="38"/>
      <c r="AP117" s="41"/>
      <c r="AQ117" s="41"/>
    </row>
    <row r="118" spans="1:43" ht="60">
      <c r="A118" s="18" t="s">
        <v>2144</v>
      </c>
      <c r="B118" s="45" t="s">
        <v>1294</v>
      </c>
      <c r="C118" s="33" t="s">
        <v>55</v>
      </c>
      <c r="D118" s="18"/>
      <c r="E118" s="19" t="s">
        <v>1173</v>
      </c>
      <c r="F118" s="18" t="s">
        <v>240</v>
      </c>
      <c r="G118" s="15" t="s">
        <v>1536</v>
      </c>
      <c r="H118" s="15" t="s">
        <v>3038</v>
      </c>
      <c r="I118" s="57"/>
      <c r="J118" s="57"/>
      <c r="K118" s="57"/>
      <c r="L118" s="57"/>
      <c r="M118" s="33" t="s">
        <v>3039</v>
      </c>
      <c r="N118" s="33">
        <v>2023</v>
      </c>
      <c r="O118" s="33" t="s">
        <v>2364</v>
      </c>
      <c r="P118" s="104" t="s">
        <v>3041</v>
      </c>
      <c r="Q118" s="33"/>
      <c r="R118" s="34"/>
      <c r="S118" s="29"/>
      <c r="T118" s="33"/>
      <c r="U118" s="33"/>
      <c r="V118" s="33"/>
      <c r="W118" s="33"/>
      <c r="X118" s="33" t="s">
        <v>3043</v>
      </c>
      <c r="Y118" s="156" t="s">
        <v>3040</v>
      </c>
      <c r="Z118" s="104" t="s">
        <v>3041</v>
      </c>
      <c r="AA118" s="33" t="s">
        <v>3042</v>
      </c>
      <c r="AB118" s="33"/>
      <c r="AC118" s="33"/>
      <c r="AD118" s="33"/>
      <c r="AE118" s="33"/>
      <c r="AF118" s="33"/>
      <c r="AG118" s="33"/>
      <c r="AH118" s="33"/>
      <c r="AI118" s="35"/>
      <c r="AJ118" s="35"/>
      <c r="AK118" s="35"/>
      <c r="AL118" s="33"/>
      <c r="AM118" s="33"/>
      <c r="AN118" s="36"/>
      <c r="AO118" s="33"/>
      <c r="AP118" s="37"/>
      <c r="AQ118" s="37"/>
    </row>
    <row r="119" spans="1:43" ht="60">
      <c r="A119" s="18" t="s">
        <v>2145</v>
      </c>
      <c r="B119" s="45" t="s">
        <v>1295</v>
      </c>
      <c r="C119" s="18" t="s">
        <v>202</v>
      </c>
      <c r="D119" s="18" t="s">
        <v>2486</v>
      </c>
      <c r="E119" s="19" t="s">
        <v>1173</v>
      </c>
      <c r="F119" s="18" t="s">
        <v>240</v>
      </c>
      <c r="G119" s="79" t="s">
        <v>1537</v>
      </c>
      <c r="H119" s="79" t="s">
        <v>2518</v>
      </c>
      <c r="I119" s="82" t="s">
        <v>2519</v>
      </c>
      <c r="J119" s="80" t="s">
        <v>2521</v>
      </c>
      <c r="K119" s="82" t="s">
        <v>2522</v>
      </c>
      <c r="L119" s="79" t="s">
        <v>2520</v>
      </c>
      <c r="M119" s="38" t="s">
        <v>2536</v>
      </c>
      <c r="N119" s="38">
        <v>2019</v>
      </c>
      <c r="O119" s="38" t="s">
        <v>1670</v>
      </c>
      <c r="P119" s="115" t="s">
        <v>2537</v>
      </c>
      <c r="Q119" s="38"/>
      <c r="R119" s="22"/>
      <c r="S119" s="29"/>
      <c r="T119" s="38"/>
      <c r="U119" s="38"/>
      <c r="V119" s="38"/>
      <c r="W119" s="38"/>
      <c r="X119" s="76" t="s">
        <v>2538</v>
      </c>
      <c r="Y119" s="38" t="s">
        <v>2539</v>
      </c>
      <c r="Z119" s="100" t="s">
        <v>2540</v>
      </c>
      <c r="AA119" s="38" t="s">
        <v>2541</v>
      </c>
      <c r="AB119" s="38"/>
      <c r="AC119" s="38"/>
      <c r="AD119" s="38"/>
      <c r="AE119" s="38"/>
      <c r="AF119" s="38"/>
      <c r="AG119" s="38"/>
      <c r="AH119" s="38"/>
      <c r="AI119" s="39"/>
      <c r="AJ119" s="39"/>
      <c r="AK119" s="39"/>
      <c r="AL119" s="38"/>
      <c r="AM119" s="38"/>
      <c r="AN119" s="40"/>
      <c r="AO119" s="38"/>
      <c r="AP119" s="41"/>
      <c r="AQ119" s="41"/>
    </row>
    <row r="120" spans="1:43" ht="36">
      <c r="A120" s="18" t="s">
        <v>2146</v>
      </c>
      <c r="B120" s="45" t="s">
        <v>1296</v>
      </c>
      <c r="C120" s="33" t="s">
        <v>202</v>
      </c>
      <c r="D120" s="18" t="s">
        <v>2500</v>
      </c>
      <c r="E120" s="19" t="s">
        <v>1173</v>
      </c>
      <c r="F120" s="18" t="s">
        <v>240</v>
      </c>
      <c r="G120" s="74" t="s">
        <v>1538</v>
      </c>
      <c r="H120" s="15" t="s">
        <v>2971</v>
      </c>
      <c r="I120" s="18" t="s">
        <v>2967</v>
      </c>
      <c r="J120" s="92" t="s">
        <v>2969</v>
      </c>
      <c r="K120" s="82" t="s">
        <v>2970</v>
      </c>
      <c r="L120" s="15" t="s">
        <v>2968</v>
      </c>
      <c r="M120" t="s">
        <v>2973</v>
      </c>
      <c r="N120" s="33">
        <v>2024</v>
      </c>
      <c r="O120" s="33" t="s">
        <v>1670</v>
      </c>
      <c r="P120" s="104" t="s">
        <v>2981</v>
      </c>
      <c r="Q120" s="33"/>
      <c r="R120" s="34"/>
      <c r="S120" s="29"/>
      <c r="T120" s="33"/>
      <c r="U120" s="33"/>
      <c r="V120" s="33"/>
      <c r="W120" s="33"/>
      <c r="X120" s="33" t="s">
        <v>2982</v>
      </c>
      <c r="Y120" s="33" t="s">
        <v>2983</v>
      </c>
      <c r="Z120" s="104" t="s">
        <v>2984</v>
      </c>
      <c r="AA120" s="33" t="s">
        <v>2980</v>
      </c>
      <c r="AB120" s="33"/>
      <c r="AC120" s="33"/>
      <c r="AD120" s="33"/>
      <c r="AE120" s="33"/>
      <c r="AF120" s="33"/>
      <c r="AG120" s="33"/>
      <c r="AH120" s="33"/>
      <c r="AI120" s="35"/>
      <c r="AJ120" s="35"/>
      <c r="AK120" s="35"/>
      <c r="AL120" s="33"/>
      <c r="AM120" s="33"/>
      <c r="AN120" s="36"/>
      <c r="AO120" s="33"/>
      <c r="AP120" s="37"/>
      <c r="AQ120" s="37"/>
    </row>
    <row r="121" spans="1:43" ht="28.5">
      <c r="A121" s="18" t="s">
        <v>2147</v>
      </c>
      <c r="B121" s="45" t="s">
        <v>1297</v>
      </c>
      <c r="C121" s="38" t="s">
        <v>55</v>
      </c>
      <c r="D121" s="18"/>
      <c r="E121" s="19" t="s">
        <v>1173</v>
      </c>
      <c r="F121" s="18" t="s">
        <v>240</v>
      </c>
      <c r="G121" s="15" t="s">
        <v>1539</v>
      </c>
      <c r="H121" s="15" t="s">
        <v>3044</v>
      </c>
      <c r="I121" s="57"/>
      <c r="J121" s="57"/>
      <c r="K121" s="57"/>
      <c r="L121" s="57"/>
      <c r="M121" s="157" t="s">
        <v>3045</v>
      </c>
      <c r="N121" s="38"/>
      <c r="O121" s="38"/>
      <c r="P121" s="38"/>
      <c r="Q121" s="38"/>
      <c r="R121" s="22"/>
      <c r="S121" s="29"/>
      <c r="T121" s="38"/>
      <c r="U121" s="38"/>
      <c r="V121" s="38"/>
      <c r="W121" s="38"/>
      <c r="X121" s="38"/>
      <c r="Y121" s="38"/>
      <c r="Z121" s="38"/>
      <c r="AA121" s="38"/>
      <c r="AB121" s="38"/>
      <c r="AC121" s="38"/>
      <c r="AD121" s="38"/>
      <c r="AE121" s="38"/>
      <c r="AF121" s="38"/>
      <c r="AG121" s="38"/>
      <c r="AH121" s="38"/>
      <c r="AI121" s="39"/>
      <c r="AJ121" s="39"/>
      <c r="AK121" s="39"/>
      <c r="AL121" s="38"/>
      <c r="AM121" s="38"/>
      <c r="AN121" s="40"/>
      <c r="AO121" s="38"/>
      <c r="AP121" s="41"/>
      <c r="AQ121" s="41"/>
    </row>
    <row r="122" spans="1:43" ht="84">
      <c r="A122" s="18" t="s">
        <v>2148</v>
      </c>
      <c r="B122" s="45" t="s">
        <v>1298</v>
      </c>
      <c r="C122" s="33" t="s">
        <v>55</v>
      </c>
      <c r="D122" s="18"/>
      <c r="E122" s="19" t="s">
        <v>1173</v>
      </c>
      <c r="F122" s="18" t="s">
        <v>240</v>
      </c>
      <c r="G122" s="15" t="s">
        <v>1540</v>
      </c>
      <c r="H122" s="15" t="s">
        <v>3046</v>
      </c>
      <c r="I122" s="57"/>
      <c r="J122" s="57"/>
      <c r="K122" s="57"/>
      <c r="L122" s="57"/>
      <c r="M122" s="158" t="s">
        <v>3047</v>
      </c>
      <c r="N122" s="33">
        <v>2025</v>
      </c>
      <c r="O122" s="159" t="s">
        <v>1671</v>
      </c>
      <c r="P122" s="104" t="s">
        <v>3051</v>
      </c>
      <c r="Q122" s="33"/>
      <c r="R122" s="34"/>
      <c r="S122" s="29"/>
      <c r="T122" s="33"/>
      <c r="U122" s="33"/>
      <c r="V122" s="33"/>
      <c r="W122" s="33"/>
      <c r="X122" s="104" t="s">
        <v>3050</v>
      </c>
      <c r="Y122" s="33" t="s">
        <v>3048</v>
      </c>
      <c r="Z122" s="104" t="s">
        <v>3049</v>
      </c>
      <c r="AA122" s="33" t="s">
        <v>3052</v>
      </c>
      <c r="AB122" s="33"/>
      <c r="AC122" s="33"/>
      <c r="AD122" s="33"/>
      <c r="AE122" s="33"/>
      <c r="AF122" s="33"/>
      <c r="AG122" s="33"/>
      <c r="AH122" s="33"/>
      <c r="AI122" s="35"/>
      <c r="AJ122" s="35"/>
      <c r="AK122" s="35"/>
      <c r="AL122" s="33"/>
      <c r="AM122" s="33"/>
      <c r="AN122" s="36"/>
      <c r="AO122" s="33"/>
      <c r="AP122" s="37"/>
      <c r="AQ122" s="37"/>
    </row>
    <row r="123" spans="1:43" ht="60">
      <c r="A123" s="18" t="s">
        <v>2149</v>
      </c>
      <c r="B123" s="45" t="s">
        <v>1299</v>
      </c>
      <c r="C123" s="38" t="s">
        <v>55</v>
      </c>
      <c r="D123" s="18"/>
      <c r="E123" s="19" t="s">
        <v>1173</v>
      </c>
      <c r="F123" s="18" t="s">
        <v>240</v>
      </c>
      <c r="G123" s="15" t="s">
        <v>1541</v>
      </c>
      <c r="H123" s="15" t="s">
        <v>3053</v>
      </c>
      <c r="I123" s="57"/>
      <c r="J123" s="57"/>
      <c r="K123" s="57"/>
      <c r="L123" s="57"/>
      <c r="M123" s="38" t="s">
        <v>3054</v>
      </c>
      <c r="N123" s="38">
        <v>2023</v>
      </c>
      <c r="O123" s="38" t="s">
        <v>1670</v>
      </c>
      <c r="P123" s="108" t="s">
        <v>3057</v>
      </c>
      <c r="Q123" s="38"/>
      <c r="R123" s="22"/>
      <c r="S123" s="29"/>
      <c r="T123" s="38"/>
      <c r="U123" s="38"/>
      <c r="V123" s="38"/>
      <c r="W123" s="38"/>
      <c r="X123" s="38" t="s">
        <v>3055</v>
      </c>
      <c r="Y123" s="38" t="s">
        <v>3058</v>
      </c>
      <c r="Z123" s="108" t="s">
        <v>3059</v>
      </c>
      <c r="AA123" s="38" t="s">
        <v>3056</v>
      </c>
      <c r="AB123" s="38"/>
      <c r="AC123" s="38"/>
      <c r="AD123" s="38"/>
      <c r="AE123" s="38"/>
      <c r="AF123" s="38"/>
      <c r="AG123" s="38"/>
      <c r="AH123" s="38"/>
      <c r="AI123" s="39"/>
      <c r="AJ123" s="39"/>
      <c r="AK123" s="39"/>
      <c r="AL123" s="38"/>
      <c r="AM123" s="38"/>
      <c r="AN123" s="40"/>
      <c r="AO123" s="38"/>
      <c r="AP123" s="41"/>
      <c r="AQ123" s="41"/>
    </row>
    <row r="124" spans="1:43" ht="48">
      <c r="A124" s="18" t="s">
        <v>2150</v>
      </c>
      <c r="B124" s="45" t="s">
        <v>1300</v>
      </c>
      <c r="C124" s="33" t="s">
        <v>202</v>
      </c>
      <c r="D124" s="18" t="s">
        <v>2341</v>
      </c>
      <c r="E124" s="19" t="s">
        <v>1173</v>
      </c>
      <c r="F124" s="18" t="s">
        <v>240</v>
      </c>
      <c r="G124" s="15" t="s">
        <v>1542</v>
      </c>
      <c r="H124" s="79" t="s">
        <v>2342</v>
      </c>
      <c r="I124" s="82" t="s">
        <v>2343</v>
      </c>
      <c r="J124" s="82" t="s">
        <v>2344</v>
      </c>
      <c r="K124" s="82" t="s">
        <v>2346</v>
      </c>
      <c r="L124" s="79" t="s">
        <v>2345</v>
      </c>
      <c r="M124" s="33" t="s">
        <v>3060</v>
      </c>
      <c r="N124" s="33">
        <v>2024</v>
      </c>
      <c r="O124" s="33" t="s">
        <v>1670</v>
      </c>
      <c r="P124" s="78" t="s">
        <v>3064</v>
      </c>
      <c r="Q124" s="33"/>
      <c r="R124" s="34"/>
      <c r="S124" s="29"/>
      <c r="T124" s="33"/>
      <c r="U124" s="33"/>
      <c r="V124" s="33"/>
      <c r="W124" s="33"/>
      <c r="X124" s="33" t="s">
        <v>3061</v>
      </c>
      <c r="Y124" s="33" t="s">
        <v>3062</v>
      </c>
      <c r="Z124" s="104" t="s">
        <v>3063</v>
      </c>
      <c r="AA124" s="33" t="s">
        <v>3065</v>
      </c>
      <c r="AB124" s="33"/>
      <c r="AC124" s="89" t="s">
        <v>2347</v>
      </c>
      <c r="AD124" s="18" t="s">
        <v>2340</v>
      </c>
      <c r="AE124" s="33"/>
      <c r="AF124" s="33"/>
      <c r="AG124" s="33"/>
      <c r="AH124" s="33"/>
      <c r="AI124" s="35"/>
      <c r="AJ124" s="35"/>
      <c r="AK124" s="35"/>
      <c r="AL124" s="33"/>
      <c r="AM124" s="33"/>
      <c r="AN124" s="36"/>
      <c r="AO124" s="33"/>
      <c r="AP124" s="37"/>
      <c r="AQ124" s="37"/>
    </row>
    <row r="125" spans="1:43" ht="48">
      <c r="A125" s="18" t="s">
        <v>2151</v>
      </c>
      <c r="B125" s="45" t="s">
        <v>1301</v>
      </c>
      <c r="C125" s="38" t="s">
        <v>202</v>
      </c>
      <c r="D125" s="18" t="s">
        <v>2499</v>
      </c>
      <c r="E125" s="19" t="s">
        <v>1173</v>
      </c>
      <c r="F125" s="18" t="s">
        <v>240</v>
      </c>
      <c r="G125" s="74" t="s">
        <v>1543</v>
      </c>
      <c r="H125" s="15" t="s">
        <v>2844</v>
      </c>
      <c r="I125" s="82" t="s">
        <v>2472</v>
      </c>
      <c r="J125" s="57" t="s">
        <v>2477</v>
      </c>
      <c r="K125" s="82" t="s">
        <v>2478</v>
      </c>
      <c r="L125" s="106" t="s">
        <v>2479</v>
      </c>
      <c r="M125" s="38" t="s">
        <v>2474</v>
      </c>
      <c r="N125" s="38">
        <v>2019</v>
      </c>
      <c r="O125" s="38" t="s">
        <v>1670</v>
      </c>
      <c r="P125" s="108" t="s">
        <v>2856</v>
      </c>
      <c r="Q125" s="38"/>
      <c r="R125" s="22"/>
      <c r="S125" s="29"/>
      <c r="T125" s="38"/>
      <c r="U125" s="38"/>
      <c r="V125" s="38"/>
      <c r="W125" s="38"/>
      <c r="X125" s="38" t="s">
        <v>2858</v>
      </c>
      <c r="Y125" s="38" t="s">
        <v>2855</v>
      </c>
      <c r="Z125" s="108" t="s">
        <v>2857</v>
      </c>
      <c r="AA125" s="38"/>
      <c r="AB125" s="38"/>
      <c r="AC125" s="38"/>
      <c r="AD125" s="38"/>
      <c r="AE125" s="38"/>
      <c r="AF125" s="38"/>
      <c r="AG125" s="38"/>
      <c r="AH125" s="38"/>
      <c r="AI125" s="39"/>
      <c r="AJ125" s="39"/>
      <c r="AK125" s="39"/>
      <c r="AL125" s="38"/>
      <c r="AM125" s="38"/>
      <c r="AN125" s="40"/>
      <c r="AO125" s="38"/>
      <c r="AP125" s="41"/>
      <c r="AQ125" s="41"/>
    </row>
    <row r="126" spans="1:43" ht="85.5">
      <c r="A126" s="18" t="s">
        <v>2152</v>
      </c>
      <c r="B126" s="45" t="s">
        <v>1302</v>
      </c>
      <c r="C126" s="33" t="s">
        <v>55</v>
      </c>
      <c r="D126" s="18"/>
      <c r="E126" s="19" t="s">
        <v>1173</v>
      </c>
      <c r="F126" s="18" t="s">
        <v>240</v>
      </c>
      <c r="G126" s="15" t="s">
        <v>1544</v>
      </c>
      <c r="H126" s="57" t="s">
        <v>3066</v>
      </c>
      <c r="I126" s="57"/>
      <c r="J126" s="57"/>
      <c r="K126" s="57"/>
      <c r="L126" s="57"/>
      <c r="M126" s="33" t="s">
        <v>3067</v>
      </c>
      <c r="N126" s="33">
        <v>2013</v>
      </c>
      <c r="O126" s="33" t="s">
        <v>1670</v>
      </c>
      <c r="P126" s="104" t="s">
        <v>3072</v>
      </c>
      <c r="Q126" s="33"/>
      <c r="R126" s="34"/>
      <c r="S126" s="29"/>
      <c r="T126" s="33"/>
      <c r="U126" s="33"/>
      <c r="V126" s="33"/>
      <c r="W126" s="33"/>
      <c r="X126" s="33" t="s">
        <v>3069</v>
      </c>
      <c r="Y126" s="33" t="s">
        <v>3070</v>
      </c>
      <c r="Z126" t="s">
        <v>3071</v>
      </c>
      <c r="AA126" s="3" t="s">
        <v>3068</v>
      </c>
      <c r="AB126" s="33"/>
      <c r="AC126" s="33"/>
      <c r="AD126" s="33"/>
      <c r="AE126" s="33"/>
      <c r="AF126" s="33"/>
      <c r="AG126" s="33"/>
      <c r="AH126" s="33"/>
      <c r="AI126" s="35"/>
      <c r="AJ126" s="35"/>
      <c r="AK126" s="35"/>
      <c r="AL126" s="33"/>
      <c r="AM126" s="33"/>
      <c r="AN126" s="36"/>
      <c r="AO126" s="33"/>
      <c r="AP126" s="37"/>
      <c r="AQ126" s="37"/>
    </row>
    <row r="127" spans="1:43" ht="60">
      <c r="A127" s="18" t="s">
        <v>2153</v>
      </c>
      <c r="B127" s="45" t="s">
        <v>1303</v>
      </c>
      <c r="C127" s="38" t="s">
        <v>202</v>
      </c>
      <c r="D127" s="18" t="s">
        <v>2493</v>
      </c>
      <c r="E127" s="19" t="s">
        <v>1173</v>
      </c>
      <c r="F127" s="18" t="s">
        <v>240</v>
      </c>
      <c r="G127" s="74" t="s">
        <v>1545</v>
      </c>
      <c r="H127" s="15" t="s">
        <v>2990</v>
      </c>
      <c r="I127" s="152" t="s">
        <v>2995</v>
      </c>
      <c r="J127" s="57" t="s">
        <v>2992</v>
      </c>
      <c r="K127" s="82" t="s">
        <v>2997</v>
      </c>
      <c r="L127" s="154" t="s">
        <v>2994</v>
      </c>
      <c r="M127" s="38" t="s">
        <v>3010</v>
      </c>
      <c r="N127" s="38" t="s">
        <v>2886</v>
      </c>
      <c r="O127" s="38" t="s">
        <v>1670</v>
      </c>
      <c r="P127" s="108" t="s">
        <v>3012</v>
      </c>
      <c r="Q127" s="38"/>
      <c r="R127" s="22"/>
      <c r="S127" s="29"/>
      <c r="T127" s="38"/>
      <c r="U127" s="38"/>
      <c r="V127" s="38"/>
      <c r="W127" s="38"/>
      <c r="X127" s="155" t="s">
        <v>3011</v>
      </c>
      <c r="Y127" s="103" t="s">
        <v>3013</v>
      </c>
      <c r="Z127" s="108" t="s">
        <v>3014</v>
      </c>
      <c r="AA127" s="38" t="s">
        <v>3015</v>
      </c>
      <c r="AB127" s="38"/>
      <c r="AC127" s="38"/>
      <c r="AD127" s="38"/>
      <c r="AE127" s="38"/>
      <c r="AF127" s="38"/>
      <c r="AG127" s="38"/>
      <c r="AH127" s="38"/>
      <c r="AI127" s="39"/>
      <c r="AJ127" s="39"/>
      <c r="AK127" s="39"/>
      <c r="AL127" s="38"/>
      <c r="AM127" s="38"/>
      <c r="AN127" s="40"/>
      <c r="AO127" s="38"/>
      <c r="AP127" s="41"/>
      <c r="AQ127" s="41"/>
    </row>
    <row r="128" spans="1:43" ht="57">
      <c r="A128" s="18" t="s">
        <v>2154</v>
      </c>
      <c r="B128" s="45" t="s">
        <v>1304</v>
      </c>
      <c r="C128" s="33" t="s">
        <v>202</v>
      </c>
      <c r="D128" s="18" t="s">
        <v>2490</v>
      </c>
      <c r="E128" s="19" t="s">
        <v>1173</v>
      </c>
      <c r="F128" s="18" t="s">
        <v>240</v>
      </c>
      <c r="G128" s="74" t="s">
        <v>1546</v>
      </c>
      <c r="H128" s="79" t="s">
        <v>2317</v>
      </c>
      <c r="I128" s="82" t="s">
        <v>2307</v>
      </c>
      <c r="J128" s="57" t="s">
        <v>2305</v>
      </c>
      <c r="K128" s="57" t="s">
        <v>2306</v>
      </c>
      <c r="L128" s="15" t="s">
        <v>2304</v>
      </c>
      <c r="M128" t="s">
        <v>2660</v>
      </c>
      <c r="N128" s="33">
        <v>2023</v>
      </c>
      <c r="O128" s="33" t="s">
        <v>1670</v>
      </c>
      <c r="P128" s="78" t="s">
        <v>2674</v>
      </c>
      <c r="Q128" s="33"/>
      <c r="R128" s="34"/>
      <c r="S128" s="29"/>
      <c r="T128" s="33"/>
      <c r="U128" s="33"/>
      <c r="V128" s="33"/>
      <c r="W128" s="33"/>
      <c r="X128" s="33" t="s">
        <v>2673</v>
      </c>
      <c r="Y128" s="120" t="s">
        <v>2675</v>
      </c>
      <c r="Z128" s="104" t="s">
        <v>2676</v>
      </c>
      <c r="AA128" s="33" t="s">
        <v>2677</v>
      </c>
      <c r="AB128" s="33"/>
      <c r="AC128" s="104" t="s">
        <v>2679</v>
      </c>
      <c r="AD128" s="33" t="s">
        <v>2678</v>
      </c>
      <c r="AE128" s="33"/>
      <c r="AF128" s="33"/>
      <c r="AG128" s="33"/>
      <c r="AH128" s="33"/>
      <c r="AI128" s="35"/>
      <c r="AJ128" s="35"/>
      <c r="AK128" s="35"/>
      <c r="AL128" s="33"/>
      <c r="AM128" s="33"/>
      <c r="AN128" s="36"/>
      <c r="AO128" s="33"/>
      <c r="AP128" s="37"/>
      <c r="AQ128" s="37"/>
    </row>
    <row r="129" spans="1:43" ht="72">
      <c r="A129" s="18" t="s">
        <v>2155</v>
      </c>
      <c r="B129" s="45" t="s">
        <v>1305</v>
      </c>
      <c r="C129" s="38"/>
      <c r="D129" s="18" t="s">
        <v>2498</v>
      </c>
      <c r="E129" s="19" t="s">
        <v>1173</v>
      </c>
      <c r="F129" s="18" t="s">
        <v>240</v>
      </c>
      <c r="G129" s="74" t="s">
        <v>1547</v>
      </c>
      <c r="H129" s="15" t="s">
        <v>2890</v>
      </c>
      <c r="I129" s="82" t="s">
        <v>2891</v>
      </c>
      <c r="J129" s="82" t="s">
        <v>2892</v>
      </c>
      <c r="K129" s="82" t="s">
        <v>2893</v>
      </c>
      <c r="L129" s="15" t="s">
        <v>2895</v>
      </c>
      <c r="M129" s="38" t="s">
        <v>2894</v>
      </c>
      <c r="N129" s="38">
        <v>2026</v>
      </c>
      <c r="O129" s="38" t="s">
        <v>1670</v>
      </c>
      <c r="P129" s="108" t="s">
        <v>2904</v>
      </c>
      <c r="Q129" s="38"/>
      <c r="R129" s="22"/>
      <c r="S129" s="29"/>
      <c r="T129" s="38"/>
      <c r="U129" s="38"/>
      <c r="V129" s="38"/>
      <c r="W129" s="38"/>
      <c r="X129" s="148" t="s">
        <v>2900</v>
      </c>
      <c r="Y129" s="38" t="s">
        <v>2902</v>
      </c>
      <c r="Z129" s="108" t="s">
        <v>2901</v>
      </c>
      <c r="AA129" s="38" t="s">
        <v>2903</v>
      </c>
      <c r="AB129" s="38"/>
      <c r="AC129" s="38"/>
      <c r="AD129" s="38"/>
      <c r="AE129" s="38"/>
      <c r="AF129" s="38"/>
      <c r="AG129" s="38"/>
      <c r="AH129" s="38"/>
      <c r="AI129" s="39"/>
      <c r="AJ129" s="39"/>
      <c r="AK129" s="39"/>
      <c r="AL129" s="38"/>
      <c r="AM129" s="38"/>
      <c r="AN129" s="40"/>
      <c r="AO129" s="38"/>
      <c r="AP129" s="41"/>
      <c r="AQ129" s="41"/>
    </row>
    <row r="130" spans="1:43" ht="72.75" thickBot="1">
      <c r="A130" s="18" t="s">
        <v>2156</v>
      </c>
      <c r="B130" s="45" t="s">
        <v>1306</v>
      </c>
      <c r="C130" s="33"/>
      <c r="D130" s="18" t="s">
        <v>2494</v>
      </c>
      <c r="E130" s="19" t="s">
        <v>1173</v>
      </c>
      <c r="F130" s="18" t="s">
        <v>240</v>
      </c>
      <c r="G130" s="74" t="s">
        <v>1548</v>
      </c>
      <c r="H130" s="15" t="s">
        <v>2680</v>
      </c>
      <c r="I130" s="82" t="s">
        <v>2681</v>
      </c>
      <c r="J130" s="121" t="s">
        <v>2682</v>
      </c>
      <c r="K130" s="82" t="s">
        <v>2684</v>
      </c>
      <c r="L130" s="15" t="s">
        <v>2683</v>
      </c>
      <c r="M130" s="33" t="s">
        <v>2686</v>
      </c>
      <c r="N130" s="33">
        <v>2024</v>
      </c>
      <c r="O130" s="33" t="s">
        <v>1670</v>
      </c>
      <c r="P130" s="104" t="s">
        <v>2687</v>
      </c>
      <c r="Q130" s="33"/>
      <c r="R130" s="34"/>
      <c r="S130" s="29"/>
      <c r="T130" s="33"/>
      <c r="U130" s="33"/>
      <c r="V130" s="33"/>
      <c r="W130" s="33"/>
      <c r="X130" s="33" t="s">
        <v>2688</v>
      </c>
      <c r="Y130" s="33" t="s">
        <v>2696</v>
      </c>
      <c r="Z130" s="33" t="s">
        <v>2697</v>
      </c>
      <c r="AA130" s="33" t="s">
        <v>2689</v>
      </c>
      <c r="AB130" s="33"/>
      <c r="AC130" s="33"/>
      <c r="AD130" s="33"/>
      <c r="AE130" s="33"/>
      <c r="AF130" s="33"/>
      <c r="AG130" s="33"/>
      <c r="AH130" s="33"/>
      <c r="AI130" s="35"/>
      <c r="AJ130" s="35"/>
      <c r="AK130" s="35"/>
      <c r="AL130" s="33"/>
      <c r="AM130" s="33"/>
      <c r="AN130" s="36"/>
      <c r="AO130" s="33"/>
      <c r="AP130" s="37"/>
      <c r="AQ130" s="37"/>
    </row>
    <row r="131" spans="1:43" ht="48.75" thickTop="1">
      <c r="A131" s="18" t="s">
        <v>2157</v>
      </c>
      <c r="B131" s="45" t="s">
        <v>1307</v>
      </c>
      <c r="C131" s="38" t="s">
        <v>202</v>
      </c>
      <c r="D131" s="18" t="s">
        <v>2495</v>
      </c>
      <c r="E131" s="19" t="s">
        <v>1173</v>
      </c>
      <c r="F131" s="18" t="s">
        <v>240</v>
      </c>
      <c r="G131" s="15" t="s">
        <v>1549</v>
      </c>
      <c r="H131" s="15" t="s">
        <v>3074</v>
      </c>
      <c r="I131" s="82" t="s">
        <v>3073</v>
      </c>
      <c r="J131" s="82" t="s">
        <v>3075</v>
      </c>
      <c r="K131" s="85" t="s">
        <v>3076</v>
      </c>
      <c r="L131" s="79" t="s">
        <v>3077</v>
      </c>
      <c r="M131" s="38" t="s">
        <v>3078</v>
      </c>
      <c r="N131" s="38">
        <v>2017</v>
      </c>
      <c r="O131" s="38" t="s">
        <v>1670</v>
      </c>
      <c r="P131" s="108" t="s">
        <v>3081</v>
      </c>
      <c r="Q131" s="38"/>
      <c r="R131" s="22"/>
      <c r="S131" s="29"/>
      <c r="T131" s="38"/>
      <c r="U131" s="38"/>
      <c r="V131" s="38"/>
      <c r="W131" s="38"/>
      <c r="X131" s="38" t="s">
        <v>3082</v>
      </c>
      <c r="Y131" s="38" t="s">
        <v>3079</v>
      </c>
      <c r="Z131" s="163" t="s">
        <v>3080</v>
      </c>
      <c r="AA131" s="31" t="s">
        <v>3083</v>
      </c>
      <c r="AB131" s="38"/>
      <c r="AC131" s="38"/>
      <c r="AD131" s="38"/>
      <c r="AE131" s="38"/>
      <c r="AF131" s="38"/>
      <c r="AG131" s="38"/>
      <c r="AH131" s="38"/>
      <c r="AI131" s="39"/>
      <c r="AJ131" s="39"/>
      <c r="AK131" s="39"/>
      <c r="AL131" s="38"/>
      <c r="AM131" s="38"/>
      <c r="AN131" s="40"/>
      <c r="AO131" s="38"/>
      <c r="AP131" s="41"/>
      <c r="AQ131" s="41"/>
    </row>
    <row r="132" spans="1:43" ht="48">
      <c r="A132" s="18" t="s">
        <v>2158</v>
      </c>
      <c r="B132" s="45" t="s">
        <v>1308</v>
      </c>
      <c r="C132" s="38" t="s">
        <v>202</v>
      </c>
      <c r="D132" s="18" t="s">
        <v>2495</v>
      </c>
      <c r="E132" s="19" t="s">
        <v>1173</v>
      </c>
      <c r="F132" s="18" t="s">
        <v>240</v>
      </c>
      <c r="G132" s="15" t="s">
        <v>1550</v>
      </c>
      <c r="H132" s="15" t="s">
        <v>3074</v>
      </c>
      <c r="I132" s="82" t="s">
        <v>3073</v>
      </c>
      <c r="J132" s="82" t="s">
        <v>3075</v>
      </c>
      <c r="K132" s="85" t="s">
        <v>3076</v>
      </c>
      <c r="L132" s="79" t="s">
        <v>3077</v>
      </c>
      <c r="M132" s="33" t="s">
        <v>3084</v>
      </c>
      <c r="N132" s="33">
        <v>2022</v>
      </c>
      <c r="O132" s="33" t="s">
        <v>1670</v>
      </c>
      <c r="P132" s="104" t="s">
        <v>3085</v>
      </c>
      <c r="Q132" s="33"/>
      <c r="R132" s="34"/>
      <c r="S132" s="29"/>
      <c r="T132" s="33"/>
      <c r="U132" s="33"/>
      <c r="V132" s="33"/>
      <c r="W132" s="33"/>
      <c r="X132" s="33" t="s">
        <v>3086</v>
      </c>
      <c r="Y132" s="33" t="s">
        <v>3087</v>
      </c>
      <c r="Z132" s="116" t="s">
        <v>3088</v>
      </c>
      <c r="AA132" s="33" t="s">
        <v>3089</v>
      </c>
      <c r="AB132" s="33"/>
      <c r="AC132" s="33"/>
      <c r="AD132" s="33"/>
      <c r="AE132" s="33"/>
      <c r="AF132" s="33"/>
      <c r="AG132" s="33"/>
      <c r="AH132" s="33"/>
      <c r="AI132" s="35"/>
      <c r="AJ132" s="35"/>
      <c r="AK132" s="35"/>
      <c r="AL132" s="33"/>
      <c r="AM132" s="33"/>
      <c r="AN132" s="36"/>
      <c r="AO132" s="33"/>
      <c r="AP132" s="37"/>
      <c r="AQ132" s="37"/>
    </row>
    <row r="133" spans="1:43" ht="60">
      <c r="A133" s="18" t="s">
        <v>2159</v>
      </c>
      <c r="B133" s="45" t="s">
        <v>1309</v>
      </c>
      <c r="C133" s="38" t="s">
        <v>202</v>
      </c>
      <c r="D133" s="18" t="s">
        <v>2495</v>
      </c>
      <c r="E133" s="19" t="s">
        <v>1173</v>
      </c>
      <c r="F133" s="18" t="s">
        <v>240</v>
      </c>
      <c r="G133" s="15" t="s">
        <v>1551</v>
      </c>
      <c r="H133" s="15" t="s">
        <v>3074</v>
      </c>
      <c r="I133" s="82" t="s">
        <v>3073</v>
      </c>
      <c r="J133" s="82" t="s">
        <v>3075</v>
      </c>
      <c r="K133" s="85" t="s">
        <v>3076</v>
      </c>
      <c r="L133" s="79" t="s">
        <v>3077</v>
      </c>
      <c r="M133" s="38" t="s">
        <v>3091</v>
      </c>
      <c r="N133" s="38">
        <v>2022</v>
      </c>
      <c r="O133" s="38" t="s">
        <v>1670</v>
      </c>
      <c r="P133" s="108" t="s">
        <v>3090</v>
      </c>
      <c r="Q133" s="38"/>
      <c r="R133" s="22"/>
      <c r="S133" s="29"/>
      <c r="T133" s="38"/>
      <c r="U133" s="38"/>
      <c r="V133" s="38"/>
      <c r="W133" s="38"/>
      <c r="X133" s="38" t="s">
        <v>3092</v>
      </c>
      <c r="Y133" s="38" t="s">
        <v>3094</v>
      </c>
      <c r="Z133" s="76" t="s">
        <v>3095</v>
      </c>
      <c r="AA133" s="38" t="s">
        <v>3093</v>
      </c>
      <c r="AB133" s="38"/>
      <c r="AC133" s="38"/>
      <c r="AD133" s="38"/>
      <c r="AE133" s="38"/>
      <c r="AF133" s="38"/>
      <c r="AG133" s="38"/>
      <c r="AH133" s="38"/>
      <c r="AI133" s="39"/>
      <c r="AJ133" s="39"/>
      <c r="AK133" s="39"/>
      <c r="AL133" s="38"/>
      <c r="AM133" s="38"/>
      <c r="AN133" s="40"/>
      <c r="AO133" s="38"/>
      <c r="AP133" s="41"/>
      <c r="AQ133" s="41"/>
    </row>
    <row r="134" spans="1:43" ht="84">
      <c r="A134" s="18" t="s">
        <v>2160</v>
      </c>
      <c r="B134" s="45" t="s">
        <v>1310</v>
      </c>
      <c r="C134" s="38" t="s">
        <v>202</v>
      </c>
      <c r="D134" s="18" t="s">
        <v>2495</v>
      </c>
      <c r="E134" s="19" t="s">
        <v>1173</v>
      </c>
      <c r="F134" s="18" t="s">
        <v>240</v>
      </c>
      <c r="G134" s="15" t="s">
        <v>1552</v>
      </c>
      <c r="H134" s="15" t="s">
        <v>3074</v>
      </c>
      <c r="I134" s="82" t="s">
        <v>3073</v>
      </c>
      <c r="J134" s="17" t="s">
        <v>3075</v>
      </c>
      <c r="K134" s="85" t="s">
        <v>3076</v>
      </c>
      <c r="L134" s="79" t="s">
        <v>3077</v>
      </c>
      <c r="M134" s="33" t="s">
        <v>3096</v>
      </c>
      <c r="N134" s="33">
        <v>2020</v>
      </c>
      <c r="O134" s="33" t="s">
        <v>1670</v>
      </c>
      <c r="P134" s="104" t="s">
        <v>3097</v>
      </c>
      <c r="Q134" s="33"/>
      <c r="R134" s="34"/>
      <c r="S134" s="29"/>
      <c r="T134" s="33"/>
      <c r="U134" s="33"/>
      <c r="V134" s="33"/>
      <c r="W134" s="33"/>
      <c r="X134" s="33" t="s">
        <v>3098</v>
      </c>
      <c r="Y134" s="33" t="s">
        <v>3100</v>
      </c>
      <c r="Z134" s="104" t="s">
        <v>3101</v>
      </c>
      <c r="AA134" s="33" t="s">
        <v>3099</v>
      </c>
      <c r="AB134" s="33"/>
      <c r="AC134" s="33"/>
      <c r="AD134" s="33"/>
      <c r="AE134" s="33"/>
      <c r="AF134" s="33"/>
      <c r="AG134" s="33"/>
      <c r="AH134" s="33"/>
      <c r="AI134" s="35"/>
      <c r="AJ134" s="35"/>
      <c r="AK134" s="35"/>
      <c r="AL134" s="33"/>
      <c r="AM134" s="33"/>
      <c r="AN134" s="36"/>
      <c r="AO134" s="33"/>
      <c r="AP134" s="37"/>
      <c r="AQ134" s="37"/>
    </row>
    <row r="135" spans="1:43" ht="84">
      <c r="A135" s="18" t="s">
        <v>2161</v>
      </c>
      <c r="B135" s="45" t="s">
        <v>1311</v>
      </c>
      <c r="C135" s="38" t="s">
        <v>55</v>
      </c>
      <c r="D135" s="18"/>
      <c r="E135" s="19" t="s">
        <v>1173</v>
      </c>
      <c r="F135" s="18" t="s">
        <v>240</v>
      </c>
      <c r="G135" s="15" t="s">
        <v>1553</v>
      </c>
      <c r="H135" s="15" t="s">
        <v>3102</v>
      </c>
      <c r="I135" s="57"/>
      <c r="J135" s="57"/>
      <c r="K135" s="57"/>
      <c r="L135" s="57"/>
      <c r="M135" s="38" t="s">
        <v>3103</v>
      </c>
      <c r="N135" s="38">
        <v>2022</v>
      </c>
      <c r="O135" s="38" t="s">
        <v>1671</v>
      </c>
      <c r="P135" s="108" t="s">
        <v>3108</v>
      </c>
      <c r="Q135" s="38"/>
      <c r="R135" s="22"/>
      <c r="S135" s="29"/>
      <c r="T135" s="38"/>
      <c r="U135" s="38"/>
      <c r="V135" s="38"/>
      <c r="W135" s="38"/>
      <c r="X135" s="38" t="s">
        <v>3109</v>
      </c>
      <c r="Y135" s="38" t="s">
        <v>3105</v>
      </c>
      <c r="Z135" s="108" t="s">
        <v>3106</v>
      </c>
      <c r="AA135" s="38" t="s">
        <v>3107</v>
      </c>
      <c r="AB135" s="38"/>
      <c r="AC135" s="38"/>
      <c r="AD135" s="38"/>
      <c r="AE135" s="38"/>
      <c r="AF135" s="38"/>
      <c r="AG135" s="38"/>
      <c r="AH135" s="38"/>
      <c r="AI135" s="39"/>
      <c r="AJ135" s="39"/>
      <c r="AK135" s="39"/>
      <c r="AL135" s="38"/>
      <c r="AM135" s="38"/>
      <c r="AN135" s="40"/>
      <c r="AO135" s="38"/>
      <c r="AP135" s="41" t="s">
        <v>3104</v>
      </c>
      <c r="AQ135" s="41"/>
    </row>
    <row r="136" spans="1:43" ht="48">
      <c r="A136" s="18" t="s">
        <v>2162</v>
      </c>
      <c r="B136" s="45" t="s">
        <v>1312</v>
      </c>
      <c r="C136" s="33" t="s">
        <v>202</v>
      </c>
      <c r="D136" s="18" t="s">
        <v>2496</v>
      </c>
      <c r="E136" s="19" t="s">
        <v>1173</v>
      </c>
      <c r="F136" s="18" t="s">
        <v>240</v>
      </c>
      <c r="G136" s="74" t="s">
        <v>1554</v>
      </c>
      <c r="H136" s="15" t="s">
        <v>2820</v>
      </c>
      <c r="I136" s="82" t="s">
        <v>2821</v>
      </c>
      <c r="J136" s="130" t="s">
        <v>2822</v>
      </c>
      <c r="K136" s="18" t="s">
        <v>2824</v>
      </c>
      <c r="L136" s="15" t="s">
        <v>2823</v>
      </c>
      <c r="M136" s="33" t="s">
        <v>2831</v>
      </c>
      <c r="N136" s="33">
        <v>2026</v>
      </c>
      <c r="O136" s="33" t="s">
        <v>1670</v>
      </c>
      <c r="P136" s="104" t="s">
        <v>2836</v>
      </c>
      <c r="Q136" s="33"/>
      <c r="R136" s="34"/>
      <c r="S136" s="29"/>
      <c r="T136" s="33"/>
      <c r="U136" s="33"/>
      <c r="V136" s="33"/>
      <c r="W136" s="33"/>
      <c r="X136" s="33" t="s">
        <v>2833</v>
      </c>
      <c r="Y136" s="33" t="s">
        <v>2834</v>
      </c>
      <c r="Z136" s="104" t="s">
        <v>2835</v>
      </c>
      <c r="AA136" s="33" t="s">
        <v>2832</v>
      </c>
      <c r="AB136" s="33"/>
      <c r="AC136" s="33"/>
      <c r="AD136" s="33"/>
      <c r="AE136" s="33"/>
      <c r="AF136" s="33"/>
      <c r="AG136" s="33"/>
      <c r="AH136" s="33"/>
      <c r="AI136" s="35"/>
      <c r="AJ136" s="35"/>
      <c r="AK136" s="35"/>
      <c r="AL136" s="33"/>
      <c r="AM136" s="33"/>
      <c r="AN136" s="36"/>
      <c r="AO136" s="33"/>
      <c r="AP136" s="37"/>
      <c r="AQ136" s="37"/>
    </row>
    <row r="137" spans="1:43" ht="71.25">
      <c r="A137" s="18" t="s">
        <v>2163</v>
      </c>
      <c r="B137" s="45" t="s">
        <v>1313</v>
      </c>
      <c r="C137" s="38" t="s">
        <v>202</v>
      </c>
      <c r="D137" s="18" t="s">
        <v>2492</v>
      </c>
      <c r="E137" s="19" t="s">
        <v>1173</v>
      </c>
      <c r="F137" s="18" t="s">
        <v>240</v>
      </c>
      <c r="G137" s="15" t="s">
        <v>1555</v>
      </c>
      <c r="H137" s="57" t="s">
        <v>3114</v>
      </c>
      <c r="I137" s="57" t="s">
        <v>3110</v>
      </c>
      <c r="J137" s="82" t="s">
        <v>3112</v>
      </c>
      <c r="K137" s="164" t="s">
        <v>3113</v>
      </c>
      <c r="L137" s="15" t="s">
        <v>3111</v>
      </c>
      <c r="M137" s="165" t="s">
        <v>3115</v>
      </c>
      <c r="N137" s="38">
        <v>2022</v>
      </c>
      <c r="O137" s="38" t="s">
        <v>1670</v>
      </c>
      <c r="P137" s="108" t="s">
        <v>3119</v>
      </c>
      <c r="Q137" s="38"/>
      <c r="R137" s="22"/>
      <c r="S137" s="29"/>
      <c r="T137" s="38"/>
      <c r="U137" s="38"/>
      <c r="V137" s="38"/>
      <c r="W137" s="38"/>
      <c r="X137" s="38" t="s">
        <v>3118</v>
      </c>
      <c r="Y137" s="38" t="s">
        <v>3116</v>
      </c>
      <c r="Z137" s="108" t="s">
        <v>3117</v>
      </c>
      <c r="AA137" s="38" t="s">
        <v>3120</v>
      </c>
      <c r="AB137" s="38"/>
      <c r="AC137" s="38"/>
      <c r="AD137" s="38"/>
      <c r="AE137" s="38"/>
      <c r="AF137" s="38"/>
      <c r="AG137" s="38"/>
      <c r="AH137" s="38"/>
      <c r="AI137" s="39"/>
      <c r="AJ137" s="39"/>
      <c r="AK137" s="39"/>
      <c r="AL137" s="38"/>
      <c r="AM137" s="38"/>
      <c r="AN137" s="40"/>
      <c r="AO137" s="38"/>
      <c r="AP137" s="41"/>
      <c r="AQ137" s="41"/>
    </row>
    <row r="138" spans="1:43" ht="72">
      <c r="A138" s="18" t="s">
        <v>2164</v>
      </c>
      <c r="B138" s="45" t="s">
        <v>1314</v>
      </c>
      <c r="C138" s="33" t="s">
        <v>55</v>
      </c>
      <c r="D138" s="18"/>
      <c r="E138" s="19" t="s">
        <v>1173</v>
      </c>
      <c r="F138" s="18" t="s">
        <v>240</v>
      </c>
      <c r="G138" s="15" t="s">
        <v>1556</v>
      </c>
      <c r="H138" s="15" t="s">
        <v>3140</v>
      </c>
      <c r="I138" s="57"/>
      <c r="J138" s="57"/>
      <c r="K138" s="78"/>
      <c r="L138" s="57"/>
      <c r="M138" s="33" t="s">
        <v>3127</v>
      </c>
      <c r="N138" s="33">
        <v>2023</v>
      </c>
      <c r="O138" s="33" t="s">
        <v>1670</v>
      </c>
      <c r="P138" s="104" t="s">
        <v>3129</v>
      </c>
      <c r="Q138" s="33"/>
      <c r="R138" s="34"/>
      <c r="S138" s="29"/>
      <c r="T138" s="33"/>
      <c r="U138" s="33"/>
      <c r="V138" s="33"/>
      <c r="W138" s="33"/>
      <c r="X138" s="33" t="s">
        <v>3130</v>
      </c>
      <c r="Y138" s="33" t="s">
        <v>3131</v>
      </c>
      <c r="Z138" s="104" t="s">
        <v>3132</v>
      </c>
      <c r="AA138" s="33" t="s">
        <v>3128</v>
      </c>
      <c r="AB138" s="33"/>
      <c r="AC138" s="33"/>
      <c r="AD138" s="33"/>
      <c r="AE138" s="33"/>
      <c r="AF138" s="33"/>
      <c r="AG138" s="33"/>
      <c r="AH138" s="33"/>
      <c r="AI138" s="35"/>
      <c r="AJ138" s="35"/>
      <c r="AK138" s="35"/>
      <c r="AL138" s="33"/>
      <c r="AM138" s="33"/>
      <c r="AN138" s="36"/>
      <c r="AO138" s="33"/>
      <c r="AP138" s="37"/>
      <c r="AQ138" s="37"/>
    </row>
    <row r="139" spans="1:43" ht="60">
      <c r="A139" s="18" t="s">
        <v>2165</v>
      </c>
      <c r="B139" s="45" t="s">
        <v>1315</v>
      </c>
      <c r="C139" s="38" t="s">
        <v>55</v>
      </c>
      <c r="D139" s="18"/>
      <c r="E139" s="19" t="s">
        <v>1173</v>
      </c>
      <c r="F139" s="18" t="s">
        <v>240</v>
      </c>
      <c r="G139" s="15" t="s">
        <v>1557</v>
      </c>
      <c r="H139" s="15" t="s">
        <v>3139</v>
      </c>
      <c r="I139" s="57"/>
      <c r="J139" s="57"/>
      <c r="K139" s="57"/>
      <c r="L139" s="57"/>
      <c r="M139" s="38" t="s">
        <v>3134</v>
      </c>
      <c r="N139" s="38">
        <v>2016</v>
      </c>
      <c r="O139" s="38" t="s">
        <v>1670</v>
      </c>
      <c r="P139" s="108" t="s">
        <v>3133</v>
      </c>
      <c r="Q139" s="38"/>
      <c r="R139" s="22"/>
      <c r="S139" s="29"/>
      <c r="T139" s="38"/>
      <c r="U139" s="38"/>
      <c r="V139" s="38"/>
      <c r="W139" s="38"/>
      <c r="X139" s="38" t="s">
        <v>3135</v>
      </c>
      <c r="Y139" s="38" t="s">
        <v>3136</v>
      </c>
      <c r="Z139" s="108" t="s">
        <v>3137</v>
      </c>
      <c r="AA139" s="38" t="s">
        <v>3138</v>
      </c>
      <c r="AB139" s="38"/>
      <c r="AC139" s="38"/>
      <c r="AD139" s="38"/>
      <c r="AE139" s="38"/>
      <c r="AF139" s="38"/>
      <c r="AG139" s="38"/>
      <c r="AH139" s="38"/>
      <c r="AI139" s="39"/>
      <c r="AJ139" s="39"/>
      <c r="AK139" s="39"/>
      <c r="AL139" s="38"/>
      <c r="AM139" s="38"/>
      <c r="AN139" s="40"/>
      <c r="AO139" s="38"/>
      <c r="AP139" s="41"/>
      <c r="AQ139" s="41"/>
    </row>
    <row r="140" spans="1:43" ht="24.75" customHeight="1">
      <c r="A140" s="18" t="s">
        <v>2166</v>
      </c>
      <c r="B140" s="45" t="s">
        <v>1316</v>
      </c>
      <c r="C140" s="33" t="s">
        <v>55</v>
      </c>
      <c r="D140" s="18"/>
      <c r="E140" s="19" t="s">
        <v>1173</v>
      </c>
      <c r="F140" s="18" t="s">
        <v>240</v>
      </c>
      <c r="G140" s="15" t="s">
        <v>1558</v>
      </c>
      <c r="H140" s="15" t="s">
        <v>3141</v>
      </c>
      <c r="I140" s="57"/>
      <c r="J140" s="57"/>
      <c r="K140" s="57"/>
      <c r="L140" s="57"/>
      <c r="M140" s="166" t="s">
        <v>3142</v>
      </c>
      <c r="N140" s="33">
        <v>2023</v>
      </c>
      <c r="O140" s="33" t="s">
        <v>1670</v>
      </c>
      <c r="P140" s="104" t="s">
        <v>3143</v>
      </c>
      <c r="Q140" s="33"/>
      <c r="R140" s="34"/>
      <c r="S140" s="29"/>
      <c r="T140" s="33"/>
      <c r="U140" s="33"/>
      <c r="V140" s="33"/>
      <c r="W140" s="33"/>
      <c r="X140" s="33" t="s">
        <v>3144</v>
      </c>
      <c r="Y140" s="33" t="s">
        <v>3147</v>
      </c>
      <c r="Z140" s="104" t="s">
        <v>3146</v>
      </c>
      <c r="AA140" s="33" t="s">
        <v>3145</v>
      </c>
      <c r="AB140" s="33"/>
      <c r="AC140" s="33"/>
      <c r="AD140" s="33"/>
      <c r="AE140" s="33"/>
      <c r="AF140" s="33"/>
      <c r="AG140" s="33"/>
      <c r="AH140" s="33"/>
      <c r="AI140" s="35"/>
      <c r="AJ140" s="35"/>
      <c r="AK140" s="35"/>
      <c r="AL140" s="33"/>
      <c r="AM140" s="33"/>
      <c r="AN140" s="36"/>
      <c r="AO140" s="33"/>
      <c r="AP140" s="37"/>
      <c r="AQ140" s="37"/>
    </row>
    <row r="141" spans="1:43" ht="60">
      <c r="A141" s="18" t="s">
        <v>2167</v>
      </c>
      <c r="B141" s="45" t="s">
        <v>1317</v>
      </c>
      <c r="C141" s="38" t="s">
        <v>202</v>
      </c>
      <c r="D141" s="18" t="s">
        <v>2492</v>
      </c>
      <c r="E141" s="19" t="s">
        <v>1173</v>
      </c>
      <c r="F141" s="18" t="s">
        <v>240</v>
      </c>
      <c r="G141" s="15" t="s">
        <v>1559</v>
      </c>
      <c r="H141" s="15" t="s">
        <v>3114</v>
      </c>
      <c r="I141" s="57" t="s">
        <v>3110</v>
      </c>
      <c r="J141" s="82" t="s">
        <v>3112</v>
      </c>
      <c r="K141" s="82" t="s">
        <v>3113</v>
      </c>
      <c r="L141" s="15" t="s">
        <v>3111</v>
      </c>
      <c r="M141" s="38" t="s">
        <v>3121</v>
      </c>
      <c r="N141" s="38">
        <v>2023</v>
      </c>
      <c r="O141" s="38" t="s">
        <v>1670</v>
      </c>
      <c r="P141" s="108" t="s">
        <v>3125</v>
      </c>
      <c r="Q141" s="38"/>
      <c r="R141" s="22"/>
      <c r="S141" s="29"/>
      <c r="T141" s="38"/>
      <c r="U141" s="38"/>
      <c r="V141" s="38"/>
      <c r="W141" s="38"/>
      <c r="X141" s="38" t="s">
        <v>3124</v>
      </c>
      <c r="Y141" s="38" t="s">
        <v>3123</v>
      </c>
      <c r="Z141" s="108" t="s">
        <v>3122</v>
      </c>
      <c r="AA141" s="38" t="s">
        <v>3126</v>
      </c>
      <c r="AB141" s="38"/>
      <c r="AC141" s="38"/>
      <c r="AD141" s="38"/>
      <c r="AE141" s="38"/>
      <c r="AF141" s="38"/>
      <c r="AG141" s="38"/>
      <c r="AH141" s="38"/>
      <c r="AI141" s="39"/>
      <c r="AJ141" s="39"/>
      <c r="AK141" s="39"/>
      <c r="AL141" s="38"/>
      <c r="AM141" s="38"/>
      <c r="AN141" s="40"/>
      <c r="AO141" s="38"/>
      <c r="AP141" s="41"/>
      <c r="AQ141" s="41"/>
    </row>
    <row r="142" spans="1:43" ht="45" customHeight="1">
      <c r="A142" s="18" t="s">
        <v>2168</v>
      </c>
      <c r="B142" s="45" t="s">
        <v>1318</v>
      </c>
      <c r="C142" s="33" t="s">
        <v>55</v>
      </c>
      <c r="D142" s="18"/>
      <c r="E142" s="19" t="s">
        <v>1173</v>
      </c>
      <c r="F142" s="18" t="s">
        <v>240</v>
      </c>
      <c r="G142" s="15" t="s">
        <v>1560</v>
      </c>
      <c r="H142" s="15" t="s">
        <v>3148</v>
      </c>
      <c r="I142" s="57"/>
      <c r="J142" s="57"/>
      <c r="K142" s="57"/>
      <c r="L142" s="57"/>
      <c r="M142" s="33" t="s">
        <v>3149</v>
      </c>
      <c r="N142" s="33">
        <v>2024</v>
      </c>
      <c r="O142" s="38" t="s">
        <v>1670</v>
      </c>
      <c r="P142" s="154" t="s">
        <v>3152</v>
      </c>
      <c r="Q142" s="33"/>
      <c r="R142" s="34"/>
      <c r="S142" s="29"/>
      <c r="T142" s="33"/>
      <c r="U142" s="33"/>
      <c r="V142" s="33"/>
      <c r="W142" s="33"/>
      <c r="X142" s="33" t="s">
        <v>3150</v>
      </c>
      <c r="Y142" s="33" t="s">
        <v>3153</v>
      </c>
      <c r="Z142" s="154" t="s">
        <v>3154</v>
      </c>
      <c r="AA142" s="33" t="s">
        <v>3151</v>
      </c>
      <c r="AB142" s="33"/>
      <c r="AC142" s="33"/>
      <c r="AD142" s="33"/>
      <c r="AE142" s="33"/>
      <c r="AF142" s="33"/>
      <c r="AG142" s="33"/>
      <c r="AH142" s="33"/>
      <c r="AI142" s="35"/>
      <c r="AJ142" s="35"/>
      <c r="AK142" s="35"/>
      <c r="AL142" s="33"/>
      <c r="AM142" s="33"/>
      <c r="AN142" s="36"/>
      <c r="AO142" s="33"/>
      <c r="AP142" s="37"/>
      <c r="AQ142" s="37"/>
    </row>
    <row r="143" spans="1:43" ht="48">
      <c r="A143" s="18" t="s">
        <v>2169</v>
      </c>
      <c r="B143" s="45" t="s">
        <v>1319</v>
      </c>
      <c r="C143" s="38" t="s">
        <v>55</v>
      </c>
      <c r="D143" s="18"/>
      <c r="E143" s="19" t="s">
        <v>1173</v>
      </c>
      <c r="F143" s="18" t="s">
        <v>240</v>
      </c>
      <c r="G143" s="15" t="s">
        <v>1561</v>
      </c>
      <c r="H143" s="15" t="s">
        <v>3155</v>
      </c>
      <c r="I143" s="57"/>
      <c r="J143" s="57"/>
      <c r="K143" s="57"/>
      <c r="L143" s="57"/>
      <c r="M143" s="38" t="s">
        <v>3156</v>
      </c>
      <c r="N143" s="38">
        <v>2011</v>
      </c>
      <c r="O143" s="38" t="s">
        <v>1670</v>
      </c>
      <c r="P143" s="108" t="s">
        <v>3160</v>
      </c>
      <c r="Q143" s="38"/>
      <c r="R143" s="22"/>
      <c r="S143" s="29"/>
      <c r="T143" s="38"/>
      <c r="U143" s="38"/>
      <c r="V143" s="38"/>
      <c r="W143" s="38"/>
      <c r="X143" s="38" t="s">
        <v>3157</v>
      </c>
      <c r="Y143" s="76" t="s">
        <v>3158</v>
      </c>
      <c r="Z143" s="38" t="s">
        <v>3159</v>
      </c>
      <c r="AA143" s="38" t="s">
        <v>3161</v>
      </c>
      <c r="AB143" s="38"/>
      <c r="AC143" s="38"/>
      <c r="AD143" s="38"/>
      <c r="AE143" s="38"/>
      <c r="AF143" s="38"/>
      <c r="AG143" s="38"/>
      <c r="AH143" s="38"/>
      <c r="AI143" s="39"/>
      <c r="AJ143" s="39"/>
      <c r="AK143" s="39"/>
      <c r="AL143" s="38"/>
      <c r="AM143" s="38"/>
      <c r="AN143" s="40"/>
      <c r="AO143" s="38"/>
      <c r="AP143" s="41"/>
      <c r="AQ143" s="41"/>
    </row>
    <row r="144" spans="1:43" ht="60">
      <c r="A144" s="18" t="s">
        <v>2170</v>
      </c>
      <c r="B144" s="45" t="s">
        <v>1320</v>
      </c>
      <c r="C144" s="33" t="s">
        <v>202</v>
      </c>
      <c r="D144" s="18" t="s">
        <v>2497</v>
      </c>
      <c r="E144" s="19" t="s">
        <v>1173</v>
      </c>
      <c r="F144" s="18" t="s">
        <v>240</v>
      </c>
      <c r="G144" s="74" t="s">
        <v>1562</v>
      </c>
      <c r="H144" s="57" t="s">
        <v>2402</v>
      </c>
      <c r="I144" s="109" t="s">
        <v>2398</v>
      </c>
      <c r="J144" s="109" t="s">
        <v>2400</v>
      </c>
      <c r="K144" s="82" t="s">
        <v>2401</v>
      </c>
      <c r="L144" s="79" t="s">
        <v>2399</v>
      </c>
      <c r="M144" s="33" t="s">
        <v>2403</v>
      </c>
      <c r="N144" s="33">
        <v>2025</v>
      </c>
      <c r="O144" s="33" t="s">
        <v>1670</v>
      </c>
      <c r="P144" s="116" t="s">
        <v>2407</v>
      </c>
      <c r="Q144" s="33"/>
      <c r="R144" s="34"/>
      <c r="S144" s="29"/>
      <c r="T144" s="33"/>
      <c r="U144" s="33"/>
      <c r="V144" s="33"/>
      <c r="W144" s="33"/>
      <c r="X144" s="33" t="s">
        <v>2405</v>
      </c>
      <c r="Y144" s="33" t="s">
        <v>2404</v>
      </c>
      <c r="Z144" s="100" t="s">
        <v>2406</v>
      </c>
      <c r="AA144" s="33" t="s">
        <v>2408</v>
      </c>
      <c r="AB144" s="33"/>
      <c r="AC144" s="89" t="s">
        <v>2397</v>
      </c>
      <c r="AD144" s="18" t="s">
        <v>2340</v>
      </c>
      <c r="AE144" s="33"/>
      <c r="AF144" s="33"/>
      <c r="AG144" s="33"/>
      <c r="AH144" s="33"/>
      <c r="AI144" s="35"/>
      <c r="AJ144" s="35"/>
      <c r="AK144" s="35"/>
      <c r="AL144" s="33"/>
      <c r="AM144" s="33"/>
      <c r="AN144" s="36"/>
      <c r="AO144" s="33"/>
      <c r="AP144" s="117" t="s">
        <v>2409</v>
      </c>
      <c r="AQ144" s="37"/>
    </row>
    <row r="145" spans="1:43" ht="60">
      <c r="A145" s="18" t="s">
        <v>2171</v>
      </c>
      <c r="B145" s="45" t="s">
        <v>1321</v>
      </c>
      <c r="C145" s="38" t="s">
        <v>55</v>
      </c>
      <c r="D145" s="18"/>
      <c r="E145" s="19" t="s">
        <v>1173</v>
      </c>
      <c r="F145" s="18" t="s">
        <v>240</v>
      </c>
      <c r="G145" s="15" t="s">
        <v>1563</v>
      </c>
      <c r="H145" s="15" t="s">
        <v>3162</v>
      </c>
      <c r="I145" s="57"/>
      <c r="J145" s="57"/>
      <c r="K145" s="57"/>
      <c r="L145" s="57"/>
      <c r="M145" s="38" t="s">
        <v>3163</v>
      </c>
      <c r="N145" s="38">
        <v>2024</v>
      </c>
      <c r="O145" s="38" t="s">
        <v>1670</v>
      </c>
      <c r="P145" s="108" t="s">
        <v>3166</v>
      </c>
      <c r="Q145" s="38"/>
      <c r="R145" s="22"/>
      <c r="S145" s="29"/>
      <c r="T145" s="38"/>
      <c r="U145" s="38"/>
      <c r="V145" s="38"/>
      <c r="W145" s="38"/>
      <c r="X145" s="38" t="s">
        <v>3167</v>
      </c>
      <c r="Y145" s="167" t="s">
        <v>3164</v>
      </c>
      <c r="Z145" s="108" t="s">
        <v>3165</v>
      </c>
      <c r="AA145" s="38" t="s">
        <v>3168</v>
      </c>
      <c r="AB145" s="38"/>
      <c r="AC145" s="38"/>
      <c r="AD145" s="38"/>
      <c r="AE145" s="38"/>
      <c r="AF145" s="38"/>
      <c r="AG145" s="38"/>
      <c r="AH145" s="38"/>
      <c r="AI145" s="39"/>
      <c r="AJ145" s="39"/>
      <c r="AK145" s="39"/>
      <c r="AL145" s="38"/>
      <c r="AM145" s="38"/>
      <c r="AN145" s="40"/>
      <c r="AO145" s="38"/>
      <c r="AP145" s="41"/>
      <c r="AQ145" s="41"/>
    </row>
    <row r="146" spans="1:43" ht="72">
      <c r="A146" s="18" t="s">
        <v>2172</v>
      </c>
      <c r="B146" s="45" t="s">
        <v>1322</v>
      </c>
      <c r="C146" s="33" t="s">
        <v>55</v>
      </c>
      <c r="D146" s="18"/>
      <c r="E146" s="19" t="s">
        <v>1173</v>
      </c>
      <c r="F146" s="18" t="s">
        <v>240</v>
      </c>
      <c r="G146" s="15" t="s">
        <v>1564</v>
      </c>
      <c r="H146" s="15" t="s">
        <v>3169</v>
      </c>
      <c r="I146" s="57"/>
      <c r="J146" s="57"/>
      <c r="K146" s="57"/>
      <c r="L146" s="57"/>
      <c r="M146" s="33" t="s">
        <v>3170</v>
      </c>
      <c r="N146" s="33">
        <v>2020</v>
      </c>
      <c r="O146" s="33" t="s">
        <v>1670</v>
      </c>
      <c r="P146" s="104" t="s">
        <v>3171</v>
      </c>
      <c r="Q146" s="33"/>
      <c r="R146" s="34"/>
      <c r="S146" s="29"/>
      <c r="T146" s="33"/>
      <c r="U146" s="33"/>
      <c r="V146" s="33"/>
      <c r="W146" s="33"/>
      <c r="X146" t="s">
        <v>3172</v>
      </c>
      <c r="Y146" s="33" t="s">
        <v>3174</v>
      </c>
      <c r="Z146" s="104" t="s">
        <v>3175</v>
      </c>
      <c r="AA146" s="33" t="s">
        <v>3173</v>
      </c>
      <c r="AB146" s="33"/>
      <c r="AC146" s="33"/>
      <c r="AD146" s="33"/>
      <c r="AE146" s="33"/>
      <c r="AF146" s="33"/>
      <c r="AG146" s="33"/>
      <c r="AH146" s="33"/>
      <c r="AI146" s="35"/>
      <c r="AJ146" s="35"/>
      <c r="AK146" s="35"/>
      <c r="AL146" s="33"/>
      <c r="AM146" s="33"/>
      <c r="AN146" s="36"/>
      <c r="AO146" s="33"/>
      <c r="AP146" s="37"/>
      <c r="AQ146" s="37"/>
    </row>
    <row r="147" spans="1:43" ht="48">
      <c r="A147" s="18" t="s">
        <v>2173</v>
      </c>
      <c r="B147" s="45" t="s">
        <v>1323</v>
      </c>
      <c r="C147" s="38" t="s">
        <v>55</v>
      </c>
      <c r="D147" s="18"/>
      <c r="E147" s="19" t="s">
        <v>1173</v>
      </c>
      <c r="F147" s="18" t="s">
        <v>240</v>
      </c>
      <c r="G147" s="15" t="s">
        <v>1565</v>
      </c>
      <c r="H147" s="15" t="s">
        <v>3176</v>
      </c>
      <c r="I147" s="57"/>
      <c r="J147" s="57"/>
      <c r="K147" s="57"/>
      <c r="L147" s="57"/>
      <c r="M147" s="38" t="s">
        <v>3177</v>
      </c>
      <c r="N147" s="38">
        <v>2024</v>
      </c>
      <c r="O147" s="168" t="s">
        <v>1671</v>
      </c>
      <c r="P147" s="108" t="s">
        <v>3179</v>
      </c>
      <c r="Q147" s="38"/>
      <c r="R147" s="22"/>
      <c r="S147" s="29"/>
      <c r="T147" s="38"/>
      <c r="U147" s="38"/>
      <c r="V147" s="38"/>
      <c r="W147" s="38"/>
      <c r="X147" s="169" t="s">
        <v>3178</v>
      </c>
      <c r="Y147" s="38"/>
      <c r="Z147" s="38"/>
      <c r="AA147" s="38" t="s">
        <v>3180</v>
      </c>
      <c r="AB147" s="38"/>
      <c r="AC147" s="38"/>
      <c r="AD147" s="38"/>
      <c r="AE147" s="38"/>
      <c r="AF147" s="38"/>
      <c r="AG147" s="38"/>
      <c r="AH147" s="38"/>
      <c r="AI147" s="39"/>
      <c r="AJ147" s="39"/>
      <c r="AK147" s="39"/>
      <c r="AL147" s="38"/>
      <c r="AM147" s="38"/>
      <c r="AN147" s="40"/>
      <c r="AO147" s="38"/>
      <c r="AP147" s="41"/>
      <c r="AQ147" s="41"/>
    </row>
    <row r="148" spans="1:43" ht="36">
      <c r="A148" s="18" t="s">
        <v>2174</v>
      </c>
      <c r="B148" s="45" t="s">
        <v>1324</v>
      </c>
      <c r="C148" s="33" t="s">
        <v>202</v>
      </c>
      <c r="D148" s="18" t="s">
        <v>2500</v>
      </c>
      <c r="E148" s="19" t="s">
        <v>1173</v>
      </c>
      <c r="F148" s="18" t="s">
        <v>240</v>
      </c>
      <c r="G148" s="74" t="s">
        <v>1566</v>
      </c>
      <c r="H148" s="15" t="s">
        <v>2971</v>
      </c>
      <c r="I148" s="82" t="s">
        <v>2967</v>
      </c>
      <c r="J148" s="92" t="s">
        <v>2969</v>
      </c>
      <c r="K148" s="82" t="s">
        <v>2970</v>
      </c>
      <c r="L148" s="15" t="s">
        <v>2968</v>
      </c>
      <c r="M148" s="33" t="s">
        <v>2974</v>
      </c>
      <c r="N148" s="33">
        <v>2026</v>
      </c>
      <c r="O148" s="33" t="s">
        <v>1670</v>
      </c>
      <c r="P148" s="104" t="s">
        <v>2988</v>
      </c>
      <c r="Q148" s="33"/>
      <c r="R148" s="34"/>
      <c r="S148" s="29"/>
      <c r="T148" s="33"/>
      <c r="U148" s="33"/>
      <c r="V148" s="33"/>
      <c r="W148" s="33"/>
      <c r="X148" s="33" t="s">
        <v>2986</v>
      </c>
      <c r="Y148" s="151" t="s">
        <v>2987</v>
      </c>
      <c r="Z148" s="33" t="s">
        <v>2989</v>
      </c>
      <c r="AA148" s="33" t="s">
        <v>2985</v>
      </c>
      <c r="AB148" s="33"/>
      <c r="AC148" s="33"/>
      <c r="AD148" s="33"/>
      <c r="AE148" s="33"/>
      <c r="AF148" s="33"/>
      <c r="AG148" s="33"/>
      <c r="AH148" s="33"/>
      <c r="AI148" s="35"/>
      <c r="AJ148" s="35"/>
      <c r="AK148" s="35"/>
      <c r="AL148" s="33"/>
      <c r="AM148" s="33"/>
      <c r="AN148" s="36"/>
      <c r="AO148" s="33"/>
      <c r="AP148" s="37"/>
      <c r="AQ148" s="37"/>
    </row>
    <row r="149" spans="1:43" ht="48">
      <c r="A149" s="18" t="s">
        <v>2175</v>
      </c>
      <c r="B149" s="45" t="s">
        <v>1325</v>
      </c>
      <c r="C149" s="38"/>
      <c r="D149" s="18"/>
      <c r="E149" s="19" t="s">
        <v>1173</v>
      </c>
      <c r="F149" s="18" t="s">
        <v>240</v>
      </c>
      <c r="G149" s="74" t="s">
        <v>1567</v>
      </c>
      <c r="H149" s="15" t="s">
        <v>3181</v>
      </c>
      <c r="I149" s="57"/>
      <c r="J149" s="57"/>
      <c r="K149" s="57"/>
      <c r="L149" s="57"/>
      <c r="M149" s="38" t="s">
        <v>3182</v>
      </c>
      <c r="N149" s="38">
        <v>2019</v>
      </c>
      <c r="O149" s="38" t="s">
        <v>1670</v>
      </c>
      <c r="P149" s="108" t="s">
        <v>3183</v>
      </c>
      <c r="Q149" s="38"/>
      <c r="R149" s="22"/>
      <c r="S149" s="29"/>
      <c r="T149" s="38"/>
      <c r="U149" s="38"/>
      <c r="V149" s="38"/>
      <c r="W149" s="38"/>
      <c r="X149" s="38" t="s">
        <v>3184</v>
      </c>
      <c r="Y149" s="38"/>
      <c r="Z149" s="38"/>
      <c r="AA149" s="38" t="s">
        <v>3185</v>
      </c>
      <c r="AB149" s="38"/>
      <c r="AC149" s="38"/>
      <c r="AD149" s="38"/>
      <c r="AE149" s="38"/>
      <c r="AF149" s="38"/>
      <c r="AG149" s="38"/>
      <c r="AH149" s="38"/>
      <c r="AI149" s="39"/>
      <c r="AJ149" s="39"/>
      <c r="AK149" s="39"/>
      <c r="AL149" s="38"/>
      <c r="AM149" s="38"/>
      <c r="AN149" s="40"/>
      <c r="AO149" s="38"/>
      <c r="AP149" s="41"/>
      <c r="AQ149" s="41"/>
    </row>
    <row r="150" spans="1:43" ht="48">
      <c r="A150" s="18" t="s">
        <v>2176</v>
      </c>
      <c r="B150" s="45" t="s">
        <v>1326</v>
      </c>
      <c r="C150" s="33"/>
      <c r="D150" s="18" t="s">
        <v>2489</v>
      </c>
      <c r="E150" s="19" t="s">
        <v>1173</v>
      </c>
      <c r="F150" s="18" t="s">
        <v>240</v>
      </c>
      <c r="G150" s="74" t="s">
        <v>1568</v>
      </c>
      <c r="H150" s="15" t="s">
        <v>2745</v>
      </c>
      <c r="I150" s="98" t="s">
        <v>2746</v>
      </c>
      <c r="J150" s="82" t="s">
        <v>2749</v>
      </c>
      <c r="K150" t="s">
        <v>2748</v>
      </c>
      <c r="L150" s="57" t="s">
        <v>2747</v>
      </c>
      <c r="M150" t="s">
        <v>2758</v>
      </c>
      <c r="N150" s="33">
        <v>2026</v>
      </c>
      <c r="O150" s="33" t="s">
        <v>1670</v>
      </c>
      <c r="P150" s="104" t="s">
        <v>2794</v>
      </c>
      <c r="Q150" s="33"/>
      <c r="R150" s="34"/>
      <c r="S150" s="29"/>
      <c r="T150" s="33"/>
      <c r="U150" s="33"/>
      <c r="V150" s="33"/>
      <c r="W150" s="33"/>
      <c r="X150" s="33" t="s">
        <v>2795</v>
      </c>
      <c r="Y150" s="33" t="s">
        <v>2792</v>
      </c>
      <c r="Z150" s="104" t="s">
        <v>2793</v>
      </c>
      <c r="AA150" s="33" t="s">
        <v>2796</v>
      </c>
      <c r="AB150" s="33"/>
      <c r="AC150" s="33"/>
      <c r="AD150" s="33"/>
      <c r="AE150" s="33"/>
      <c r="AF150" s="33"/>
      <c r="AG150" s="33"/>
      <c r="AH150" s="33"/>
      <c r="AI150" s="35"/>
      <c r="AJ150" s="35"/>
      <c r="AK150" s="35"/>
      <c r="AL150" s="33"/>
      <c r="AM150" s="33"/>
      <c r="AN150" s="36"/>
      <c r="AO150" s="33"/>
      <c r="AP150" s="37"/>
      <c r="AQ150" s="37"/>
    </row>
    <row r="151" spans="1:43" ht="96">
      <c r="A151" s="18" t="s">
        <v>2177</v>
      </c>
      <c r="B151" s="45" t="s">
        <v>1327</v>
      </c>
      <c r="C151" s="38" t="s">
        <v>202</v>
      </c>
      <c r="D151" s="18" t="s">
        <v>2502</v>
      </c>
      <c r="E151" s="19" t="s">
        <v>1173</v>
      </c>
      <c r="F151" s="18" t="s">
        <v>240</v>
      </c>
      <c r="G151" s="74" t="s">
        <v>1569</v>
      </c>
      <c r="H151" s="15" t="s">
        <v>2942</v>
      </c>
      <c r="I151" s="82" t="s">
        <v>2943</v>
      </c>
      <c r="J151" s="82" t="s">
        <v>2944</v>
      </c>
      <c r="K151" s="82" t="s">
        <v>2946</v>
      </c>
      <c r="L151" s="15" t="s">
        <v>2945</v>
      </c>
      <c r="M151" s="38" t="s">
        <v>2953</v>
      </c>
      <c r="N151" s="38">
        <v>2023</v>
      </c>
      <c r="O151" s="38" t="s">
        <v>1670</v>
      </c>
      <c r="P151" s="108" t="s">
        <v>2955</v>
      </c>
      <c r="Q151" s="38"/>
      <c r="R151" s="22"/>
      <c r="S151" s="29"/>
      <c r="T151" s="38"/>
      <c r="U151" s="38"/>
      <c r="V151" s="38"/>
      <c r="W151" s="38"/>
      <c r="X151" s="38" t="s">
        <v>2956</v>
      </c>
      <c r="Y151" s="38" t="s">
        <v>2957</v>
      </c>
      <c r="Z151" s="108" t="s">
        <v>2958</v>
      </c>
      <c r="AA151" s="38" t="s">
        <v>2959</v>
      </c>
      <c r="AB151" s="38"/>
      <c r="AC151" s="38"/>
      <c r="AD151" s="38"/>
      <c r="AE151" s="38"/>
      <c r="AF151" s="38"/>
      <c r="AG151" s="38"/>
      <c r="AH151" s="38"/>
      <c r="AI151" s="39"/>
      <c r="AJ151" s="39"/>
      <c r="AK151" s="39"/>
      <c r="AL151" s="38"/>
      <c r="AM151" s="38"/>
      <c r="AN151" s="40"/>
      <c r="AO151" s="38"/>
      <c r="AP151" s="41" t="s">
        <v>2954</v>
      </c>
      <c r="AQ151" s="41"/>
    </row>
    <row r="152" spans="1:43" ht="60">
      <c r="A152" s="18" t="s">
        <v>2178</v>
      </c>
      <c r="B152" s="45" t="s">
        <v>1328</v>
      </c>
      <c r="C152" s="33" t="s">
        <v>202</v>
      </c>
      <c r="D152" s="18" t="s">
        <v>2504</v>
      </c>
      <c r="E152" s="19" t="s">
        <v>1173</v>
      </c>
      <c r="F152" s="18" t="s">
        <v>240</v>
      </c>
      <c r="G152" s="15" t="s">
        <v>1570</v>
      </c>
      <c r="H152" s="15" t="s">
        <v>3198</v>
      </c>
      <c r="I152" s="82" t="s">
        <v>3199</v>
      </c>
      <c r="J152" s="15" t="s">
        <v>3201</v>
      </c>
      <c r="K152" s="82" t="s">
        <v>3202</v>
      </c>
      <c r="L152" s="15" t="s">
        <v>3200</v>
      </c>
      <c r="M152" s="33" t="s">
        <v>3192</v>
      </c>
      <c r="N152" s="33">
        <v>2023</v>
      </c>
      <c r="O152" s="171" t="s">
        <v>1670</v>
      </c>
      <c r="P152" s="154" t="s">
        <v>3193</v>
      </c>
      <c r="Q152" s="33"/>
      <c r="R152" s="34"/>
      <c r="S152" s="29"/>
      <c r="T152" s="33"/>
      <c r="U152" s="33"/>
      <c r="V152" s="33"/>
      <c r="W152" s="33"/>
      <c r="X152" s="33" t="s">
        <v>3194</v>
      </c>
      <c r="Y152" s="33" t="s">
        <v>3196</v>
      </c>
      <c r="Z152" s="104" t="s">
        <v>3197</v>
      </c>
      <c r="AA152" s="33" t="s">
        <v>3195</v>
      </c>
      <c r="AB152" s="33"/>
      <c r="AC152" s="33"/>
      <c r="AD152" s="33"/>
      <c r="AE152" s="33"/>
      <c r="AF152" s="33"/>
      <c r="AG152" s="33"/>
      <c r="AH152" s="33"/>
      <c r="AI152" s="35"/>
      <c r="AJ152" s="35"/>
      <c r="AK152" s="35"/>
      <c r="AL152" s="33"/>
      <c r="AM152" s="33"/>
      <c r="AN152" s="36"/>
      <c r="AO152" s="33"/>
      <c r="AP152" s="37"/>
      <c r="AQ152" s="37"/>
    </row>
    <row r="153" spans="1:43" ht="48">
      <c r="A153" s="18" t="s">
        <v>2179</v>
      </c>
      <c r="B153" s="45" t="s">
        <v>1329</v>
      </c>
      <c r="C153" s="33" t="s">
        <v>202</v>
      </c>
      <c r="D153" s="18" t="s">
        <v>2504</v>
      </c>
      <c r="E153" s="19" t="s">
        <v>1173</v>
      </c>
      <c r="F153" s="18" t="s">
        <v>240</v>
      </c>
      <c r="G153" s="15" t="s">
        <v>1571</v>
      </c>
      <c r="H153" s="15" t="s">
        <v>3198</v>
      </c>
      <c r="I153" s="82" t="s">
        <v>3199</v>
      </c>
      <c r="J153" s="15" t="s">
        <v>3201</v>
      </c>
      <c r="K153" s="82" t="s">
        <v>3202</v>
      </c>
      <c r="L153" s="15" t="s">
        <v>3200</v>
      </c>
      <c r="M153" s="38" t="s">
        <v>3186</v>
      </c>
      <c r="N153" s="38" t="s">
        <v>2886</v>
      </c>
      <c r="O153" s="38" t="s">
        <v>1671</v>
      </c>
      <c r="P153" s="108" t="s">
        <v>3190</v>
      </c>
      <c r="Q153" s="38"/>
      <c r="R153" s="22"/>
      <c r="S153" s="29"/>
      <c r="T153" s="38"/>
      <c r="U153" s="38"/>
      <c r="V153" s="38"/>
      <c r="W153" s="38"/>
      <c r="X153" s="38" t="s">
        <v>3189</v>
      </c>
      <c r="Y153" s="38" t="s">
        <v>3187</v>
      </c>
      <c r="Z153" s="108" t="s">
        <v>3188</v>
      </c>
      <c r="AA153" s="38" t="s">
        <v>3191</v>
      </c>
      <c r="AB153" s="38"/>
      <c r="AC153" s="38"/>
      <c r="AD153" s="38"/>
      <c r="AE153" s="38"/>
      <c r="AF153" s="38"/>
      <c r="AG153" s="38"/>
      <c r="AH153" s="38"/>
      <c r="AI153" s="39"/>
      <c r="AJ153" s="39"/>
      <c r="AK153" s="39"/>
      <c r="AL153" s="38"/>
      <c r="AM153" s="38"/>
      <c r="AN153" s="40"/>
      <c r="AO153" s="38"/>
      <c r="AP153" s="41"/>
      <c r="AQ153" s="41"/>
    </row>
    <row r="154" spans="1:43" ht="24">
      <c r="A154" s="18" t="s">
        <v>2180</v>
      </c>
      <c r="B154" s="45" t="s">
        <v>1330</v>
      </c>
      <c r="C154" s="33"/>
      <c r="D154" s="34"/>
      <c r="E154" s="19" t="s">
        <v>1174</v>
      </c>
      <c r="F154" s="33" t="s">
        <v>203</v>
      </c>
      <c r="G154" s="74" t="s">
        <v>1572</v>
      </c>
      <c r="H154" s="57"/>
      <c r="I154" s="57"/>
      <c r="J154" s="57"/>
      <c r="K154" s="57"/>
      <c r="L154" s="57"/>
      <c r="M154" s="33"/>
      <c r="N154" s="33"/>
      <c r="O154" s="33"/>
      <c r="P154" s="33"/>
      <c r="Q154" s="33"/>
      <c r="R154" s="34"/>
      <c r="S154" s="29"/>
      <c r="T154" s="33"/>
      <c r="U154" s="33"/>
      <c r="V154" s="33"/>
      <c r="W154" s="33"/>
      <c r="X154" s="33"/>
      <c r="Y154" s="33"/>
      <c r="Z154" s="33"/>
      <c r="AA154" s="33"/>
      <c r="AB154" s="33"/>
      <c r="AC154" s="33"/>
      <c r="AD154" s="33"/>
      <c r="AE154" s="33"/>
      <c r="AF154" s="33"/>
      <c r="AG154" s="33"/>
      <c r="AH154" s="33"/>
      <c r="AI154" s="35"/>
      <c r="AJ154" s="35"/>
      <c r="AK154" s="35"/>
      <c r="AL154" s="33"/>
      <c r="AM154" s="33"/>
      <c r="AN154" s="36"/>
      <c r="AO154" s="33"/>
      <c r="AP154" s="37"/>
      <c r="AQ154" s="37"/>
    </row>
    <row r="155" spans="1:43" ht="24">
      <c r="A155" s="18" t="s">
        <v>2181</v>
      </c>
      <c r="B155" s="45" t="s">
        <v>1331</v>
      </c>
      <c r="C155" s="38"/>
      <c r="D155" s="22"/>
      <c r="E155" s="19" t="s">
        <v>1174</v>
      </c>
      <c r="F155" s="170" t="s">
        <v>203</v>
      </c>
      <c r="G155" s="74" t="s">
        <v>1573</v>
      </c>
      <c r="H155" s="57"/>
      <c r="I155" s="57"/>
      <c r="J155" s="57"/>
      <c r="K155" s="57"/>
      <c r="L155" s="57"/>
      <c r="M155" s="38"/>
      <c r="N155" s="38"/>
      <c r="O155" s="38"/>
      <c r="P155" s="38"/>
      <c r="Q155" s="38"/>
      <c r="R155" s="22"/>
      <c r="S155" s="29"/>
      <c r="T155" s="38"/>
      <c r="U155" s="38"/>
      <c r="V155" s="38"/>
      <c r="W155" s="38"/>
      <c r="X155" s="38"/>
      <c r="Y155" s="38"/>
      <c r="Z155" s="38"/>
      <c r="AA155" s="38"/>
      <c r="AB155" s="38"/>
      <c r="AC155" s="38"/>
      <c r="AD155" s="38"/>
      <c r="AE155" s="38"/>
      <c r="AF155" s="38"/>
      <c r="AG155" s="38"/>
      <c r="AH155" s="38"/>
      <c r="AI155" s="39"/>
      <c r="AJ155" s="39"/>
      <c r="AK155" s="39"/>
      <c r="AL155" s="38"/>
      <c r="AM155" s="38"/>
      <c r="AN155" s="40"/>
      <c r="AO155" s="38"/>
      <c r="AP155" s="41"/>
      <c r="AQ155" s="41"/>
    </row>
    <row r="156" spans="1:43" ht="36">
      <c r="A156" s="18" t="s">
        <v>2182</v>
      </c>
      <c r="B156" s="45" t="s">
        <v>1332</v>
      </c>
      <c r="C156" s="33"/>
      <c r="D156" s="34"/>
      <c r="E156" s="19" t="s">
        <v>1174</v>
      </c>
      <c r="F156" s="33" t="s">
        <v>203</v>
      </c>
      <c r="G156" s="74" t="s">
        <v>1574</v>
      </c>
      <c r="H156" s="57"/>
      <c r="I156" s="57"/>
      <c r="J156" s="57"/>
      <c r="K156" s="57"/>
      <c r="L156" s="57"/>
      <c r="M156" s="33"/>
      <c r="N156" s="33"/>
      <c r="O156" s="33"/>
      <c r="P156" s="33"/>
      <c r="Q156" s="33"/>
      <c r="R156" s="34"/>
      <c r="S156" s="29"/>
      <c r="T156" s="33"/>
      <c r="U156" s="33"/>
      <c r="V156" s="33"/>
      <c r="W156" s="33"/>
      <c r="X156" s="33"/>
      <c r="Y156" s="33"/>
      <c r="Z156" s="33"/>
      <c r="AA156" s="33"/>
      <c r="AB156" s="33"/>
      <c r="AC156" s="33"/>
      <c r="AD156" s="33"/>
      <c r="AE156" s="33"/>
      <c r="AF156" s="33"/>
      <c r="AG156" s="33"/>
      <c r="AH156" s="33"/>
      <c r="AI156" s="35"/>
      <c r="AJ156" s="35"/>
      <c r="AK156" s="35"/>
      <c r="AL156" s="33"/>
      <c r="AM156" s="33"/>
      <c r="AN156" s="36"/>
      <c r="AO156" s="33"/>
      <c r="AP156" s="37"/>
      <c r="AQ156" s="37"/>
    </row>
    <row r="157" spans="1:43">
      <c r="A157" s="18" t="s">
        <v>2183</v>
      </c>
      <c r="B157" s="45" t="s">
        <v>1333</v>
      </c>
      <c r="C157" s="38"/>
      <c r="D157" s="22"/>
      <c r="E157" s="19" t="s">
        <v>1174</v>
      </c>
      <c r="F157" s="170" t="s">
        <v>203</v>
      </c>
      <c r="G157" s="74" t="s">
        <v>1575</v>
      </c>
      <c r="H157" s="57"/>
      <c r="I157" s="57"/>
      <c r="J157" s="57"/>
      <c r="K157" s="57"/>
      <c r="L157" s="57"/>
      <c r="M157" s="38"/>
      <c r="N157" s="38"/>
      <c r="O157" s="38"/>
      <c r="P157" s="38"/>
      <c r="Q157" s="38"/>
      <c r="R157" s="22"/>
      <c r="S157" s="29"/>
      <c r="T157" s="38"/>
      <c r="U157" s="38"/>
      <c r="V157" s="38"/>
      <c r="W157" s="38"/>
      <c r="X157" s="38"/>
      <c r="Y157" s="38"/>
      <c r="Z157" s="38"/>
      <c r="AA157" s="38"/>
      <c r="AB157" s="38"/>
      <c r="AC157" s="38"/>
      <c r="AD157" s="38"/>
      <c r="AE157" s="38"/>
      <c r="AF157" s="38"/>
      <c r="AG157" s="38"/>
      <c r="AH157" s="38"/>
      <c r="AI157" s="39"/>
      <c r="AJ157" s="39"/>
      <c r="AK157" s="39"/>
      <c r="AL157" s="38"/>
      <c r="AM157" s="38"/>
      <c r="AN157" s="40"/>
      <c r="AO157" s="38"/>
      <c r="AP157" s="41"/>
      <c r="AQ157" s="41"/>
    </row>
    <row r="158" spans="1:43" ht="36">
      <c r="A158" s="18" t="s">
        <v>2184</v>
      </c>
      <c r="B158" s="45" t="s">
        <v>1334</v>
      </c>
      <c r="C158" s="33"/>
      <c r="D158" s="34"/>
      <c r="E158" s="19" t="s">
        <v>1174</v>
      </c>
      <c r="F158" s="33" t="s">
        <v>203</v>
      </c>
      <c r="G158" s="74" t="s">
        <v>1576</v>
      </c>
      <c r="H158" s="57"/>
      <c r="I158" s="57"/>
      <c r="J158" s="57"/>
      <c r="K158" s="57"/>
      <c r="L158" s="57"/>
      <c r="M158" s="33"/>
      <c r="N158" s="33"/>
      <c r="O158" s="33"/>
      <c r="P158" s="33"/>
      <c r="Q158" s="33"/>
      <c r="R158" s="34"/>
      <c r="S158" s="29"/>
      <c r="T158" s="33"/>
      <c r="U158" s="33"/>
      <c r="V158" s="33"/>
      <c r="W158" s="33"/>
      <c r="X158" s="33"/>
      <c r="Y158" s="33"/>
      <c r="Z158" s="33"/>
      <c r="AA158" s="33"/>
      <c r="AB158" s="33"/>
      <c r="AC158" s="33"/>
      <c r="AD158" s="33"/>
      <c r="AE158" s="33"/>
      <c r="AF158" s="33"/>
      <c r="AG158" s="33"/>
      <c r="AH158" s="33"/>
      <c r="AI158" s="35"/>
      <c r="AJ158" s="35"/>
      <c r="AK158" s="35"/>
      <c r="AL158" s="33"/>
      <c r="AM158" s="33"/>
      <c r="AN158" s="36"/>
      <c r="AO158" s="33"/>
      <c r="AP158" s="37"/>
      <c r="AQ158" s="37"/>
    </row>
    <row r="159" spans="1:43" ht="24">
      <c r="A159" s="18" t="s">
        <v>2185</v>
      </c>
      <c r="B159" s="45" t="s">
        <v>1335</v>
      </c>
      <c r="C159" s="38"/>
      <c r="D159" s="22"/>
      <c r="E159" s="19" t="s">
        <v>1174</v>
      </c>
      <c r="F159" s="170" t="s">
        <v>203</v>
      </c>
      <c r="G159" s="74" t="s">
        <v>1577</v>
      </c>
      <c r="H159" s="57"/>
      <c r="I159" s="57"/>
      <c r="J159" s="57"/>
      <c r="K159" s="57"/>
      <c r="L159" s="57"/>
      <c r="M159" s="38"/>
      <c r="N159" s="38"/>
      <c r="O159" s="38"/>
      <c r="P159" s="38"/>
      <c r="Q159" s="38"/>
      <c r="R159" s="22"/>
      <c r="S159" s="29"/>
      <c r="T159" s="38"/>
      <c r="U159" s="38"/>
      <c r="V159" s="38"/>
      <c r="W159" s="38"/>
      <c r="X159" s="38"/>
      <c r="Y159" s="38"/>
      <c r="Z159" s="38"/>
      <c r="AA159" s="38"/>
      <c r="AB159" s="38"/>
      <c r="AC159" s="38"/>
      <c r="AD159" s="38"/>
      <c r="AE159" s="38"/>
      <c r="AF159" s="38"/>
      <c r="AG159" s="38"/>
      <c r="AH159" s="38"/>
      <c r="AI159" s="39"/>
      <c r="AJ159" s="39"/>
      <c r="AK159" s="39"/>
      <c r="AL159" s="38"/>
      <c r="AM159" s="38"/>
      <c r="AN159" s="40"/>
      <c r="AO159" s="38"/>
      <c r="AP159" s="41"/>
      <c r="AQ159" s="41"/>
    </row>
    <row r="160" spans="1:43" ht="36">
      <c r="A160" s="18" t="s">
        <v>2186</v>
      </c>
      <c r="B160" s="45" t="s">
        <v>1336</v>
      </c>
      <c r="C160" s="33"/>
      <c r="D160" s="34"/>
      <c r="E160" s="19" t="s">
        <v>1174</v>
      </c>
      <c r="F160" s="33" t="s">
        <v>203</v>
      </c>
      <c r="G160" s="74" t="s">
        <v>1578</v>
      </c>
      <c r="H160" s="57"/>
      <c r="I160" s="57"/>
      <c r="J160" s="57"/>
      <c r="K160" s="57"/>
      <c r="L160" s="57"/>
      <c r="M160" s="33"/>
      <c r="N160" s="33"/>
      <c r="O160" s="33"/>
      <c r="P160" s="33"/>
      <c r="Q160" s="33"/>
      <c r="R160" s="34"/>
      <c r="S160" s="29"/>
      <c r="T160" s="33"/>
      <c r="U160" s="33"/>
      <c r="V160" s="33"/>
      <c r="W160" s="33"/>
      <c r="X160" s="33"/>
      <c r="Y160" s="33"/>
      <c r="Z160" s="33"/>
      <c r="AA160" s="33"/>
      <c r="AB160" s="33"/>
      <c r="AC160" s="33"/>
      <c r="AD160" s="33"/>
      <c r="AE160" s="33"/>
      <c r="AF160" s="33"/>
      <c r="AG160" s="33"/>
      <c r="AH160" s="33"/>
      <c r="AI160" s="35"/>
      <c r="AJ160" s="35"/>
      <c r="AK160" s="35"/>
      <c r="AL160" s="33"/>
      <c r="AM160" s="33"/>
      <c r="AN160" s="36"/>
      <c r="AO160" s="33"/>
      <c r="AP160" s="37"/>
      <c r="AQ160" s="37"/>
    </row>
    <row r="161" spans="1:43" ht="36">
      <c r="A161" s="18" t="s">
        <v>2187</v>
      </c>
      <c r="B161" s="45" t="s">
        <v>1337</v>
      </c>
      <c r="C161" s="38"/>
      <c r="D161" s="22"/>
      <c r="E161" s="19" t="s">
        <v>1174</v>
      </c>
      <c r="F161" s="170" t="s">
        <v>203</v>
      </c>
      <c r="G161" s="74" t="s">
        <v>1579</v>
      </c>
      <c r="H161" s="57"/>
      <c r="I161" s="57"/>
      <c r="J161" s="57"/>
      <c r="K161" s="57"/>
      <c r="L161" s="57"/>
      <c r="M161" s="38"/>
      <c r="N161" s="38"/>
      <c r="O161" s="38"/>
      <c r="P161" s="38"/>
      <c r="Q161" s="38"/>
      <c r="R161" s="22"/>
      <c r="S161" s="29"/>
      <c r="T161" s="38"/>
      <c r="U161" s="38"/>
      <c r="V161" s="38"/>
      <c r="W161" s="38"/>
      <c r="X161" s="38"/>
      <c r="Y161" s="38"/>
      <c r="Z161" s="38"/>
      <c r="AA161" s="38"/>
      <c r="AB161" s="38"/>
      <c r="AC161" s="38"/>
      <c r="AD161" s="38"/>
      <c r="AE161" s="38"/>
      <c r="AF161" s="38"/>
      <c r="AG161" s="38"/>
      <c r="AH161" s="38"/>
      <c r="AI161" s="39"/>
      <c r="AJ161" s="39"/>
      <c r="AK161" s="39"/>
      <c r="AL161" s="38"/>
      <c r="AM161" s="38"/>
      <c r="AN161" s="40"/>
      <c r="AO161" s="38"/>
      <c r="AP161" s="41"/>
      <c r="AQ161" s="41"/>
    </row>
    <row r="162" spans="1:43" ht="36">
      <c r="A162" s="18" t="s">
        <v>2188</v>
      </c>
      <c r="B162" s="45" t="s">
        <v>1259</v>
      </c>
      <c r="C162" s="33"/>
      <c r="D162" s="34"/>
      <c r="E162" s="19" t="s">
        <v>1174</v>
      </c>
      <c r="F162" s="33" t="s">
        <v>203</v>
      </c>
      <c r="G162" s="74" t="s">
        <v>1580</v>
      </c>
      <c r="H162" s="57"/>
      <c r="I162" s="57"/>
      <c r="J162" s="57"/>
      <c r="K162" s="57"/>
      <c r="L162" s="57"/>
      <c r="M162" s="33"/>
      <c r="N162" s="33"/>
      <c r="O162" s="33"/>
      <c r="P162" s="33"/>
      <c r="Q162" s="33"/>
      <c r="R162" s="34"/>
      <c r="S162" s="29"/>
      <c r="T162" s="33"/>
      <c r="U162" s="33"/>
      <c r="V162" s="33"/>
      <c r="W162" s="33"/>
      <c r="X162" s="33"/>
      <c r="Y162" s="33"/>
      <c r="Z162" s="33"/>
      <c r="AA162" s="33"/>
      <c r="AB162" s="33"/>
      <c r="AC162" s="33"/>
      <c r="AD162" s="33"/>
      <c r="AE162" s="33"/>
      <c r="AF162" s="33"/>
      <c r="AG162" s="33"/>
      <c r="AH162" s="33"/>
      <c r="AI162" s="35"/>
      <c r="AJ162" s="35"/>
      <c r="AK162" s="35"/>
      <c r="AL162" s="33"/>
      <c r="AM162" s="33"/>
      <c r="AN162" s="36"/>
      <c r="AO162" s="33"/>
      <c r="AP162" s="37"/>
      <c r="AQ162" s="37"/>
    </row>
    <row r="163" spans="1:43" ht="24">
      <c r="A163" s="18" t="s">
        <v>2189</v>
      </c>
      <c r="B163" s="45" t="s">
        <v>1338</v>
      </c>
      <c r="C163" s="38"/>
      <c r="D163" s="22"/>
      <c r="E163" s="19" t="s">
        <v>1174</v>
      </c>
      <c r="F163" s="170" t="s">
        <v>203</v>
      </c>
      <c r="G163" s="74" t="s">
        <v>1581</v>
      </c>
      <c r="H163" s="57"/>
      <c r="I163" s="57"/>
      <c r="J163" s="57"/>
      <c r="K163" s="57"/>
      <c r="L163" s="57"/>
      <c r="M163" s="38"/>
      <c r="N163" s="38"/>
      <c r="O163" s="38"/>
      <c r="P163" s="38"/>
      <c r="Q163" s="38"/>
      <c r="R163" s="22"/>
      <c r="S163" s="29"/>
      <c r="T163" s="38"/>
      <c r="U163" s="38"/>
      <c r="V163" s="38"/>
      <c r="W163" s="38"/>
      <c r="X163" s="38"/>
      <c r="Y163" s="38"/>
      <c r="Z163" s="38"/>
      <c r="AA163" s="38"/>
      <c r="AB163" s="38"/>
      <c r="AC163" s="38"/>
      <c r="AD163" s="38"/>
      <c r="AE163" s="38"/>
      <c r="AF163" s="38"/>
      <c r="AG163" s="38"/>
      <c r="AH163" s="38"/>
      <c r="AI163" s="39"/>
      <c r="AJ163" s="39"/>
      <c r="AK163" s="39"/>
      <c r="AL163" s="38"/>
      <c r="AM163" s="38"/>
      <c r="AN163" s="40"/>
      <c r="AO163" s="38"/>
      <c r="AP163" s="41"/>
      <c r="AQ163" s="41"/>
    </row>
    <row r="164" spans="1:43" ht="36">
      <c r="A164" s="18" t="s">
        <v>2190</v>
      </c>
      <c r="B164" s="45" t="s">
        <v>1339</v>
      </c>
      <c r="C164" s="33"/>
      <c r="D164" s="34"/>
      <c r="E164" s="19" t="s">
        <v>1174</v>
      </c>
      <c r="F164" s="33" t="s">
        <v>203</v>
      </c>
      <c r="G164" s="74" t="s">
        <v>1582</v>
      </c>
      <c r="H164" s="57"/>
      <c r="I164" s="57"/>
      <c r="J164" s="57"/>
      <c r="K164" s="57"/>
      <c r="L164" s="57"/>
      <c r="M164" s="33"/>
      <c r="N164" s="33"/>
      <c r="O164" s="33"/>
      <c r="P164" s="33"/>
      <c r="Q164" s="33"/>
      <c r="R164" s="34"/>
      <c r="S164" s="29"/>
      <c r="T164" s="33"/>
      <c r="U164" s="33"/>
      <c r="V164" s="33"/>
      <c r="W164" s="33"/>
      <c r="X164" s="33"/>
      <c r="Y164" s="33"/>
      <c r="Z164" s="33"/>
      <c r="AA164" s="33"/>
      <c r="AB164" s="33"/>
      <c r="AC164" s="33"/>
      <c r="AD164" s="33"/>
      <c r="AE164" s="33"/>
      <c r="AF164" s="33"/>
      <c r="AG164" s="33"/>
      <c r="AH164" s="33"/>
      <c r="AI164" s="35"/>
      <c r="AJ164" s="35"/>
      <c r="AK164" s="35"/>
      <c r="AL164" s="33"/>
      <c r="AM164" s="33"/>
      <c r="AN164" s="36"/>
      <c r="AO164" s="33"/>
      <c r="AP164" s="37"/>
      <c r="AQ164" s="37"/>
    </row>
    <row r="165" spans="1:43" ht="24">
      <c r="A165" s="18" t="s">
        <v>2191</v>
      </c>
      <c r="B165" s="45" t="s">
        <v>1340</v>
      </c>
      <c r="C165" s="38"/>
      <c r="D165" s="22"/>
      <c r="E165" s="19" t="s">
        <v>1174</v>
      </c>
      <c r="F165" s="170" t="s">
        <v>203</v>
      </c>
      <c r="G165" s="74" t="s">
        <v>1583</v>
      </c>
      <c r="H165" s="57"/>
      <c r="I165" s="57"/>
      <c r="J165" s="57"/>
      <c r="K165" s="57"/>
      <c r="L165" s="57"/>
      <c r="M165" s="38"/>
      <c r="N165" s="38"/>
      <c r="O165" s="38"/>
      <c r="P165" s="38"/>
      <c r="Q165" s="38"/>
      <c r="R165" s="22"/>
      <c r="S165" s="29"/>
      <c r="T165" s="38"/>
      <c r="U165" s="38"/>
      <c r="V165" s="38"/>
      <c r="W165" s="38"/>
      <c r="X165" s="38"/>
      <c r="Y165" s="38"/>
      <c r="Z165" s="38"/>
      <c r="AA165" s="38"/>
      <c r="AB165" s="38"/>
      <c r="AC165" s="38"/>
      <c r="AD165" s="38"/>
      <c r="AE165" s="38"/>
      <c r="AF165" s="38"/>
      <c r="AG165" s="38"/>
      <c r="AH165" s="38"/>
      <c r="AI165" s="39"/>
      <c r="AJ165" s="39"/>
      <c r="AK165" s="39"/>
      <c r="AL165" s="38"/>
      <c r="AM165" s="38"/>
      <c r="AN165" s="40"/>
      <c r="AO165" s="38"/>
      <c r="AP165" s="41"/>
      <c r="AQ165" s="41"/>
    </row>
    <row r="166" spans="1:43" ht="36">
      <c r="A166" s="18" t="s">
        <v>2192</v>
      </c>
      <c r="B166" s="45" t="s">
        <v>1341</v>
      </c>
      <c r="C166" s="33"/>
      <c r="D166" s="34"/>
      <c r="E166" s="19" t="s">
        <v>1174</v>
      </c>
      <c r="F166" s="33" t="s">
        <v>203</v>
      </c>
      <c r="G166" s="74" t="s">
        <v>1584</v>
      </c>
      <c r="H166" s="57"/>
      <c r="I166" s="57"/>
      <c r="J166" s="57"/>
      <c r="K166" s="57"/>
      <c r="L166" s="57"/>
      <c r="M166" s="33"/>
      <c r="N166" s="33"/>
      <c r="O166" s="33"/>
      <c r="P166" s="33"/>
      <c r="Q166" s="33"/>
      <c r="R166" s="34"/>
      <c r="S166" s="29"/>
      <c r="T166" s="33"/>
      <c r="U166" s="33"/>
      <c r="V166" s="33"/>
      <c r="W166" s="33"/>
      <c r="X166" s="33"/>
      <c r="Y166" s="33"/>
      <c r="Z166" s="33"/>
      <c r="AA166" s="33"/>
      <c r="AB166" s="33"/>
      <c r="AC166" s="33"/>
      <c r="AD166" s="33"/>
      <c r="AE166" s="33"/>
      <c r="AF166" s="33"/>
      <c r="AG166" s="33"/>
      <c r="AH166" s="33"/>
      <c r="AI166" s="35"/>
      <c r="AJ166" s="35"/>
      <c r="AK166" s="35"/>
      <c r="AL166" s="33"/>
      <c r="AM166" s="33"/>
      <c r="AN166" s="36"/>
      <c r="AO166" s="33"/>
      <c r="AP166" s="37"/>
      <c r="AQ166" s="37"/>
    </row>
    <row r="167" spans="1:43">
      <c r="A167" s="18" t="s">
        <v>2193</v>
      </c>
      <c r="B167" s="45" t="s">
        <v>1342</v>
      </c>
      <c r="C167" s="38"/>
      <c r="D167" s="22"/>
      <c r="E167" s="19" t="s">
        <v>1174</v>
      </c>
      <c r="F167" s="170" t="s">
        <v>203</v>
      </c>
      <c r="G167" s="74" t="s">
        <v>1585</v>
      </c>
      <c r="H167" s="57"/>
      <c r="I167" s="57"/>
      <c r="J167" s="57"/>
      <c r="K167" s="57"/>
      <c r="L167" s="57"/>
      <c r="M167" s="38"/>
      <c r="N167" s="38"/>
      <c r="O167" s="38"/>
      <c r="P167" s="38"/>
      <c r="Q167" s="38"/>
      <c r="R167" s="22"/>
      <c r="S167" s="29"/>
      <c r="T167" s="38"/>
      <c r="U167" s="38"/>
      <c r="V167" s="38"/>
      <c r="W167" s="38"/>
      <c r="X167" s="38"/>
      <c r="Y167" s="38"/>
      <c r="Z167" s="38"/>
      <c r="AA167" s="38"/>
      <c r="AB167" s="38"/>
      <c r="AC167" s="38"/>
      <c r="AD167" s="38"/>
      <c r="AE167" s="38"/>
      <c r="AF167" s="38"/>
      <c r="AG167" s="38"/>
      <c r="AH167" s="38"/>
      <c r="AI167" s="39"/>
      <c r="AJ167" s="39"/>
      <c r="AK167" s="39"/>
      <c r="AL167" s="38"/>
      <c r="AM167" s="38"/>
      <c r="AN167" s="40"/>
      <c r="AO167" s="38"/>
      <c r="AP167" s="41"/>
      <c r="AQ167" s="41"/>
    </row>
    <row r="168" spans="1:43" ht="24">
      <c r="A168" s="18" t="s">
        <v>2194</v>
      </c>
      <c r="B168" s="45" t="s">
        <v>1343</v>
      </c>
      <c r="C168" s="33"/>
      <c r="D168" s="34"/>
      <c r="E168" s="19" t="s">
        <v>1174</v>
      </c>
      <c r="F168" s="33" t="s">
        <v>203</v>
      </c>
      <c r="G168" s="74" t="s">
        <v>1586</v>
      </c>
      <c r="H168" s="57"/>
      <c r="I168" s="57"/>
      <c r="J168" s="57"/>
      <c r="K168" s="57"/>
      <c r="L168" s="57"/>
      <c r="M168" s="33"/>
      <c r="N168" s="33"/>
      <c r="O168" s="33"/>
      <c r="P168" s="33"/>
      <c r="Q168" s="33"/>
      <c r="R168" s="34"/>
      <c r="S168" s="29"/>
      <c r="T168" s="33"/>
      <c r="U168" s="33"/>
      <c r="V168" s="33"/>
      <c r="W168" s="33"/>
      <c r="X168" s="33"/>
      <c r="Y168" s="33"/>
      <c r="Z168" s="33"/>
      <c r="AA168" s="33"/>
      <c r="AB168" s="33"/>
      <c r="AC168" s="33"/>
      <c r="AD168" s="33"/>
      <c r="AE168" s="33"/>
      <c r="AF168" s="33"/>
      <c r="AG168" s="33"/>
      <c r="AH168" s="33"/>
      <c r="AI168" s="35"/>
      <c r="AJ168" s="35"/>
      <c r="AK168" s="35"/>
      <c r="AL168" s="33"/>
      <c r="AM168" s="33"/>
      <c r="AN168" s="36"/>
      <c r="AO168" s="33"/>
      <c r="AP168" s="37"/>
      <c r="AQ168" s="37"/>
    </row>
    <row r="169" spans="1:43" ht="24">
      <c r="A169" s="18" t="s">
        <v>2195</v>
      </c>
      <c r="B169" s="45" t="s">
        <v>1344</v>
      </c>
      <c r="C169" s="38"/>
      <c r="D169" s="22"/>
      <c r="E169" s="19" t="s">
        <v>1174</v>
      </c>
      <c r="F169" s="170" t="s">
        <v>203</v>
      </c>
      <c r="G169" s="74" t="s">
        <v>1587</v>
      </c>
      <c r="H169" s="57"/>
      <c r="I169" s="57"/>
      <c r="J169" s="57"/>
      <c r="K169" s="57"/>
      <c r="L169" s="57"/>
      <c r="M169" s="38"/>
      <c r="N169" s="38"/>
      <c r="O169" s="38"/>
      <c r="P169" s="38"/>
      <c r="Q169" s="38"/>
      <c r="R169" s="22"/>
      <c r="S169" s="29"/>
      <c r="T169" s="38"/>
      <c r="U169" s="38"/>
      <c r="V169" s="38"/>
      <c r="W169" s="38"/>
      <c r="X169" s="38"/>
      <c r="Y169" s="38"/>
      <c r="Z169" s="38"/>
      <c r="AA169" s="38"/>
      <c r="AB169" s="38"/>
      <c r="AC169" s="38"/>
      <c r="AD169" s="38"/>
      <c r="AE169" s="38"/>
      <c r="AF169" s="38"/>
      <c r="AG169" s="38"/>
      <c r="AH169" s="38"/>
      <c r="AI169" s="39"/>
      <c r="AJ169" s="39"/>
      <c r="AK169" s="39"/>
      <c r="AL169" s="38"/>
      <c r="AM169" s="38"/>
      <c r="AN169" s="40"/>
      <c r="AO169" s="38"/>
      <c r="AP169" s="41"/>
      <c r="AQ169" s="41"/>
    </row>
    <row r="170" spans="1:43" ht="36">
      <c r="A170" s="18" t="s">
        <v>2196</v>
      </c>
      <c r="B170" s="45" t="s">
        <v>1345</v>
      </c>
      <c r="C170" s="33"/>
      <c r="D170" s="34"/>
      <c r="E170" s="19" t="s">
        <v>1174</v>
      </c>
      <c r="F170" s="33" t="s">
        <v>203</v>
      </c>
      <c r="G170" s="74" t="s">
        <v>1588</v>
      </c>
      <c r="H170" s="57"/>
      <c r="I170" s="57"/>
      <c r="J170" s="57"/>
      <c r="K170" s="57"/>
      <c r="L170" s="57"/>
      <c r="M170" s="33"/>
      <c r="N170" s="33"/>
      <c r="O170" s="33"/>
      <c r="P170" s="33"/>
      <c r="Q170" s="33"/>
      <c r="R170" s="34"/>
      <c r="S170" s="29"/>
      <c r="T170" s="33"/>
      <c r="U170" s="33"/>
      <c r="V170" s="33"/>
      <c r="W170" s="33"/>
      <c r="X170" s="33"/>
      <c r="Y170" s="33"/>
      <c r="Z170" s="33"/>
      <c r="AA170" s="33"/>
      <c r="AB170" s="33"/>
      <c r="AC170" s="33"/>
      <c r="AD170" s="33"/>
      <c r="AE170" s="33"/>
      <c r="AF170" s="33"/>
      <c r="AG170" s="33"/>
      <c r="AH170" s="33"/>
      <c r="AI170" s="35"/>
      <c r="AJ170" s="35"/>
      <c r="AK170" s="35"/>
      <c r="AL170" s="33"/>
      <c r="AM170" s="33"/>
      <c r="AN170" s="36"/>
      <c r="AO170" s="33"/>
      <c r="AP170" s="37"/>
      <c r="AQ170" s="37"/>
    </row>
    <row r="171" spans="1:43" ht="36">
      <c r="A171" s="18" t="s">
        <v>2197</v>
      </c>
      <c r="B171" s="45" t="s">
        <v>1346</v>
      </c>
      <c r="C171" s="38"/>
      <c r="D171" s="22"/>
      <c r="E171" s="19" t="s">
        <v>1174</v>
      </c>
      <c r="F171" s="170" t="s">
        <v>203</v>
      </c>
      <c r="G171" s="74" t="s">
        <v>1589</v>
      </c>
      <c r="H171" s="57"/>
      <c r="I171" s="57"/>
      <c r="J171" s="57"/>
      <c r="K171" s="57"/>
      <c r="L171" s="57"/>
      <c r="M171" s="38"/>
      <c r="N171" s="38"/>
      <c r="O171" s="38"/>
      <c r="P171" s="38"/>
      <c r="Q171" s="38"/>
      <c r="R171" s="22"/>
      <c r="S171" s="29"/>
      <c r="T171" s="38"/>
      <c r="U171" s="38"/>
      <c r="V171" s="38"/>
      <c r="W171" s="38"/>
      <c r="X171" s="38"/>
      <c r="Y171" s="38"/>
      <c r="Z171" s="38"/>
      <c r="AA171" s="38"/>
      <c r="AB171" s="38"/>
      <c r="AC171" s="38"/>
      <c r="AD171" s="38"/>
      <c r="AE171" s="38"/>
      <c r="AF171" s="38"/>
      <c r="AG171" s="38"/>
      <c r="AH171" s="38"/>
      <c r="AI171" s="39"/>
      <c r="AJ171" s="39"/>
      <c r="AK171" s="39"/>
      <c r="AL171" s="38"/>
      <c r="AM171" s="38"/>
      <c r="AN171" s="40"/>
      <c r="AO171" s="38"/>
      <c r="AP171" s="41"/>
      <c r="AQ171" s="41"/>
    </row>
    <row r="172" spans="1:43">
      <c r="A172" s="18" t="s">
        <v>2198</v>
      </c>
      <c r="B172" s="45" t="s">
        <v>1347</v>
      </c>
      <c r="C172" s="33"/>
      <c r="D172" s="34"/>
      <c r="E172" s="19" t="s">
        <v>1174</v>
      </c>
      <c r="F172" s="33" t="s">
        <v>203</v>
      </c>
      <c r="G172" s="74" t="s">
        <v>1590</v>
      </c>
      <c r="H172" s="57"/>
      <c r="I172" s="57"/>
      <c r="J172" s="57"/>
      <c r="K172" s="57"/>
      <c r="L172" s="57"/>
      <c r="M172" s="33"/>
      <c r="N172" s="33"/>
      <c r="O172" s="33"/>
      <c r="P172" s="33"/>
      <c r="Q172" s="33"/>
      <c r="R172" s="34"/>
      <c r="S172" s="29"/>
      <c r="T172" s="33"/>
      <c r="U172" s="33"/>
      <c r="V172" s="33"/>
      <c r="W172" s="33"/>
      <c r="X172" s="33"/>
      <c r="Y172" s="33"/>
      <c r="Z172" s="33"/>
      <c r="AA172" s="33"/>
      <c r="AB172" s="33"/>
      <c r="AC172" s="33"/>
      <c r="AD172" s="33"/>
      <c r="AE172" s="33"/>
      <c r="AF172" s="33"/>
      <c r="AG172" s="33"/>
      <c r="AH172" s="33"/>
      <c r="AI172" s="35"/>
      <c r="AJ172" s="35"/>
      <c r="AK172" s="35"/>
      <c r="AL172" s="33"/>
      <c r="AM172" s="33"/>
      <c r="AN172" s="36"/>
      <c r="AO172" s="33"/>
      <c r="AP172" s="37"/>
      <c r="AQ172" s="37"/>
    </row>
    <row r="173" spans="1:43" ht="24">
      <c r="A173" s="18" t="s">
        <v>2199</v>
      </c>
      <c r="B173" s="45" t="s">
        <v>1348</v>
      </c>
      <c r="C173" s="38"/>
      <c r="D173" s="22"/>
      <c r="E173" s="19" t="s">
        <v>1175</v>
      </c>
      <c r="F173" s="38" t="s">
        <v>56</v>
      </c>
      <c r="G173" s="74" t="s">
        <v>1591</v>
      </c>
      <c r="H173" s="57"/>
      <c r="I173" s="57"/>
      <c r="J173" s="57"/>
      <c r="K173" s="57"/>
      <c r="L173" s="57"/>
      <c r="M173" s="38"/>
      <c r="N173" s="38"/>
      <c r="O173" s="38"/>
      <c r="P173" s="38"/>
      <c r="Q173" s="38"/>
      <c r="R173" s="22"/>
      <c r="S173" s="29"/>
      <c r="T173" s="38"/>
      <c r="U173" s="38"/>
      <c r="V173" s="38"/>
      <c r="W173" s="38"/>
      <c r="X173" s="38"/>
      <c r="Y173" s="38"/>
      <c r="Z173" s="38"/>
      <c r="AA173" s="38"/>
      <c r="AB173" s="38"/>
      <c r="AC173" s="38"/>
      <c r="AD173" s="38"/>
      <c r="AE173" s="38"/>
      <c r="AF173" s="38"/>
      <c r="AG173" s="38"/>
      <c r="AH173" s="38"/>
      <c r="AI173" s="39"/>
      <c r="AJ173" s="39"/>
      <c r="AK173" s="39"/>
      <c r="AL173" s="38"/>
      <c r="AM173" s="38"/>
      <c r="AN173" s="40"/>
      <c r="AO173" s="38"/>
      <c r="AP173" s="41"/>
      <c r="AQ173" s="41"/>
    </row>
    <row r="174" spans="1:43" ht="36">
      <c r="A174" s="18" t="s">
        <v>2200</v>
      </c>
      <c r="B174" s="45" t="s">
        <v>1349</v>
      </c>
      <c r="C174" s="33"/>
      <c r="D174" s="34"/>
      <c r="E174" s="19" t="s">
        <v>1175</v>
      </c>
      <c r="F174" s="38" t="s">
        <v>56</v>
      </c>
      <c r="G174" s="74" t="s">
        <v>1592</v>
      </c>
      <c r="H174" s="57"/>
      <c r="I174" s="57"/>
      <c r="J174" s="57"/>
      <c r="K174" s="57"/>
      <c r="L174" s="57"/>
      <c r="M174" s="33"/>
      <c r="N174" s="33"/>
      <c r="O174" s="33"/>
      <c r="P174" s="33"/>
      <c r="Q174" s="33"/>
      <c r="R174" s="34"/>
      <c r="S174" s="29"/>
      <c r="T174" s="33"/>
      <c r="U174" s="33"/>
      <c r="V174" s="33"/>
      <c r="W174" s="33"/>
      <c r="X174" s="33"/>
      <c r="Y174" s="33"/>
      <c r="Z174" s="33"/>
      <c r="AA174" s="33"/>
      <c r="AB174" s="33"/>
      <c r="AC174" s="33"/>
      <c r="AD174" s="33"/>
      <c r="AE174" s="33"/>
      <c r="AF174" s="33"/>
      <c r="AG174" s="33"/>
      <c r="AH174" s="33"/>
      <c r="AI174" s="35"/>
      <c r="AJ174" s="35"/>
      <c r="AK174" s="35"/>
      <c r="AL174" s="33"/>
      <c r="AM174" s="33"/>
      <c r="AN174" s="36"/>
      <c r="AO174" s="33"/>
      <c r="AP174" s="37"/>
      <c r="AQ174" s="37"/>
    </row>
    <row r="175" spans="1:43" ht="24">
      <c r="A175" s="18" t="s">
        <v>2201</v>
      </c>
      <c r="B175" s="45" t="s">
        <v>1350</v>
      </c>
      <c r="C175" s="38"/>
      <c r="D175" s="22"/>
      <c r="E175" s="19" t="s">
        <v>1175</v>
      </c>
      <c r="F175" s="38" t="s">
        <v>56</v>
      </c>
      <c r="G175" s="74" t="s">
        <v>1593</v>
      </c>
      <c r="H175" s="57"/>
      <c r="I175" s="57"/>
      <c r="J175" s="57"/>
      <c r="K175" s="57"/>
      <c r="L175" s="57"/>
      <c r="M175" s="38"/>
      <c r="N175" s="38"/>
      <c r="O175" s="38"/>
      <c r="P175" s="38"/>
      <c r="Q175" s="38"/>
      <c r="R175" s="22"/>
      <c r="S175" s="29"/>
      <c r="T175" s="38"/>
      <c r="U175" s="38"/>
      <c r="V175" s="38"/>
      <c r="W175" s="38"/>
      <c r="X175" s="38"/>
      <c r="Y175" s="38"/>
      <c r="Z175" s="38"/>
      <c r="AA175" s="38"/>
      <c r="AB175" s="38"/>
      <c r="AC175" s="38"/>
      <c r="AD175" s="38"/>
      <c r="AE175" s="38"/>
      <c r="AF175" s="38"/>
      <c r="AG175" s="38"/>
      <c r="AH175" s="38"/>
      <c r="AI175" s="39"/>
      <c r="AJ175" s="39"/>
      <c r="AK175" s="39"/>
      <c r="AL175" s="38"/>
      <c r="AM175" s="38"/>
      <c r="AN175" s="40"/>
      <c r="AO175" s="38"/>
      <c r="AP175" s="41"/>
      <c r="AQ175" s="41"/>
    </row>
    <row r="176" spans="1:43" ht="48">
      <c r="A176" s="18" t="s">
        <v>2202</v>
      </c>
      <c r="B176" s="45" t="s">
        <v>1351</v>
      </c>
      <c r="C176" s="33"/>
      <c r="D176" s="34"/>
      <c r="E176" s="19" t="s">
        <v>1175</v>
      </c>
      <c r="F176" s="38" t="s">
        <v>56</v>
      </c>
      <c r="G176" s="74" t="s">
        <v>1594</v>
      </c>
      <c r="H176" s="57"/>
      <c r="I176" s="57"/>
      <c r="J176" s="57"/>
      <c r="K176" s="57"/>
      <c r="L176" s="57"/>
      <c r="M176" s="33"/>
      <c r="N176" s="33"/>
      <c r="O176" s="33"/>
      <c r="P176" s="33"/>
      <c r="Q176" s="33"/>
      <c r="R176" s="34"/>
      <c r="S176" s="29"/>
      <c r="T176" s="33"/>
      <c r="U176" s="33"/>
      <c r="V176" s="33"/>
      <c r="W176" s="33"/>
      <c r="X176" s="33"/>
      <c r="Y176" s="33"/>
      <c r="Z176" s="33"/>
      <c r="AA176" s="33"/>
      <c r="AB176" s="33"/>
      <c r="AC176" s="33"/>
      <c r="AD176" s="33"/>
      <c r="AE176" s="33"/>
      <c r="AF176" s="33"/>
      <c r="AG176" s="33"/>
      <c r="AH176" s="33"/>
      <c r="AI176" s="35"/>
      <c r="AJ176" s="35"/>
      <c r="AK176" s="35"/>
      <c r="AL176" s="33"/>
      <c r="AM176" s="33"/>
      <c r="AN176" s="36"/>
      <c r="AO176" s="33"/>
      <c r="AP176" s="37"/>
      <c r="AQ176" s="37"/>
    </row>
    <row r="177" spans="1:56" ht="24">
      <c r="A177" s="18" t="s">
        <v>2203</v>
      </c>
      <c r="B177" s="45" t="s">
        <v>1352</v>
      </c>
      <c r="C177" s="31"/>
      <c r="D177" s="22"/>
      <c r="E177" s="19" t="s">
        <v>1175</v>
      </c>
      <c r="F177" s="38" t="s">
        <v>56</v>
      </c>
      <c r="G177" s="74" t="s">
        <v>1595</v>
      </c>
      <c r="H177" s="57"/>
      <c r="I177" s="57"/>
      <c r="J177" s="57"/>
      <c r="K177" s="57"/>
      <c r="L177" s="57"/>
      <c r="M177" s="31"/>
      <c r="N177" s="31"/>
      <c r="O177" s="31"/>
      <c r="P177" s="31"/>
      <c r="Q177" s="31"/>
      <c r="R177" s="22"/>
      <c r="S177" s="29"/>
      <c r="T177" s="31"/>
      <c r="U177" s="31"/>
      <c r="V177" s="31"/>
      <c r="W177" s="31"/>
      <c r="X177" s="31"/>
      <c r="Y177" s="31"/>
      <c r="Z177" s="31"/>
      <c r="AA177" s="31"/>
      <c r="AB177" s="31"/>
      <c r="AC177" s="31"/>
      <c r="AD177" s="31"/>
      <c r="AE177" s="31"/>
      <c r="AF177" s="31"/>
      <c r="AG177" s="31"/>
      <c r="AH177" s="31"/>
      <c r="AI177" s="42"/>
      <c r="AJ177" s="42"/>
      <c r="AK177" s="42"/>
      <c r="AL177" s="31"/>
      <c r="AM177" s="31"/>
      <c r="AN177" s="43"/>
      <c r="AO177" s="31"/>
      <c r="AP177" s="44"/>
      <c r="AQ177" s="44"/>
    </row>
    <row r="178" spans="1:56" ht="24">
      <c r="A178" s="18" t="s">
        <v>2204</v>
      </c>
      <c r="B178" s="45" t="s">
        <v>1353</v>
      </c>
      <c r="C178" s="31"/>
      <c r="D178" s="22"/>
      <c r="E178" s="19" t="s">
        <v>1175</v>
      </c>
      <c r="F178" s="38" t="s">
        <v>56</v>
      </c>
      <c r="G178" s="74" t="s">
        <v>1596</v>
      </c>
      <c r="H178" s="57"/>
      <c r="I178" s="57"/>
      <c r="J178" s="57"/>
      <c r="K178" s="57"/>
      <c r="L178" s="57"/>
      <c r="M178" s="31"/>
      <c r="N178" s="31"/>
      <c r="O178" s="31"/>
      <c r="P178" s="31"/>
      <c r="Q178" s="31"/>
      <c r="R178" s="22"/>
      <c r="S178" s="29"/>
      <c r="T178" s="31"/>
      <c r="U178" s="31"/>
      <c r="V178" s="31"/>
      <c r="W178" s="31"/>
      <c r="X178" s="31"/>
      <c r="Y178" s="31"/>
      <c r="Z178" s="31"/>
      <c r="AA178" s="31"/>
      <c r="AB178" s="31"/>
      <c r="AC178" s="31"/>
      <c r="AD178" s="31"/>
      <c r="AE178" s="31"/>
      <c r="AF178" s="31"/>
      <c r="AG178" s="31"/>
      <c r="AH178" s="31"/>
      <c r="AI178" s="42"/>
      <c r="AJ178" s="42"/>
      <c r="AK178" s="42"/>
      <c r="AL178" s="31"/>
      <c r="AM178" s="31"/>
      <c r="AN178" s="43"/>
      <c r="AO178" s="31"/>
      <c r="AP178" s="44"/>
      <c r="AQ178" s="44"/>
      <c r="AR178" s="33"/>
      <c r="AS178" s="33"/>
      <c r="AT178" s="33"/>
      <c r="AU178" s="33"/>
      <c r="AV178" s="33"/>
      <c r="AW178" s="35"/>
      <c r="AX178" s="35"/>
      <c r="AY178" s="35"/>
      <c r="AZ178" s="33"/>
      <c r="BA178" s="33"/>
      <c r="BB178" s="36"/>
      <c r="BC178" s="33"/>
      <c r="BD178" s="37"/>
    </row>
    <row r="179" spans="1:56" ht="36">
      <c r="A179" s="18" t="s">
        <v>2205</v>
      </c>
      <c r="B179" s="45" t="s">
        <v>1354</v>
      </c>
      <c r="C179" s="31"/>
      <c r="D179" s="22"/>
      <c r="E179" s="19" t="s">
        <v>1175</v>
      </c>
      <c r="F179" s="38" t="s">
        <v>56</v>
      </c>
      <c r="G179" s="74" t="s">
        <v>1597</v>
      </c>
      <c r="H179" s="57"/>
      <c r="I179" s="57"/>
      <c r="J179" s="57"/>
      <c r="K179" s="57"/>
      <c r="L179" s="57"/>
      <c r="M179" s="31"/>
      <c r="N179" s="31"/>
      <c r="O179" s="31"/>
      <c r="P179" s="31"/>
      <c r="Q179" s="31"/>
      <c r="R179" s="22"/>
      <c r="S179" s="29"/>
      <c r="T179" s="31"/>
      <c r="U179" s="31"/>
      <c r="V179" s="31"/>
      <c r="W179" s="31"/>
      <c r="X179" s="31"/>
      <c r="Y179" s="31"/>
      <c r="Z179" s="31"/>
      <c r="AA179" s="31"/>
      <c r="AB179" s="31"/>
      <c r="AC179" s="31"/>
      <c r="AD179" s="31"/>
      <c r="AE179" s="31"/>
      <c r="AF179" s="31"/>
      <c r="AG179" s="31"/>
      <c r="AH179" s="31"/>
      <c r="AI179" s="42"/>
      <c r="AJ179" s="42"/>
      <c r="AK179" s="42"/>
      <c r="AL179" s="31"/>
      <c r="AM179" s="31"/>
      <c r="AN179" s="43"/>
      <c r="AO179" s="31"/>
      <c r="AP179" s="44"/>
      <c r="AQ179" s="44"/>
      <c r="AR179" s="38"/>
      <c r="AS179" s="38"/>
      <c r="AT179" s="38"/>
      <c r="AU179" s="38"/>
      <c r="AV179" s="38"/>
      <c r="AW179" s="39"/>
      <c r="AX179" s="39"/>
      <c r="AY179" s="39"/>
      <c r="AZ179" s="38"/>
      <c r="BA179" s="38"/>
      <c r="BB179" s="40"/>
      <c r="BC179" s="38"/>
      <c r="BD179" s="41"/>
    </row>
    <row r="180" spans="1:56" ht="24">
      <c r="A180" s="18" t="s">
        <v>2206</v>
      </c>
      <c r="B180" s="45" t="s">
        <v>1355</v>
      </c>
      <c r="C180" s="31"/>
      <c r="D180" s="22"/>
      <c r="E180" s="19" t="s">
        <v>1175</v>
      </c>
      <c r="F180" s="38" t="s">
        <v>56</v>
      </c>
      <c r="G180" s="74" t="s">
        <v>1598</v>
      </c>
      <c r="H180" s="57"/>
      <c r="I180" s="57"/>
      <c r="J180" s="57"/>
      <c r="K180" s="57"/>
      <c r="L180" s="57"/>
      <c r="M180" s="31"/>
      <c r="N180" s="31"/>
      <c r="O180" s="31"/>
      <c r="P180" s="31"/>
      <c r="Q180" s="31"/>
      <c r="R180" s="22"/>
      <c r="S180" s="29"/>
      <c r="T180" s="31"/>
      <c r="U180" s="31"/>
      <c r="V180" s="31"/>
      <c r="W180" s="31"/>
      <c r="X180" s="31"/>
      <c r="Y180" s="31"/>
      <c r="Z180" s="31"/>
      <c r="AA180" s="31"/>
      <c r="AB180" s="31"/>
      <c r="AC180" s="31"/>
      <c r="AD180" s="31"/>
      <c r="AE180" s="31"/>
      <c r="AF180" s="31"/>
      <c r="AG180" s="31"/>
      <c r="AH180" s="31"/>
      <c r="AI180" s="42"/>
      <c r="AJ180" s="42"/>
      <c r="AK180" s="42"/>
      <c r="AL180" s="31"/>
      <c r="AM180" s="31"/>
      <c r="AN180" s="43"/>
      <c r="AO180" s="31"/>
      <c r="AP180" s="44"/>
      <c r="AQ180" s="44"/>
      <c r="AR180" s="33"/>
      <c r="AS180" s="33"/>
      <c r="AT180" s="33"/>
      <c r="AU180" s="33"/>
      <c r="AV180" s="33"/>
      <c r="AW180" s="35"/>
      <c r="AX180" s="35"/>
      <c r="AY180" s="35"/>
      <c r="AZ180" s="33"/>
      <c r="BA180" s="33"/>
      <c r="BB180" s="36"/>
      <c r="BC180" s="33"/>
      <c r="BD180" s="37"/>
    </row>
    <row r="181" spans="1:56" ht="36">
      <c r="A181" s="18" t="s">
        <v>2207</v>
      </c>
      <c r="B181" s="45" t="s">
        <v>1356</v>
      </c>
      <c r="C181" s="31"/>
      <c r="D181" s="22"/>
      <c r="E181" s="19" t="s">
        <v>1175</v>
      </c>
      <c r="F181" s="38" t="s">
        <v>56</v>
      </c>
      <c r="G181" s="74" t="s">
        <v>1599</v>
      </c>
      <c r="H181" s="57"/>
      <c r="I181" s="57"/>
      <c r="J181" s="57"/>
      <c r="K181" s="57"/>
      <c r="L181" s="57"/>
      <c r="M181" s="31"/>
      <c r="N181" s="31"/>
      <c r="O181" s="31"/>
      <c r="P181" s="31"/>
      <c r="Q181" s="31"/>
      <c r="R181" s="22"/>
      <c r="S181" s="29"/>
      <c r="T181" s="31"/>
      <c r="U181" s="31"/>
      <c r="V181" s="31"/>
      <c r="W181" s="31"/>
      <c r="X181" s="31"/>
      <c r="Y181" s="31"/>
      <c r="Z181" s="31"/>
      <c r="AA181" s="31"/>
      <c r="AB181" s="31"/>
      <c r="AC181" s="31"/>
      <c r="AD181" s="31"/>
      <c r="AE181" s="31"/>
      <c r="AF181" s="31"/>
      <c r="AG181" s="31"/>
      <c r="AH181" s="31"/>
      <c r="AI181" s="42"/>
      <c r="AJ181" s="42"/>
      <c r="AK181" s="42"/>
      <c r="AL181" s="31"/>
      <c r="AM181" s="31"/>
      <c r="AN181" s="43"/>
      <c r="AO181" s="31"/>
      <c r="AP181" s="44"/>
      <c r="AQ181" s="44"/>
      <c r="AR181" s="38"/>
      <c r="AS181" s="38"/>
      <c r="AT181" s="38"/>
      <c r="AU181" s="38"/>
      <c r="AV181" s="38"/>
      <c r="AW181" s="39"/>
      <c r="AX181" s="39"/>
      <c r="AY181" s="39"/>
      <c r="AZ181" s="38"/>
      <c r="BA181" s="38"/>
      <c r="BB181" s="40"/>
      <c r="BC181" s="38"/>
      <c r="BD181" s="41"/>
    </row>
    <row r="182" spans="1:56" ht="24">
      <c r="A182" s="18" t="s">
        <v>2208</v>
      </c>
      <c r="B182" s="45" t="s">
        <v>1357</v>
      </c>
      <c r="C182" s="31"/>
      <c r="D182" s="22"/>
      <c r="E182" s="19" t="s">
        <v>1175</v>
      </c>
      <c r="F182" s="38" t="s">
        <v>56</v>
      </c>
      <c r="G182" s="74" t="s">
        <v>1600</v>
      </c>
      <c r="H182" s="57"/>
      <c r="I182" s="57"/>
      <c r="J182" s="57"/>
      <c r="K182" s="57"/>
      <c r="L182" s="57"/>
      <c r="M182" s="31"/>
      <c r="N182" s="31"/>
      <c r="O182" s="31"/>
      <c r="P182" s="31"/>
      <c r="Q182" s="31"/>
      <c r="R182" s="22"/>
      <c r="S182" s="29"/>
      <c r="T182" s="31"/>
      <c r="U182" s="31"/>
      <c r="V182" s="31"/>
      <c r="W182" s="31"/>
      <c r="X182" s="31"/>
      <c r="Y182" s="31"/>
      <c r="Z182" s="31"/>
      <c r="AA182" s="31"/>
      <c r="AB182" s="31"/>
      <c r="AC182" s="31"/>
      <c r="AD182" s="31"/>
      <c r="AE182" s="31"/>
      <c r="AF182" s="31"/>
      <c r="AG182" s="31"/>
      <c r="AH182" s="31"/>
      <c r="AI182" s="42"/>
      <c r="AJ182" s="42"/>
      <c r="AK182" s="42"/>
      <c r="AL182" s="31"/>
      <c r="AM182" s="31"/>
      <c r="AN182" s="43"/>
      <c r="AO182" s="31"/>
      <c r="AP182" s="44"/>
      <c r="AQ182" s="44"/>
      <c r="AR182" s="33"/>
      <c r="AS182" s="33"/>
      <c r="AT182" s="33"/>
      <c r="AU182" s="33"/>
      <c r="AV182" s="33"/>
      <c r="AW182" s="35"/>
      <c r="AX182" s="35"/>
      <c r="AY182" s="35"/>
      <c r="AZ182" s="33"/>
      <c r="BA182" s="33"/>
      <c r="BB182" s="36"/>
      <c r="BC182" s="33"/>
      <c r="BD182" s="37"/>
    </row>
    <row r="183" spans="1:56">
      <c r="A183" s="18" t="s">
        <v>2209</v>
      </c>
      <c r="B183" s="45" t="s">
        <v>1358</v>
      </c>
      <c r="C183" s="31"/>
      <c r="D183" s="22"/>
      <c r="E183" s="19" t="s">
        <v>1175</v>
      </c>
      <c r="F183" s="38" t="s">
        <v>56</v>
      </c>
      <c r="G183" s="74" t="s">
        <v>1601</v>
      </c>
      <c r="H183" s="57"/>
      <c r="I183" s="57"/>
      <c r="J183" s="57"/>
      <c r="K183" s="57"/>
      <c r="L183" s="57"/>
      <c r="M183" s="31"/>
      <c r="N183" s="31"/>
      <c r="O183" s="31"/>
      <c r="P183" s="31"/>
      <c r="Q183" s="31"/>
      <c r="R183" s="22"/>
      <c r="S183" s="29"/>
      <c r="T183" s="31"/>
      <c r="U183" s="31"/>
      <c r="V183" s="31"/>
      <c r="W183" s="31"/>
      <c r="X183" s="31"/>
      <c r="Y183" s="31"/>
      <c r="Z183" s="31"/>
      <c r="AA183" s="31"/>
      <c r="AB183" s="31"/>
      <c r="AC183" s="31"/>
      <c r="AD183" s="31"/>
      <c r="AE183" s="31"/>
      <c r="AF183" s="31"/>
      <c r="AG183" s="31"/>
      <c r="AH183" s="31"/>
      <c r="AI183" s="42"/>
      <c r="AJ183" s="42"/>
      <c r="AK183" s="42"/>
      <c r="AL183" s="31"/>
      <c r="AM183" s="31"/>
      <c r="AN183" s="43"/>
      <c r="AO183" s="31"/>
      <c r="AP183" s="44"/>
      <c r="AQ183" s="44"/>
      <c r="AR183" s="38"/>
      <c r="AS183" s="38"/>
      <c r="AT183" s="38"/>
      <c r="AU183" s="38"/>
      <c r="AV183" s="38"/>
      <c r="AW183" s="39"/>
      <c r="AX183" s="39"/>
      <c r="AY183" s="39"/>
      <c r="AZ183" s="38"/>
      <c r="BA183" s="38"/>
      <c r="BB183" s="40"/>
      <c r="BC183" s="38"/>
      <c r="BD183" s="41"/>
    </row>
    <row r="184" spans="1:56" ht="24">
      <c r="A184" s="18" t="s">
        <v>2210</v>
      </c>
      <c r="B184" s="45" t="s">
        <v>1359</v>
      </c>
      <c r="C184" s="31"/>
      <c r="D184" s="22"/>
      <c r="E184" s="19" t="s">
        <v>1175</v>
      </c>
      <c r="F184" s="38" t="s">
        <v>56</v>
      </c>
      <c r="G184" s="74" t="s">
        <v>1602</v>
      </c>
      <c r="H184" s="57"/>
      <c r="I184" s="57"/>
      <c r="J184" s="57"/>
      <c r="K184" s="57"/>
      <c r="L184" s="57"/>
      <c r="M184" s="31"/>
      <c r="N184" s="31"/>
      <c r="O184" s="31"/>
      <c r="P184" s="31"/>
      <c r="Q184" s="31"/>
      <c r="R184" s="22"/>
      <c r="S184" s="29"/>
      <c r="T184" s="31"/>
      <c r="U184" s="31"/>
      <c r="V184" s="31"/>
      <c r="W184" s="31"/>
      <c r="X184" s="31"/>
      <c r="Y184" s="31"/>
      <c r="Z184" s="31"/>
      <c r="AA184" s="31"/>
      <c r="AB184" s="31"/>
      <c r="AC184" s="31"/>
      <c r="AD184" s="31"/>
      <c r="AE184" s="31"/>
      <c r="AF184" s="31"/>
      <c r="AG184" s="31"/>
      <c r="AH184" s="31"/>
      <c r="AI184" s="42"/>
      <c r="AJ184" s="42"/>
      <c r="AK184" s="42"/>
      <c r="AL184" s="31"/>
      <c r="AM184" s="31"/>
      <c r="AN184" s="43"/>
      <c r="AO184" s="31"/>
      <c r="AP184" s="44"/>
      <c r="AQ184" s="44"/>
      <c r="AR184" s="33"/>
      <c r="AS184" s="33"/>
      <c r="AT184" s="33"/>
      <c r="AU184" s="33"/>
      <c r="AV184" s="33"/>
      <c r="AW184" s="35"/>
      <c r="AX184" s="35"/>
      <c r="AY184" s="35"/>
      <c r="AZ184" s="33"/>
      <c r="BA184" s="33"/>
      <c r="BB184" s="36"/>
      <c r="BC184" s="33"/>
      <c r="BD184" s="37"/>
    </row>
    <row r="185" spans="1:56" ht="36">
      <c r="A185" s="18" t="s">
        <v>2211</v>
      </c>
      <c r="B185" s="45" t="s">
        <v>1360</v>
      </c>
      <c r="C185" s="31"/>
      <c r="D185" s="22"/>
      <c r="E185" s="19" t="s">
        <v>1175</v>
      </c>
      <c r="F185" s="38" t="s">
        <v>56</v>
      </c>
      <c r="G185" s="74" t="s">
        <v>1603</v>
      </c>
      <c r="H185" s="57"/>
      <c r="I185" s="57"/>
      <c r="J185" s="57"/>
      <c r="K185" s="57"/>
      <c r="L185" s="57"/>
      <c r="M185" s="31"/>
      <c r="N185" s="31"/>
      <c r="O185" s="31"/>
      <c r="P185" s="31"/>
      <c r="Q185" s="31"/>
      <c r="R185" s="22"/>
      <c r="S185" s="29"/>
      <c r="T185" s="31"/>
      <c r="U185" s="31"/>
      <c r="V185" s="31"/>
      <c r="W185" s="31"/>
      <c r="X185" s="31"/>
      <c r="Y185" s="31"/>
      <c r="Z185" s="31"/>
      <c r="AA185" s="31"/>
      <c r="AB185" s="31"/>
      <c r="AC185" s="31"/>
      <c r="AD185" s="31"/>
      <c r="AE185" s="31"/>
      <c r="AF185" s="31"/>
      <c r="AG185" s="31"/>
      <c r="AH185" s="31"/>
      <c r="AI185" s="42"/>
      <c r="AJ185" s="42"/>
      <c r="AK185" s="42"/>
      <c r="AL185" s="31"/>
      <c r="AM185" s="31"/>
      <c r="AN185" s="43"/>
      <c r="AO185" s="31"/>
      <c r="AP185" s="44"/>
      <c r="AQ185" s="44"/>
      <c r="AR185" s="38"/>
      <c r="AS185" s="38"/>
      <c r="AT185" s="38"/>
      <c r="AU185" s="38"/>
      <c r="AV185" s="38"/>
      <c r="AW185" s="39"/>
      <c r="AX185" s="39"/>
      <c r="AY185" s="39"/>
      <c r="AZ185" s="38"/>
      <c r="BA185" s="38"/>
      <c r="BB185" s="40"/>
      <c r="BC185" s="38"/>
      <c r="BD185" s="41"/>
    </row>
    <row r="186" spans="1:56" ht="36">
      <c r="A186" s="18" t="s">
        <v>2212</v>
      </c>
      <c r="B186" s="45" t="s">
        <v>1361</v>
      </c>
      <c r="C186" s="31"/>
      <c r="D186" s="22"/>
      <c r="E186" s="19" t="s">
        <v>1175</v>
      </c>
      <c r="F186" s="38" t="s">
        <v>56</v>
      </c>
      <c r="G186" s="74" t="s">
        <v>1604</v>
      </c>
      <c r="H186" s="57"/>
      <c r="I186" s="57"/>
      <c r="J186" s="57"/>
      <c r="K186" s="57"/>
      <c r="L186" s="57"/>
      <c r="M186" s="31"/>
      <c r="N186" s="31"/>
      <c r="O186" s="31"/>
      <c r="P186" s="31"/>
      <c r="Q186" s="31"/>
      <c r="R186" s="22"/>
      <c r="S186" s="29"/>
      <c r="T186" s="31"/>
      <c r="U186" s="31"/>
      <c r="V186" s="31"/>
      <c r="W186" s="31"/>
      <c r="X186" s="31"/>
      <c r="Y186" s="31"/>
      <c r="Z186" s="31"/>
      <c r="AA186" s="31"/>
      <c r="AB186" s="31"/>
      <c r="AC186" s="31"/>
      <c r="AD186" s="31"/>
      <c r="AE186" s="31"/>
      <c r="AF186" s="31"/>
      <c r="AG186" s="31"/>
      <c r="AH186" s="31"/>
      <c r="AI186" s="42"/>
      <c r="AJ186" s="42"/>
      <c r="AK186" s="42"/>
      <c r="AL186" s="31"/>
      <c r="AM186" s="31"/>
      <c r="AN186" s="43"/>
      <c r="AO186" s="31"/>
      <c r="AP186" s="44"/>
      <c r="AQ186" s="44"/>
      <c r="AR186" s="33"/>
      <c r="AS186" s="33"/>
      <c r="AT186" s="33"/>
      <c r="AU186" s="33"/>
      <c r="AV186" s="33"/>
      <c r="AW186" s="35"/>
      <c r="AX186" s="35"/>
      <c r="AY186" s="35"/>
      <c r="AZ186" s="33"/>
      <c r="BA186" s="33"/>
      <c r="BB186" s="36"/>
      <c r="BC186" s="33"/>
      <c r="BD186" s="37"/>
    </row>
    <row r="187" spans="1:56" ht="24">
      <c r="A187" s="18" t="s">
        <v>2213</v>
      </c>
      <c r="B187" s="45" t="s">
        <v>1362</v>
      </c>
      <c r="C187" s="31"/>
      <c r="D187" s="22"/>
      <c r="E187" s="19" t="s">
        <v>1175</v>
      </c>
      <c r="F187" s="38" t="s">
        <v>56</v>
      </c>
      <c r="G187" s="74" t="s">
        <v>1605</v>
      </c>
      <c r="H187" s="57"/>
      <c r="I187" s="57"/>
      <c r="J187" s="57"/>
      <c r="K187" s="57"/>
      <c r="L187" s="57"/>
      <c r="M187" s="31"/>
      <c r="N187" s="31"/>
      <c r="O187" s="31"/>
      <c r="P187" s="31"/>
      <c r="Q187" s="31"/>
      <c r="R187" s="22"/>
      <c r="S187" s="29"/>
      <c r="T187" s="31"/>
      <c r="U187" s="31"/>
      <c r="V187" s="31"/>
      <c r="W187" s="31"/>
      <c r="X187" s="31"/>
      <c r="Y187" s="31"/>
      <c r="Z187" s="31"/>
      <c r="AA187" s="31"/>
      <c r="AB187" s="31"/>
      <c r="AC187" s="31"/>
      <c r="AD187" s="31"/>
      <c r="AE187" s="31"/>
      <c r="AF187" s="31"/>
      <c r="AG187" s="31"/>
      <c r="AH187" s="31"/>
      <c r="AI187" s="42"/>
      <c r="AJ187" s="42"/>
      <c r="AK187" s="42"/>
      <c r="AL187" s="31"/>
      <c r="AM187" s="31"/>
      <c r="AN187" s="43"/>
      <c r="AO187" s="31"/>
      <c r="AP187" s="44"/>
      <c r="AQ187" s="44"/>
      <c r="AR187" s="38"/>
      <c r="AS187" s="38"/>
      <c r="AT187" s="38"/>
      <c r="AU187" s="38"/>
      <c r="AV187" s="38"/>
      <c r="AW187" s="39"/>
      <c r="AX187" s="39"/>
      <c r="AY187" s="39"/>
      <c r="AZ187" s="38"/>
      <c r="BA187" s="38"/>
      <c r="BB187" s="40"/>
      <c r="BC187" s="38"/>
      <c r="BD187" s="41"/>
    </row>
    <row r="188" spans="1:56" ht="24">
      <c r="A188" s="18" t="s">
        <v>2214</v>
      </c>
      <c r="B188" s="45" t="s">
        <v>1363</v>
      </c>
      <c r="C188" s="31"/>
      <c r="D188" s="22"/>
      <c r="E188" s="19" t="s">
        <v>1176</v>
      </c>
      <c r="F188" s="31" t="s">
        <v>203</v>
      </c>
      <c r="G188" s="74" t="s">
        <v>1606</v>
      </c>
      <c r="H188" s="57"/>
      <c r="I188" s="57"/>
      <c r="J188" s="57"/>
      <c r="K188" s="57"/>
      <c r="L188" s="57"/>
      <c r="M188" s="31"/>
      <c r="N188" s="31"/>
      <c r="O188" s="31"/>
      <c r="P188" s="31"/>
      <c r="Q188" s="31"/>
      <c r="R188" s="22"/>
      <c r="S188" s="29"/>
      <c r="T188" s="31"/>
      <c r="U188" s="31"/>
      <c r="V188" s="31"/>
      <c r="W188" s="31"/>
      <c r="X188" s="31"/>
      <c r="Y188" s="31"/>
      <c r="Z188" s="31"/>
      <c r="AA188" s="31"/>
      <c r="AB188" s="31"/>
      <c r="AC188" s="31"/>
      <c r="AD188" s="31"/>
      <c r="AE188" s="31"/>
      <c r="AF188" s="31"/>
      <c r="AG188" s="31"/>
      <c r="AH188" s="31"/>
      <c r="AI188" s="42"/>
      <c r="AJ188" s="42"/>
      <c r="AK188" s="42"/>
      <c r="AL188" s="31"/>
      <c r="AM188" s="31"/>
      <c r="AN188" s="43"/>
      <c r="AO188" s="31"/>
      <c r="AP188" s="44"/>
      <c r="AQ188" s="44"/>
      <c r="AR188" s="33"/>
      <c r="AS188" s="33"/>
      <c r="AT188" s="33"/>
      <c r="AU188" s="33"/>
      <c r="AV188" s="33"/>
      <c r="AW188" s="35"/>
      <c r="AX188" s="35"/>
      <c r="AY188" s="35"/>
      <c r="AZ188" s="33"/>
      <c r="BA188" s="33"/>
      <c r="BB188" s="36"/>
      <c r="BC188" s="33"/>
      <c r="BD188" s="37"/>
    </row>
    <row r="189" spans="1:56" ht="24">
      <c r="A189" s="18" t="s">
        <v>2215</v>
      </c>
      <c r="B189" s="45" t="s">
        <v>1364</v>
      </c>
      <c r="C189" s="31"/>
      <c r="D189" s="22"/>
      <c r="E189" s="19" t="s">
        <v>1176</v>
      </c>
      <c r="F189" s="31" t="s">
        <v>203</v>
      </c>
      <c r="G189" s="74" t="s">
        <v>1607</v>
      </c>
      <c r="H189" s="57"/>
      <c r="I189" s="57"/>
      <c r="J189" s="57"/>
      <c r="K189" s="57"/>
      <c r="L189" s="57"/>
      <c r="M189" s="31"/>
      <c r="N189" s="31"/>
      <c r="O189" s="31"/>
      <c r="P189" s="31"/>
      <c r="Q189" s="31"/>
      <c r="R189" s="22"/>
      <c r="S189" s="29"/>
      <c r="T189" s="31"/>
      <c r="U189" s="31"/>
      <c r="V189" s="31"/>
      <c r="W189" s="31"/>
      <c r="X189" s="31"/>
      <c r="Y189" s="31"/>
      <c r="Z189" s="31"/>
      <c r="AA189" s="31"/>
      <c r="AB189" s="31"/>
      <c r="AC189" s="31"/>
      <c r="AD189" s="31"/>
      <c r="AE189" s="31"/>
      <c r="AF189" s="31"/>
      <c r="AG189" s="31"/>
      <c r="AH189" s="31"/>
      <c r="AI189" s="42"/>
      <c r="AJ189" s="42"/>
      <c r="AK189" s="42"/>
      <c r="AL189" s="31"/>
      <c r="AM189" s="31"/>
      <c r="AN189" s="43"/>
      <c r="AO189" s="31"/>
      <c r="AP189" s="44"/>
      <c r="AQ189" s="44"/>
      <c r="AR189" s="38"/>
      <c r="AS189" s="38"/>
      <c r="AT189" s="38"/>
      <c r="AU189" s="38"/>
      <c r="AV189" s="38"/>
      <c r="AW189" s="39"/>
      <c r="AX189" s="39"/>
      <c r="AY189" s="39"/>
      <c r="AZ189" s="38"/>
      <c r="BA189" s="38"/>
      <c r="BB189" s="40"/>
      <c r="BC189" s="38"/>
      <c r="BD189" s="41"/>
    </row>
    <row r="190" spans="1:56" ht="36">
      <c r="A190" s="18" t="s">
        <v>2216</v>
      </c>
      <c r="B190" s="45" t="s">
        <v>1365</v>
      </c>
      <c r="C190" s="31"/>
      <c r="D190" s="22"/>
      <c r="E190" s="19" t="s">
        <v>1176</v>
      </c>
      <c r="F190" s="31" t="s">
        <v>203</v>
      </c>
      <c r="G190" s="74" t="s">
        <v>1608</v>
      </c>
      <c r="H190" s="57"/>
      <c r="I190" s="57"/>
      <c r="J190" s="57"/>
      <c r="K190" s="57"/>
      <c r="L190" s="57"/>
      <c r="M190" s="31"/>
      <c r="N190" s="31"/>
      <c r="O190" s="31"/>
      <c r="P190" s="31"/>
      <c r="Q190" s="31"/>
      <c r="R190" s="22"/>
      <c r="S190" s="29"/>
      <c r="T190" s="31"/>
      <c r="U190" s="31"/>
      <c r="V190" s="31"/>
      <c r="W190" s="31"/>
      <c r="X190" s="31"/>
      <c r="Y190" s="31"/>
      <c r="Z190" s="31"/>
      <c r="AA190" s="31"/>
      <c r="AB190" s="31"/>
      <c r="AC190" s="31"/>
      <c r="AD190" s="31"/>
      <c r="AE190" s="31"/>
      <c r="AF190" s="31"/>
      <c r="AG190" s="31"/>
      <c r="AH190" s="31"/>
      <c r="AI190" s="42"/>
      <c r="AJ190" s="42"/>
      <c r="AK190" s="42"/>
      <c r="AL190" s="31"/>
      <c r="AM190" s="31"/>
      <c r="AN190" s="43"/>
      <c r="AO190" s="31"/>
      <c r="AP190" s="44"/>
      <c r="AQ190" s="44"/>
      <c r="AR190" s="33"/>
      <c r="AS190" s="33"/>
      <c r="AT190" s="33"/>
      <c r="AU190" s="33"/>
      <c r="AV190" s="33"/>
      <c r="AW190" s="35"/>
      <c r="AX190" s="35"/>
      <c r="AY190" s="35"/>
      <c r="AZ190" s="33"/>
      <c r="BA190" s="33"/>
      <c r="BB190" s="36"/>
      <c r="BC190" s="33"/>
      <c r="BD190" s="37"/>
    </row>
    <row r="191" spans="1:56" ht="24">
      <c r="A191" s="18" t="s">
        <v>2217</v>
      </c>
      <c r="B191" s="45" t="s">
        <v>1366</v>
      </c>
      <c r="C191" s="31"/>
      <c r="D191" s="22"/>
      <c r="E191" s="19" t="s">
        <v>1176</v>
      </c>
      <c r="F191" s="31" t="s">
        <v>203</v>
      </c>
      <c r="G191" s="74" t="s">
        <v>1609</v>
      </c>
      <c r="H191" s="57"/>
      <c r="I191" s="57"/>
      <c r="J191" s="57"/>
      <c r="K191" s="57"/>
      <c r="L191" s="57"/>
      <c r="M191" s="31"/>
      <c r="N191" s="31"/>
      <c r="O191" s="31"/>
      <c r="P191" s="31"/>
      <c r="Q191" s="31"/>
      <c r="R191" s="22"/>
      <c r="S191" s="29"/>
      <c r="T191" s="31"/>
      <c r="U191" s="31"/>
      <c r="V191" s="31"/>
      <c r="W191" s="31"/>
      <c r="X191" s="31"/>
      <c r="Y191" s="31"/>
      <c r="Z191" s="31"/>
      <c r="AA191" s="31"/>
      <c r="AB191" s="31"/>
      <c r="AC191" s="31"/>
      <c r="AD191" s="31"/>
      <c r="AE191" s="31"/>
      <c r="AF191" s="31"/>
      <c r="AG191" s="31"/>
      <c r="AH191" s="31"/>
      <c r="AI191" s="42"/>
      <c r="AJ191" s="42"/>
      <c r="AK191" s="42"/>
      <c r="AL191" s="31"/>
      <c r="AM191" s="31"/>
      <c r="AN191" s="43"/>
      <c r="AO191" s="31"/>
      <c r="AP191" s="44"/>
      <c r="AQ191" s="44"/>
      <c r="AR191" s="38"/>
      <c r="AS191" s="38"/>
      <c r="AT191" s="38"/>
      <c r="AU191" s="38"/>
      <c r="AV191" s="38"/>
      <c r="AW191" s="39"/>
      <c r="AX191" s="39"/>
      <c r="AY191" s="39"/>
      <c r="AZ191" s="38"/>
      <c r="BA191" s="38"/>
      <c r="BB191" s="40"/>
      <c r="BC191" s="38"/>
      <c r="BD191" s="41"/>
    </row>
    <row r="192" spans="1:56" ht="24">
      <c r="A192" s="18" t="s">
        <v>2218</v>
      </c>
      <c r="B192" s="45" t="s">
        <v>1367</v>
      </c>
      <c r="C192" s="31"/>
      <c r="D192" s="22"/>
      <c r="E192" s="19" t="s">
        <v>1177</v>
      </c>
      <c r="F192" s="31" t="s">
        <v>1669</v>
      </c>
      <c r="G192" s="74" t="s">
        <v>1610</v>
      </c>
      <c r="H192" s="57"/>
      <c r="I192" s="57"/>
      <c r="J192" s="57"/>
      <c r="K192" s="57"/>
      <c r="L192" s="57"/>
      <c r="M192" s="31"/>
      <c r="N192" s="31"/>
      <c r="O192" s="31"/>
      <c r="P192" s="31"/>
      <c r="Q192" s="31"/>
      <c r="R192" s="22"/>
      <c r="S192" s="29"/>
      <c r="T192" s="31"/>
      <c r="U192" s="31"/>
      <c r="V192" s="31"/>
      <c r="W192" s="31"/>
      <c r="X192" s="31"/>
      <c r="Y192" s="31"/>
      <c r="Z192" s="31"/>
      <c r="AA192" s="31"/>
      <c r="AB192" s="31"/>
      <c r="AC192" s="31"/>
      <c r="AD192" s="31"/>
      <c r="AE192" s="31"/>
      <c r="AF192" s="31"/>
      <c r="AG192" s="31"/>
      <c r="AH192" s="31"/>
      <c r="AI192" s="42"/>
      <c r="AJ192" s="42"/>
      <c r="AK192" s="42"/>
      <c r="AL192" s="31"/>
      <c r="AM192" s="31"/>
      <c r="AN192" s="43"/>
      <c r="AO192" s="31"/>
      <c r="AP192" s="44"/>
      <c r="AQ192" s="44"/>
      <c r="AR192" s="33"/>
      <c r="AS192" s="33"/>
      <c r="AT192" s="33"/>
      <c r="AU192" s="33"/>
      <c r="AV192" s="33"/>
      <c r="AW192" s="35"/>
      <c r="AX192" s="35"/>
      <c r="AY192" s="35"/>
      <c r="AZ192" s="33"/>
      <c r="BA192" s="33"/>
      <c r="BB192" s="36"/>
      <c r="BC192" s="33"/>
      <c r="BD192" s="37"/>
    </row>
    <row r="193" spans="1:56" ht="24">
      <c r="A193" s="18" t="s">
        <v>2219</v>
      </c>
      <c r="B193" s="45" t="s">
        <v>1368</v>
      </c>
      <c r="C193" s="31"/>
      <c r="D193" s="22"/>
      <c r="E193" s="19" t="s">
        <v>1177</v>
      </c>
      <c r="F193" s="31" t="s">
        <v>1669</v>
      </c>
      <c r="G193" s="74" t="s">
        <v>1611</v>
      </c>
      <c r="H193" s="57"/>
      <c r="I193" s="57"/>
      <c r="J193" s="57"/>
      <c r="K193" s="57"/>
      <c r="L193" s="57"/>
      <c r="M193" s="31"/>
      <c r="N193" s="31"/>
      <c r="O193" s="31"/>
      <c r="P193" s="31"/>
      <c r="Q193" s="31"/>
      <c r="R193" s="22"/>
      <c r="S193" s="29"/>
      <c r="T193" s="31"/>
      <c r="U193" s="31"/>
      <c r="V193" s="31"/>
      <c r="W193" s="31"/>
      <c r="X193" s="31"/>
      <c r="Y193" s="31"/>
      <c r="Z193" s="31"/>
      <c r="AA193" s="31"/>
      <c r="AB193" s="31"/>
      <c r="AC193" s="31"/>
      <c r="AD193" s="31"/>
      <c r="AE193" s="31"/>
      <c r="AF193" s="31"/>
      <c r="AG193" s="31"/>
      <c r="AH193" s="31"/>
      <c r="AI193" s="42"/>
      <c r="AJ193" s="42"/>
      <c r="AK193" s="42"/>
      <c r="AL193" s="31"/>
      <c r="AM193" s="31"/>
      <c r="AN193" s="43"/>
      <c r="AO193" s="31"/>
      <c r="AP193" s="44"/>
      <c r="AQ193" s="44"/>
      <c r="AR193" s="38"/>
      <c r="AS193" s="38"/>
      <c r="AT193" s="38"/>
      <c r="AU193" s="38"/>
      <c r="AV193" s="38"/>
      <c r="AW193" s="39"/>
      <c r="AX193" s="39"/>
      <c r="AY193" s="39"/>
      <c r="AZ193" s="38"/>
      <c r="BA193" s="38"/>
      <c r="BB193" s="40"/>
      <c r="BC193" s="38"/>
      <c r="BD193" s="41"/>
    </row>
    <row r="194" spans="1:56">
      <c r="A194" s="18" t="s">
        <v>2220</v>
      </c>
      <c r="B194" s="45" t="s">
        <v>1369</v>
      </c>
      <c r="C194" s="31"/>
      <c r="D194" s="22"/>
      <c r="E194" s="19" t="s">
        <v>1177</v>
      </c>
      <c r="F194" s="31" t="s">
        <v>1669</v>
      </c>
      <c r="G194" s="74" t="s">
        <v>1612</v>
      </c>
      <c r="H194" s="57"/>
      <c r="I194" s="57"/>
      <c r="J194" s="57"/>
      <c r="K194" s="57"/>
      <c r="L194" s="57"/>
      <c r="M194" s="31"/>
      <c r="N194" s="31"/>
      <c r="O194" s="31"/>
      <c r="P194" s="31"/>
      <c r="Q194" s="31"/>
      <c r="R194" s="22"/>
      <c r="S194" s="29"/>
      <c r="T194" s="31"/>
      <c r="U194" s="31"/>
      <c r="V194" s="31"/>
      <c r="W194" s="31"/>
      <c r="X194" s="31"/>
      <c r="Y194" s="31"/>
      <c r="Z194" s="31"/>
      <c r="AA194" s="31"/>
      <c r="AB194" s="31"/>
      <c r="AC194" s="31"/>
      <c r="AD194" s="31"/>
      <c r="AE194" s="31"/>
      <c r="AF194" s="31"/>
      <c r="AG194" s="31"/>
      <c r="AH194" s="31"/>
      <c r="AI194" s="42"/>
      <c r="AJ194" s="42"/>
      <c r="AK194" s="42"/>
      <c r="AL194" s="31"/>
      <c r="AM194" s="31"/>
      <c r="AN194" s="43"/>
      <c r="AO194" s="31"/>
      <c r="AP194" s="44"/>
      <c r="AQ194" s="44"/>
      <c r="AR194" s="33"/>
      <c r="AS194" s="33"/>
      <c r="AT194" s="33"/>
      <c r="AU194" s="33"/>
      <c r="AV194" s="33"/>
      <c r="AW194" s="35"/>
      <c r="AX194" s="35"/>
      <c r="AY194" s="35"/>
      <c r="AZ194" s="33"/>
      <c r="BA194" s="33"/>
      <c r="BB194" s="36"/>
      <c r="BC194" s="33"/>
      <c r="BD194" s="37"/>
    </row>
    <row r="195" spans="1:56">
      <c r="A195" s="18" t="s">
        <v>2221</v>
      </c>
      <c r="B195" s="45" t="s">
        <v>1370</v>
      </c>
      <c r="C195" s="31"/>
      <c r="D195" s="22"/>
      <c r="E195" s="19" t="s">
        <v>1177</v>
      </c>
      <c r="F195" s="31" t="s">
        <v>1669</v>
      </c>
      <c r="G195" s="74" t="s">
        <v>1613</v>
      </c>
      <c r="H195" s="57"/>
      <c r="I195" s="57"/>
      <c r="J195" s="57"/>
      <c r="K195" s="57"/>
      <c r="L195" s="57"/>
      <c r="M195" s="31"/>
      <c r="N195" s="31"/>
      <c r="O195" s="31"/>
      <c r="P195" s="31"/>
      <c r="Q195" s="31"/>
      <c r="R195" s="22"/>
      <c r="S195" s="29"/>
      <c r="T195" s="31"/>
      <c r="U195" s="31"/>
      <c r="V195" s="31"/>
      <c r="W195" s="31"/>
      <c r="X195" s="31"/>
      <c r="Y195" s="31"/>
      <c r="Z195" s="31"/>
      <c r="AA195" s="31"/>
      <c r="AB195" s="31"/>
      <c r="AC195" s="31"/>
      <c r="AD195" s="31"/>
      <c r="AE195" s="31"/>
      <c r="AF195" s="31"/>
      <c r="AG195" s="31"/>
      <c r="AH195" s="31"/>
      <c r="AI195" s="42"/>
      <c r="AJ195" s="42"/>
      <c r="AK195" s="42"/>
      <c r="AL195" s="31"/>
      <c r="AM195" s="31"/>
      <c r="AN195" s="43"/>
      <c r="AO195" s="31"/>
      <c r="AP195" s="44"/>
      <c r="AQ195" s="44"/>
      <c r="AR195" s="38"/>
      <c r="AS195" s="38"/>
      <c r="AT195" s="38"/>
      <c r="AU195" s="38"/>
      <c r="AV195" s="38"/>
      <c r="AW195" s="39"/>
      <c r="AX195" s="39"/>
      <c r="AY195" s="39"/>
      <c r="AZ195" s="38"/>
      <c r="BA195" s="38"/>
      <c r="BB195" s="40"/>
      <c r="BC195" s="38"/>
      <c r="BD195" s="41"/>
    </row>
    <row r="196" spans="1:56" ht="24">
      <c r="A196" s="18" t="s">
        <v>2222</v>
      </c>
      <c r="B196" s="45" t="s">
        <v>1371</v>
      </c>
      <c r="C196" s="31"/>
      <c r="D196" s="22"/>
      <c r="E196" s="19" t="s">
        <v>1177</v>
      </c>
      <c r="F196" s="31" t="s">
        <v>1669</v>
      </c>
      <c r="G196" s="74" t="s">
        <v>1614</v>
      </c>
      <c r="H196" s="57"/>
      <c r="I196" s="57"/>
      <c r="J196" s="57"/>
      <c r="K196" s="57"/>
      <c r="L196" s="57"/>
      <c r="M196" s="31"/>
      <c r="N196" s="31"/>
      <c r="O196" s="31"/>
      <c r="P196" s="31"/>
      <c r="Q196" s="31"/>
      <c r="R196" s="22"/>
      <c r="S196" s="29"/>
      <c r="T196" s="31"/>
      <c r="U196" s="31"/>
      <c r="V196" s="31"/>
      <c r="W196" s="31"/>
      <c r="X196" s="31"/>
      <c r="Y196" s="31"/>
      <c r="Z196" s="31"/>
      <c r="AA196" s="31"/>
      <c r="AB196" s="31"/>
      <c r="AC196" s="31"/>
      <c r="AD196" s="31"/>
      <c r="AE196" s="31"/>
      <c r="AF196" s="31"/>
      <c r="AG196" s="31"/>
      <c r="AH196" s="31"/>
      <c r="AI196" s="42"/>
      <c r="AJ196" s="42"/>
      <c r="AK196" s="42"/>
      <c r="AL196" s="31"/>
      <c r="AM196" s="31"/>
      <c r="AN196" s="43"/>
      <c r="AO196" s="31"/>
      <c r="AP196" s="44"/>
      <c r="AQ196" s="44"/>
      <c r="AR196" s="33"/>
      <c r="AS196" s="33"/>
      <c r="AT196" s="33"/>
      <c r="AU196" s="33"/>
      <c r="AV196" s="33"/>
      <c r="AW196" s="35"/>
      <c r="AX196" s="35"/>
      <c r="AY196" s="35"/>
      <c r="AZ196" s="33"/>
      <c r="BA196" s="33"/>
      <c r="BB196" s="36"/>
      <c r="BC196" s="33"/>
      <c r="BD196" s="37"/>
    </row>
    <row r="197" spans="1:56" ht="24">
      <c r="A197" s="18" t="s">
        <v>2223</v>
      </c>
      <c r="B197" s="45" t="s">
        <v>1372</v>
      </c>
      <c r="C197" s="31"/>
      <c r="D197" s="22"/>
      <c r="E197" s="19" t="s">
        <v>1177</v>
      </c>
      <c r="F197" s="31" t="s">
        <v>1669</v>
      </c>
      <c r="G197" s="74" t="s">
        <v>1615</v>
      </c>
      <c r="H197" s="57"/>
      <c r="I197" s="57"/>
      <c r="J197" s="57"/>
      <c r="K197" s="57"/>
      <c r="L197" s="57"/>
      <c r="M197" s="31"/>
      <c r="N197" s="31"/>
      <c r="O197" s="31"/>
      <c r="P197" s="31"/>
      <c r="Q197" s="31"/>
      <c r="R197" s="22"/>
      <c r="S197" s="29"/>
      <c r="T197" s="31"/>
      <c r="U197" s="31"/>
      <c r="V197" s="31"/>
      <c r="W197" s="31"/>
      <c r="X197" s="31"/>
      <c r="Y197" s="31"/>
      <c r="Z197" s="31"/>
      <c r="AA197" s="31"/>
      <c r="AB197" s="31"/>
      <c r="AC197" s="31"/>
      <c r="AD197" s="31"/>
      <c r="AE197" s="31"/>
      <c r="AF197" s="31"/>
      <c r="AG197" s="31"/>
      <c r="AH197" s="31"/>
      <c r="AI197" s="42"/>
      <c r="AJ197" s="42"/>
      <c r="AK197" s="42"/>
      <c r="AL197" s="31"/>
      <c r="AM197" s="31"/>
      <c r="AN197" s="43"/>
      <c r="AO197" s="31"/>
      <c r="AP197" s="44"/>
      <c r="AQ197" s="44"/>
      <c r="AR197" s="38"/>
      <c r="AS197" s="38"/>
      <c r="AT197" s="38"/>
      <c r="AU197" s="38"/>
      <c r="AV197" s="38"/>
      <c r="AW197" s="39"/>
      <c r="AX197" s="39"/>
      <c r="AY197" s="39"/>
      <c r="AZ197" s="38"/>
      <c r="BA197" s="38"/>
      <c r="BB197" s="40"/>
      <c r="BC197" s="38"/>
      <c r="BD197" s="41"/>
    </row>
    <row r="198" spans="1:56" ht="24">
      <c r="A198" s="18" t="s">
        <v>2224</v>
      </c>
      <c r="B198" s="45" t="s">
        <v>1373</v>
      </c>
      <c r="C198" s="31"/>
      <c r="D198" s="22"/>
      <c r="E198" s="19" t="s">
        <v>1177</v>
      </c>
      <c r="F198" s="31" t="s">
        <v>1669</v>
      </c>
      <c r="G198" s="74" t="s">
        <v>1616</v>
      </c>
      <c r="H198" s="57"/>
      <c r="I198" s="57"/>
      <c r="J198" s="57"/>
      <c r="K198" s="57"/>
      <c r="L198" s="57"/>
      <c r="M198" s="31"/>
      <c r="N198" s="31"/>
      <c r="O198" s="31"/>
      <c r="P198" s="31"/>
      <c r="Q198" s="31"/>
      <c r="R198" s="22"/>
      <c r="S198" s="29"/>
      <c r="T198" s="31"/>
      <c r="U198" s="31"/>
      <c r="V198" s="31"/>
      <c r="W198" s="31"/>
      <c r="X198" s="31"/>
      <c r="Y198" s="31"/>
      <c r="Z198" s="31"/>
      <c r="AA198" s="31"/>
      <c r="AB198" s="31"/>
      <c r="AC198" s="31"/>
      <c r="AD198" s="31"/>
      <c r="AE198" s="31"/>
      <c r="AF198" s="31"/>
      <c r="AG198" s="31"/>
      <c r="AH198" s="31"/>
      <c r="AI198" s="42"/>
      <c r="AJ198" s="42"/>
      <c r="AK198" s="42"/>
      <c r="AL198" s="31"/>
      <c r="AM198" s="31"/>
      <c r="AN198" s="43"/>
      <c r="AO198" s="31"/>
      <c r="AP198" s="44"/>
      <c r="AQ198" s="44"/>
      <c r="AR198" s="33"/>
      <c r="AS198" s="33"/>
      <c r="AT198" s="33"/>
      <c r="AU198" s="33"/>
      <c r="AV198" s="33"/>
      <c r="AW198" s="35"/>
      <c r="AX198" s="35"/>
      <c r="AY198" s="35"/>
      <c r="AZ198" s="33"/>
      <c r="BA198" s="33"/>
      <c r="BB198" s="36"/>
      <c r="BC198" s="33"/>
      <c r="BD198" s="37"/>
    </row>
    <row r="199" spans="1:56" ht="24">
      <c r="A199" s="18" t="s">
        <v>2225</v>
      </c>
      <c r="B199" s="45" t="s">
        <v>1374</v>
      </c>
      <c r="C199" s="31"/>
      <c r="D199" s="22"/>
      <c r="E199" s="19" t="s">
        <v>1177</v>
      </c>
      <c r="F199" s="31" t="s">
        <v>1669</v>
      </c>
      <c r="G199" s="74" t="s">
        <v>1617</v>
      </c>
      <c r="H199" s="57"/>
      <c r="I199" s="57"/>
      <c r="J199" s="57"/>
      <c r="K199" s="57"/>
      <c r="L199" s="57"/>
      <c r="M199" s="31"/>
      <c r="N199" s="31"/>
      <c r="O199" s="31"/>
      <c r="P199" s="31"/>
      <c r="Q199" s="31"/>
      <c r="R199" s="22"/>
      <c r="S199" s="29"/>
      <c r="T199" s="31"/>
      <c r="U199" s="31"/>
      <c r="V199" s="31"/>
      <c r="W199" s="31"/>
      <c r="X199" s="31"/>
      <c r="Y199" s="31"/>
      <c r="Z199" s="31"/>
      <c r="AA199" s="31"/>
      <c r="AB199" s="31"/>
      <c r="AC199" s="31"/>
      <c r="AD199" s="31"/>
      <c r="AE199" s="31"/>
      <c r="AF199" s="31"/>
      <c r="AG199" s="31"/>
      <c r="AH199" s="31"/>
      <c r="AI199" s="42"/>
      <c r="AJ199" s="42"/>
      <c r="AK199" s="42"/>
      <c r="AL199" s="31"/>
      <c r="AM199" s="31"/>
      <c r="AN199" s="43"/>
      <c r="AO199" s="31"/>
      <c r="AP199" s="44"/>
      <c r="AQ199" s="44"/>
      <c r="AR199" s="38"/>
      <c r="AS199" s="38"/>
      <c r="AT199" s="38"/>
      <c r="AU199" s="38"/>
      <c r="AV199" s="38"/>
      <c r="AW199" s="39"/>
      <c r="AX199" s="39"/>
      <c r="AY199" s="39"/>
      <c r="AZ199" s="38"/>
      <c r="BA199" s="38"/>
      <c r="BB199" s="40"/>
      <c r="BC199" s="38"/>
      <c r="BD199" s="41"/>
    </row>
    <row r="200" spans="1:56">
      <c r="A200" s="18" t="s">
        <v>2226</v>
      </c>
      <c r="B200" s="45" t="s">
        <v>1375</v>
      </c>
      <c r="C200" s="31"/>
      <c r="D200" s="22"/>
      <c r="E200" s="19" t="s">
        <v>1177</v>
      </c>
      <c r="F200" s="31" t="s">
        <v>1669</v>
      </c>
      <c r="G200" s="74" t="s">
        <v>1618</v>
      </c>
      <c r="H200" s="57"/>
      <c r="I200" s="57"/>
      <c r="J200" s="57"/>
      <c r="K200" s="57"/>
      <c r="L200" s="57"/>
      <c r="M200" s="31"/>
      <c r="N200" s="31"/>
      <c r="O200" s="31"/>
      <c r="P200" s="31"/>
      <c r="Q200" s="31"/>
      <c r="R200" s="22"/>
      <c r="S200" s="29"/>
      <c r="T200" s="31"/>
      <c r="U200" s="31"/>
      <c r="V200" s="31"/>
      <c r="W200" s="31"/>
      <c r="X200" s="31"/>
      <c r="Y200" s="31"/>
      <c r="Z200" s="31"/>
      <c r="AA200" s="31"/>
      <c r="AB200" s="31"/>
      <c r="AC200" s="31"/>
      <c r="AD200" s="31"/>
      <c r="AE200" s="31"/>
      <c r="AF200" s="31"/>
      <c r="AG200" s="31"/>
      <c r="AH200" s="31"/>
      <c r="AI200" s="42"/>
      <c r="AJ200" s="42"/>
      <c r="AK200" s="42"/>
      <c r="AL200" s="31"/>
      <c r="AM200" s="31"/>
      <c r="AN200" s="43"/>
      <c r="AO200" s="31"/>
      <c r="AP200" s="44"/>
      <c r="AQ200" s="44"/>
      <c r="AR200" s="33"/>
      <c r="AS200" s="33"/>
      <c r="AT200" s="33"/>
      <c r="AU200" s="33"/>
      <c r="AV200" s="33"/>
      <c r="AW200" s="35"/>
      <c r="AX200" s="35"/>
      <c r="AY200" s="35"/>
      <c r="AZ200" s="33"/>
      <c r="BA200" s="33"/>
      <c r="BB200" s="36"/>
      <c r="BC200" s="33"/>
      <c r="BD200" s="37"/>
    </row>
    <row r="201" spans="1:56">
      <c r="A201" s="18" t="s">
        <v>2227</v>
      </c>
      <c r="B201" s="45" t="s">
        <v>1376</v>
      </c>
      <c r="C201" s="31"/>
      <c r="D201" s="22"/>
      <c r="E201" s="19" t="s">
        <v>1177</v>
      </c>
      <c r="F201" s="31" t="s">
        <v>1669</v>
      </c>
      <c r="G201" s="74" t="s">
        <v>1619</v>
      </c>
      <c r="H201" s="57"/>
      <c r="I201" s="57"/>
      <c r="J201" s="57"/>
      <c r="K201" s="57"/>
      <c r="L201" s="57"/>
      <c r="M201" s="31"/>
      <c r="N201" s="31"/>
      <c r="O201" s="31"/>
      <c r="P201" s="31"/>
      <c r="Q201" s="31"/>
      <c r="R201" s="22"/>
      <c r="S201" s="29"/>
      <c r="T201" s="31"/>
      <c r="U201" s="31"/>
      <c r="V201" s="31"/>
      <c r="W201" s="31"/>
      <c r="X201" s="31"/>
      <c r="Y201" s="31"/>
      <c r="Z201" s="31"/>
      <c r="AA201" s="31"/>
      <c r="AB201" s="31"/>
      <c r="AC201" s="31"/>
      <c r="AD201" s="31"/>
      <c r="AE201" s="31"/>
      <c r="AF201" s="31"/>
      <c r="AG201" s="31"/>
      <c r="AH201" s="31"/>
      <c r="AI201" s="42"/>
      <c r="AJ201" s="42"/>
      <c r="AK201" s="42"/>
      <c r="AL201" s="31"/>
      <c r="AM201" s="31"/>
      <c r="AN201" s="43"/>
      <c r="AO201" s="31"/>
      <c r="AP201" s="44"/>
      <c r="AQ201" s="44"/>
      <c r="AR201" s="38"/>
      <c r="AS201" s="38"/>
      <c r="AT201" s="38"/>
      <c r="AU201" s="38"/>
      <c r="AV201" s="38"/>
      <c r="AW201" s="39"/>
      <c r="AX201" s="39"/>
      <c r="AY201" s="39"/>
      <c r="AZ201" s="38"/>
      <c r="BA201" s="38"/>
      <c r="BB201" s="40"/>
      <c r="BC201" s="38"/>
      <c r="BD201" s="41"/>
    </row>
    <row r="202" spans="1:56" ht="24">
      <c r="A202" s="18" t="s">
        <v>2228</v>
      </c>
      <c r="B202" s="45" t="s">
        <v>1377</v>
      </c>
      <c r="C202" s="31"/>
      <c r="D202" s="22"/>
      <c r="E202" s="19" t="s">
        <v>1177</v>
      </c>
      <c r="F202" s="31" t="s">
        <v>1669</v>
      </c>
      <c r="G202" s="74" t="s">
        <v>1620</v>
      </c>
      <c r="H202" s="57"/>
      <c r="I202" s="57"/>
      <c r="J202" s="57"/>
      <c r="K202" s="57"/>
      <c r="L202" s="57"/>
      <c r="M202" s="31"/>
      <c r="N202" s="31"/>
      <c r="O202" s="31"/>
      <c r="P202" s="31"/>
      <c r="Q202" s="31"/>
      <c r="R202" s="22"/>
      <c r="S202" s="29"/>
      <c r="T202" s="31"/>
      <c r="U202" s="31"/>
      <c r="V202" s="31"/>
      <c r="W202" s="31"/>
      <c r="X202" s="31"/>
      <c r="Y202" s="31"/>
      <c r="Z202" s="31"/>
      <c r="AA202" s="31"/>
      <c r="AB202" s="31"/>
      <c r="AC202" s="31"/>
      <c r="AD202" s="31"/>
      <c r="AE202" s="31"/>
      <c r="AF202" s="31"/>
      <c r="AG202" s="31"/>
      <c r="AH202" s="31"/>
      <c r="AI202" s="42"/>
      <c r="AJ202" s="42"/>
      <c r="AK202" s="42"/>
      <c r="AL202" s="31"/>
      <c r="AM202" s="31"/>
      <c r="AN202" s="43"/>
      <c r="AO202" s="31"/>
      <c r="AP202" s="44"/>
      <c r="AQ202" s="44"/>
    </row>
    <row r="203" spans="1:56" ht="24">
      <c r="A203" s="18" t="s">
        <v>2229</v>
      </c>
      <c r="B203" s="45" t="s">
        <v>1378</v>
      </c>
      <c r="C203" s="31"/>
      <c r="D203" s="22"/>
      <c r="E203" s="19" t="s">
        <v>1177</v>
      </c>
      <c r="F203" s="31" t="s">
        <v>1669</v>
      </c>
      <c r="G203" s="74" t="s">
        <v>1621</v>
      </c>
      <c r="H203" s="57"/>
      <c r="I203" s="57"/>
      <c r="J203" s="57"/>
      <c r="K203" s="57"/>
      <c r="L203" s="57"/>
      <c r="M203" s="31"/>
      <c r="N203" s="31"/>
      <c r="O203" s="31"/>
      <c r="P203" s="31"/>
      <c r="Q203" s="31"/>
      <c r="R203" s="22"/>
      <c r="S203" s="29"/>
      <c r="T203" s="31"/>
      <c r="U203" s="31"/>
      <c r="V203" s="31"/>
      <c r="W203" s="31"/>
      <c r="X203" s="31"/>
      <c r="Y203" s="31"/>
      <c r="Z203" s="31"/>
      <c r="AA203" s="31"/>
      <c r="AB203" s="31"/>
      <c r="AC203" s="31"/>
      <c r="AD203" s="31"/>
      <c r="AE203" s="31"/>
      <c r="AF203" s="31"/>
      <c r="AG203" s="31"/>
      <c r="AH203" s="31"/>
      <c r="AI203" s="42"/>
      <c r="AJ203" s="42"/>
      <c r="AK203" s="42"/>
      <c r="AL203" s="31"/>
      <c r="AM203" s="31"/>
      <c r="AN203" s="43"/>
      <c r="AO203" s="31"/>
      <c r="AP203" s="44"/>
      <c r="AQ203" s="44"/>
    </row>
    <row r="204" spans="1:56">
      <c r="A204" s="18" t="s">
        <v>2230</v>
      </c>
      <c r="B204" s="45" t="s">
        <v>1379</v>
      </c>
      <c r="C204" s="31"/>
      <c r="D204" s="22"/>
      <c r="E204" s="19" t="s">
        <v>1177</v>
      </c>
      <c r="F204" s="31" t="s">
        <v>1669</v>
      </c>
      <c r="G204" s="74" t="s">
        <v>1622</v>
      </c>
      <c r="H204" s="57"/>
      <c r="I204" s="57"/>
      <c r="J204" s="57"/>
      <c r="K204" s="57"/>
      <c r="L204" s="57"/>
      <c r="M204" s="31"/>
      <c r="N204" s="31"/>
      <c r="O204" s="31"/>
      <c r="P204" s="31"/>
      <c r="Q204" s="31"/>
      <c r="R204" s="22"/>
      <c r="S204" s="29"/>
      <c r="T204" s="31"/>
      <c r="U204" s="31"/>
      <c r="V204" s="31"/>
      <c r="W204" s="31"/>
      <c r="X204" s="31"/>
      <c r="Y204" s="31"/>
      <c r="Z204" s="31"/>
      <c r="AA204" s="31"/>
      <c r="AB204" s="31"/>
      <c r="AC204" s="31"/>
      <c r="AD204" s="31"/>
      <c r="AE204" s="31"/>
      <c r="AF204" s="31"/>
      <c r="AG204" s="31"/>
      <c r="AH204" s="31"/>
      <c r="AI204" s="42"/>
      <c r="AJ204" s="42"/>
      <c r="AK204" s="42"/>
      <c r="AL204" s="31"/>
      <c r="AM204" s="31"/>
      <c r="AN204" s="43"/>
      <c r="AO204" s="31"/>
      <c r="AP204" s="44"/>
      <c r="AQ204" s="44"/>
    </row>
    <row r="205" spans="1:56">
      <c r="A205" s="18" t="s">
        <v>2231</v>
      </c>
      <c r="B205" s="45" t="s">
        <v>1380</v>
      </c>
      <c r="C205" s="31"/>
      <c r="D205" s="22"/>
      <c r="E205" s="19" t="s">
        <v>1177</v>
      </c>
      <c r="F205" s="31" t="s">
        <v>1669</v>
      </c>
      <c r="G205" s="74" t="s">
        <v>1623</v>
      </c>
      <c r="H205" s="57"/>
      <c r="I205" s="57"/>
      <c r="J205" s="57"/>
      <c r="K205" s="57"/>
      <c r="L205" s="57"/>
      <c r="M205" s="31"/>
      <c r="N205" s="31"/>
      <c r="O205" s="31"/>
      <c r="P205" s="31"/>
      <c r="Q205" s="31"/>
      <c r="R205" s="22"/>
      <c r="S205" s="29"/>
      <c r="T205" s="31"/>
      <c r="U205" s="31"/>
      <c r="V205" s="31"/>
      <c r="W205" s="31"/>
      <c r="X205" s="31"/>
      <c r="Y205" s="31"/>
      <c r="Z205" s="31"/>
      <c r="AA205" s="31"/>
      <c r="AB205" s="31"/>
      <c r="AC205" s="31"/>
      <c r="AD205" s="31"/>
      <c r="AE205" s="31"/>
      <c r="AF205" s="31"/>
      <c r="AG205" s="31"/>
      <c r="AH205" s="31"/>
      <c r="AI205" s="42"/>
      <c r="AJ205" s="42"/>
      <c r="AK205" s="42"/>
      <c r="AL205" s="31"/>
      <c r="AM205" s="31"/>
      <c r="AN205" s="43"/>
      <c r="AO205" s="31"/>
      <c r="AP205" s="44"/>
      <c r="AQ205" s="44"/>
    </row>
    <row r="206" spans="1:56">
      <c r="A206" s="18" t="s">
        <v>2232</v>
      </c>
      <c r="B206" s="45" t="s">
        <v>1381</v>
      </c>
      <c r="C206" s="31"/>
      <c r="D206" s="22"/>
      <c r="E206" s="19" t="s">
        <v>1177</v>
      </c>
      <c r="F206" s="31" t="s">
        <v>1669</v>
      </c>
      <c r="G206" s="74" t="s">
        <v>1624</v>
      </c>
      <c r="H206" s="57"/>
      <c r="I206" s="57"/>
      <c r="J206" s="57"/>
      <c r="K206" s="57"/>
      <c r="L206" s="57"/>
      <c r="M206" s="31"/>
      <c r="N206" s="31"/>
      <c r="O206" s="31"/>
      <c r="P206" s="31"/>
      <c r="Q206" s="31"/>
      <c r="R206" s="22"/>
      <c r="S206" s="29"/>
      <c r="T206" s="31"/>
      <c r="U206" s="31"/>
      <c r="V206" s="31"/>
      <c r="W206" s="31"/>
      <c r="X206" s="31"/>
      <c r="Y206" s="31"/>
      <c r="Z206" s="31"/>
      <c r="AA206" s="31"/>
      <c r="AB206" s="31"/>
      <c r="AC206" s="31"/>
      <c r="AD206" s="31"/>
      <c r="AE206" s="31"/>
      <c r="AF206" s="31"/>
      <c r="AG206" s="31"/>
      <c r="AH206" s="31"/>
      <c r="AI206" s="42"/>
      <c r="AJ206" s="42"/>
      <c r="AK206" s="42"/>
      <c r="AL206" s="31"/>
      <c r="AM206" s="31"/>
      <c r="AN206" s="43"/>
      <c r="AO206" s="31"/>
      <c r="AP206" s="44"/>
      <c r="AQ206" s="44"/>
    </row>
    <row r="207" spans="1:56" ht="36">
      <c r="A207" s="18" t="s">
        <v>2233</v>
      </c>
      <c r="B207" s="45" t="s">
        <v>1382</v>
      </c>
      <c r="C207" s="31"/>
      <c r="D207" s="22"/>
      <c r="E207" s="19" t="s">
        <v>1177</v>
      </c>
      <c r="F207" s="31" t="s">
        <v>1669</v>
      </c>
      <c r="G207" s="74" t="s">
        <v>1625</v>
      </c>
      <c r="H207" s="57"/>
      <c r="I207" s="57"/>
      <c r="J207" s="57"/>
      <c r="K207" s="57"/>
      <c r="L207" s="57"/>
      <c r="M207" s="31"/>
      <c r="N207" s="31"/>
      <c r="O207" s="31"/>
      <c r="P207" s="31"/>
      <c r="Q207" s="31"/>
      <c r="R207" s="22"/>
      <c r="S207" s="29"/>
      <c r="T207" s="31"/>
      <c r="U207" s="31"/>
      <c r="V207" s="31"/>
      <c r="W207" s="31"/>
      <c r="X207" s="31"/>
      <c r="Y207" s="31"/>
      <c r="Z207" s="31"/>
      <c r="AA207" s="31"/>
      <c r="AB207" s="31"/>
      <c r="AC207" s="31"/>
      <c r="AD207" s="31"/>
      <c r="AE207" s="31"/>
      <c r="AF207" s="31"/>
      <c r="AG207" s="31"/>
      <c r="AH207" s="31"/>
      <c r="AI207" s="42"/>
      <c r="AJ207" s="42"/>
      <c r="AK207" s="42"/>
      <c r="AL207" s="31"/>
      <c r="AM207" s="31"/>
      <c r="AN207" s="43"/>
      <c r="AO207" s="31"/>
      <c r="AP207" s="44"/>
      <c r="AQ207" s="44"/>
    </row>
    <row r="208" spans="1:56" ht="24">
      <c r="A208" s="18" t="s">
        <v>2234</v>
      </c>
      <c r="B208" s="45" t="s">
        <v>1383</v>
      </c>
      <c r="C208" s="31"/>
      <c r="D208" s="22"/>
      <c r="E208" s="19" t="s">
        <v>1177</v>
      </c>
      <c r="F208" s="31" t="s">
        <v>1669</v>
      </c>
      <c r="G208" s="74" t="s">
        <v>1626</v>
      </c>
      <c r="H208" s="57"/>
      <c r="I208" s="57"/>
      <c r="J208" s="57"/>
      <c r="K208" s="57"/>
      <c r="L208" s="57"/>
      <c r="M208" s="31"/>
      <c r="N208" s="31"/>
      <c r="O208" s="31"/>
      <c r="P208" s="31"/>
      <c r="Q208" s="31"/>
      <c r="R208" s="22"/>
      <c r="S208" s="29"/>
      <c r="T208" s="31"/>
      <c r="U208" s="31"/>
      <c r="V208" s="31"/>
      <c r="W208" s="31"/>
      <c r="X208" s="31"/>
      <c r="Y208" s="31"/>
      <c r="Z208" s="31"/>
      <c r="AA208" s="31"/>
      <c r="AB208" s="31"/>
      <c r="AC208" s="31"/>
      <c r="AD208" s="31"/>
      <c r="AE208" s="31"/>
      <c r="AF208" s="31"/>
      <c r="AG208" s="31"/>
      <c r="AH208" s="31"/>
      <c r="AI208" s="42"/>
      <c r="AJ208" s="42"/>
      <c r="AK208" s="42"/>
      <c r="AL208" s="31"/>
      <c r="AM208" s="31"/>
      <c r="AN208" s="43"/>
      <c r="AO208" s="31"/>
      <c r="AP208" s="44"/>
      <c r="AQ208" s="44"/>
    </row>
    <row r="209" spans="1:43">
      <c r="A209" s="18" t="s">
        <v>2235</v>
      </c>
      <c r="B209" s="45" t="s">
        <v>1384</v>
      </c>
      <c r="C209" s="31"/>
      <c r="D209" s="22"/>
      <c r="E209" s="19" t="s">
        <v>1177</v>
      </c>
      <c r="F209" s="31" t="s">
        <v>1669</v>
      </c>
      <c r="G209" s="74" t="s">
        <v>1627</v>
      </c>
      <c r="H209" s="57"/>
      <c r="I209" s="57"/>
      <c r="J209" s="57"/>
      <c r="K209" s="57"/>
      <c r="L209" s="57"/>
      <c r="M209" s="31"/>
      <c r="N209" s="31"/>
      <c r="O209" s="31"/>
      <c r="P209" s="31"/>
      <c r="Q209" s="31"/>
      <c r="R209" s="22"/>
      <c r="S209" s="29"/>
      <c r="T209" s="31"/>
      <c r="U209" s="31"/>
      <c r="V209" s="31"/>
      <c r="W209" s="31"/>
      <c r="X209" s="31"/>
      <c r="Y209" s="31"/>
      <c r="Z209" s="31"/>
      <c r="AA209" s="31"/>
      <c r="AB209" s="31"/>
      <c r="AC209" s="31"/>
      <c r="AD209" s="31"/>
      <c r="AE209" s="31"/>
      <c r="AF209" s="31"/>
      <c r="AG209" s="31"/>
      <c r="AH209" s="31"/>
      <c r="AI209" s="42"/>
      <c r="AJ209" s="42"/>
      <c r="AK209" s="42"/>
      <c r="AL209" s="31"/>
      <c r="AM209" s="31"/>
      <c r="AN209" s="43"/>
      <c r="AO209" s="31"/>
      <c r="AP209" s="44"/>
      <c r="AQ209" s="44"/>
    </row>
    <row r="210" spans="1:43">
      <c r="A210" s="18" t="s">
        <v>2236</v>
      </c>
      <c r="B210" s="45" t="s">
        <v>1385</v>
      </c>
      <c r="C210" s="31"/>
      <c r="D210" s="22"/>
      <c r="E210" s="19" t="s">
        <v>1177</v>
      </c>
      <c r="F210" s="31" t="s">
        <v>1669</v>
      </c>
      <c r="G210" s="74" t="s">
        <v>1628</v>
      </c>
      <c r="H210" s="57"/>
      <c r="I210" s="57"/>
      <c r="J210" s="57"/>
      <c r="K210" s="57"/>
      <c r="L210" s="57"/>
      <c r="M210" s="31"/>
      <c r="N210" s="31"/>
      <c r="O210" s="31"/>
      <c r="P210" s="31"/>
      <c r="Q210" s="31"/>
      <c r="R210" s="22"/>
      <c r="S210" s="29"/>
      <c r="T210" s="31"/>
      <c r="U210" s="31"/>
      <c r="V210" s="31"/>
      <c r="W210" s="31"/>
      <c r="X210" s="31"/>
      <c r="Y210" s="31"/>
      <c r="Z210" s="31"/>
      <c r="AA210" s="31"/>
      <c r="AB210" s="31"/>
      <c r="AC210" s="31"/>
      <c r="AD210" s="31"/>
      <c r="AE210" s="31"/>
      <c r="AF210" s="31"/>
      <c r="AG210" s="31"/>
      <c r="AH210" s="31"/>
      <c r="AI210" s="42"/>
      <c r="AJ210" s="42"/>
      <c r="AK210" s="42"/>
      <c r="AL210" s="31"/>
      <c r="AM210" s="31"/>
      <c r="AN210" s="43"/>
      <c r="AO210" s="31"/>
      <c r="AP210" s="44"/>
      <c r="AQ210" s="44"/>
    </row>
    <row r="211" spans="1:43">
      <c r="A211" s="18" t="s">
        <v>2237</v>
      </c>
      <c r="B211" s="45" t="s">
        <v>1386</v>
      </c>
      <c r="C211" s="31"/>
      <c r="D211" s="22"/>
      <c r="E211" s="19" t="s">
        <v>1177</v>
      </c>
      <c r="F211" s="31" t="s">
        <v>1669</v>
      </c>
      <c r="G211" s="74" t="s">
        <v>1629</v>
      </c>
      <c r="H211" s="57"/>
      <c r="I211" s="57"/>
      <c r="J211" s="57"/>
      <c r="K211" s="57"/>
      <c r="L211" s="57"/>
      <c r="M211" s="31"/>
      <c r="N211" s="31"/>
      <c r="O211" s="31"/>
      <c r="P211" s="31"/>
      <c r="Q211" s="31"/>
      <c r="R211" s="22"/>
      <c r="S211" s="29"/>
      <c r="T211" s="31"/>
      <c r="U211" s="31"/>
      <c r="V211" s="31"/>
      <c r="W211" s="31"/>
      <c r="X211" s="31"/>
      <c r="Y211" s="31"/>
      <c r="Z211" s="31"/>
      <c r="AA211" s="31"/>
      <c r="AB211" s="31"/>
      <c r="AC211" s="31"/>
      <c r="AD211" s="31"/>
      <c r="AE211" s="31"/>
      <c r="AF211" s="31"/>
      <c r="AG211" s="31"/>
      <c r="AH211" s="31"/>
      <c r="AI211" s="42"/>
      <c r="AJ211" s="42"/>
      <c r="AK211" s="42"/>
      <c r="AL211" s="31"/>
      <c r="AM211" s="31"/>
      <c r="AN211" s="43"/>
      <c r="AO211" s="31"/>
      <c r="AP211" s="44"/>
      <c r="AQ211" s="44"/>
    </row>
    <row r="212" spans="1:43" ht="36">
      <c r="A212" s="18" t="s">
        <v>2238</v>
      </c>
      <c r="B212" s="45" t="s">
        <v>1387</v>
      </c>
      <c r="C212" s="31"/>
      <c r="D212" s="22"/>
      <c r="E212" s="19" t="s">
        <v>1177</v>
      </c>
      <c r="F212" s="31" t="s">
        <v>1669</v>
      </c>
      <c r="G212" s="74" t="s">
        <v>1630</v>
      </c>
      <c r="H212" s="57"/>
      <c r="I212" s="57"/>
      <c r="J212" s="57"/>
      <c r="K212" s="57"/>
      <c r="L212" s="57"/>
      <c r="M212" s="31"/>
      <c r="N212" s="31"/>
      <c r="O212" s="31"/>
      <c r="P212" s="31"/>
      <c r="Q212" s="31"/>
      <c r="R212" s="22"/>
      <c r="S212" s="29"/>
      <c r="T212" s="31"/>
      <c r="U212" s="31"/>
      <c r="V212" s="31"/>
      <c r="W212" s="31"/>
      <c r="X212" s="31"/>
      <c r="Y212" s="31"/>
      <c r="Z212" s="31"/>
      <c r="AA212" s="31"/>
      <c r="AB212" s="31"/>
      <c r="AC212" s="31"/>
      <c r="AD212" s="31"/>
      <c r="AE212" s="31"/>
      <c r="AF212" s="31"/>
      <c r="AG212" s="31"/>
      <c r="AH212" s="31"/>
      <c r="AI212" s="42"/>
      <c r="AJ212" s="42"/>
      <c r="AK212" s="42"/>
      <c r="AL212" s="31"/>
      <c r="AM212" s="31"/>
      <c r="AN212" s="43"/>
      <c r="AO212" s="31"/>
      <c r="AP212" s="44"/>
      <c r="AQ212" s="44"/>
    </row>
    <row r="213" spans="1:43">
      <c r="A213" s="18" t="s">
        <v>2239</v>
      </c>
      <c r="B213" s="45" t="s">
        <v>1388</v>
      </c>
      <c r="C213" s="31"/>
      <c r="D213" s="22"/>
      <c r="E213" s="19" t="s">
        <v>1177</v>
      </c>
      <c r="F213" s="31" t="s">
        <v>1669</v>
      </c>
      <c r="G213" s="74" t="s">
        <v>1631</v>
      </c>
      <c r="H213" s="57"/>
      <c r="I213" s="57"/>
      <c r="J213" s="57"/>
      <c r="K213" s="57"/>
      <c r="L213" s="57"/>
      <c r="M213" s="31"/>
      <c r="N213" s="31"/>
      <c r="O213" s="31"/>
      <c r="P213" s="31"/>
      <c r="Q213" s="31"/>
      <c r="R213" s="22"/>
      <c r="S213" s="29"/>
      <c r="T213" s="31"/>
      <c r="U213" s="31"/>
      <c r="V213" s="31"/>
      <c r="W213" s="31"/>
      <c r="X213" s="31"/>
      <c r="Y213" s="31"/>
      <c r="Z213" s="31"/>
      <c r="AA213" s="31"/>
      <c r="AB213" s="31"/>
      <c r="AC213" s="31"/>
      <c r="AD213" s="31"/>
      <c r="AE213" s="31"/>
      <c r="AF213" s="31"/>
      <c r="AG213" s="31"/>
      <c r="AH213" s="31"/>
      <c r="AI213" s="42"/>
      <c r="AJ213" s="42"/>
      <c r="AK213" s="42"/>
      <c r="AL213" s="31"/>
      <c r="AM213" s="31"/>
      <c r="AN213" s="43"/>
      <c r="AO213" s="31"/>
      <c r="AP213" s="44"/>
      <c r="AQ213" s="44"/>
    </row>
    <row r="214" spans="1:43">
      <c r="A214" s="18" t="s">
        <v>2240</v>
      </c>
      <c r="B214" s="45" t="s">
        <v>1389</v>
      </c>
      <c r="C214" s="31"/>
      <c r="D214" s="22"/>
      <c r="E214" s="19" t="s">
        <v>1177</v>
      </c>
      <c r="F214" s="31" t="s">
        <v>1669</v>
      </c>
      <c r="G214" s="74" t="s">
        <v>1632</v>
      </c>
      <c r="H214" s="57"/>
      <c r="I214" s="57"/>
      <c r="J214" s="57"/>
      <c r="K214" s="57"/>
      <c r="L214" s="57"/>
      <c r="M214" s="31"/>
      <c r="N214" s="31"/>
      <c r="O214" s="31"/>
      <c r="P214" s="31"/>
      <c r="Q214" s="31"/>
      <c r="R214" s="22"/>
      <c r="S214" s="29"/>
      <c r="T214" s="31"/>
      <c r="U214" s="31"/>
      <c r="V214" s="31"/>
      <c r="W214" s="31"/>
      <c r="X214" s="31"/>
      <c r="Y214" s="31"/>
      <c r="Z214" s="31"/>
      <c r="AA214" s="31"/>
      <c r="AB214" s="31"/>
      <c r="AC214" s="31"/>
      <c r="AD214" s="31"/>
      <c r="AE214" s="31"/>
      <c r="AF214" s="31"/>
      <c r="AG214" s="31"/>
      <c r="AH214" s="31"/>
      <c r="AI214" s="42"/>
      <c r="AJ214" s="42"/>
      <c r="AK214" s="42"/>
      <c r="AL214" s="31"/>
      <c r="AM214" s="31"/>
      <c r="AN214" s="43"/>
      <c r="AO214" s="31"/>
      <c r="AP214" s="44"/>
      <c r="AQ214" s="44"/>
    </row>
    <row r="215" spans="1:43" ht="24">
      <c r="A215" s="18" t="s">
        <v>2241</v>
      </c>
      <c r="B215" s="45" t="s">
        <v>1390</v>
      </c>
      <c r="C215" s="31"/>
      <c r="D215" s="22"/>
      <c r="E215" s="19" t="s">
        <v>1177</v>
      </c>
      <c r="F215" s="31" t="s">
        <v>1669</v>
      </c>
      <c r="G215" s="74" t="s">
        <v>1633</v>
      </c>
      <c r="H215" s="57"/>
      <c r="I215" s="57"/>
      <c r="J215" s="57"/>
      <c r="K215" s="57"/>
      <c r="L215" s="57"/>
      <c r="M215" s="31"/>
      <c r="N215" s="31"/>
      <c r="O215" s="31"/>
      <c r="P215" s="31"/>
      <c r="Q215" s="31"/>
      <c r="R215" s="22"/>
      <c r="S215" s="29"/>
      <c r="T215" s="31"/>
      <c r="U215" s="31"/>
      <c r="V215" s="31"/>
      <c r="W215" s="31"/>
      <c r="X215" s="31"/>
      <c r="Y215" s="31"/>
      <c r="Z215" s="31"/>
      <c r="AA215" s="31"/>
      <c r="AB215" s="31"/>
      <c r="AC215" s="31"/>
      <c r="AD215" s="31"/>
      <c r="AE215" s="31"/>
      <c r="AF215" s="31"/>
      <c r="AG215" s="31"/>
      <c r="AH215" s="31"/>
      <c r="AI215" s="42"/>
      <c r="AJ215" s="42"/>
      <c r="AK215" s="42"/>
      <c r="AL215" s="31"/>
      <c r="AM215" s="31"/>
      <c r="AN215" s="43"/>
      <c r="AO215" s="31"/>
      <c r="AP215" s="44"/>
      <c r="AQ215" s="44"/>
    </row>
    <row r="216" spans="1:43" ht="24">
      <c r="A216" s="18" t="s">
        <v>2242</v>
      </c>
      <c r="B216" s="45" t="s">
        <v>1391</v>
      </c>
      <c r="C216" s="31"/>
      <c r="D216" s="22"/>
      <c r="E216" s="19" t="s">
        <v>1177</v>
      </c>
      <c r="F216" s="31" t="s">
        <v>1669</v>
      </c>
      <c r="G216" s="74" t="s">
        <v>1634</v>
      </c>
      <c r="H216" s="57"/>
      <c r="I216" s="57"/>
      <c r="J216" s="57"/>
      <c r="K216" s="57"/>
      <c r="L216" s="57"/>
      <c r="M216" s="31"/>
      <c r="N216" s="31"/>
      <c r="O216" s="31"/>
      <c r="P216" s="31"/>
      <c r="Q216" s="31"/>
      <c r="R216" s="22"/>
      <c r="S216" s="29"/>
      <c r="T216" s="31"/>
      <c r="U216" s="31"/>
      <c r="V216" s="31"/>
      <c r="W216" s="31"/>
      <c r="X216" s="31"/>
      <c r="Y216" s="31"/>
      <c r="Z216" s="31"/>
      <c r="AA216" s="31"/>
      <c r="AB216" s="31"/>
      <c r="AC216" s="31"/>
      <c r="AD216" s="31"/>
      <c r="AE216" s="31"/>
      <c r="AF216" s="31"/>
      <c r="AG216" s="31"/>
      <c r="AH216" s="31"/>
      <c r="AI216" s="42"/>
      <c r="AJ216" s="42"/>
      <c r="AK216" s="42"/>
      <c r="AL216" s="31"/>
      <c r="AM216" s="31"/>
      <c r="AN216" s="43"/>
      <c r="AO216" s="31"/>
      <c r="AP216" s="44"/>
      <c r="AQ216" s="44"/>
    </row>
    <row r="217" spans="1:43" ht="24">
      <c r="A217" s="18" t="s">
        <v>2243</v>
      </c>
      <c r="B217" s="45" t="s">
        <v>1392</v>
      </c>
      <c r="C217" s="31"/>
      <c r="D217" s="22"/>
      <c r="E217" s="19" t="s">
        <v>1177</v>
      </c>
      <c r="F217" s="31" t="s">
        <v>1669</v>
      </c>
      <c r="G217" s="74" t="s">
        <v>1635</v>
      </c>
      <c r="H217" s="57"/>
      <c r="I217" s="57"/>
      <c r="J217" s="57"/>
      <c r="K217" s="57"/>
      <c r="L217" s="57"/>
      <c r="M217" s="31"/>
      <c r="N217" s="31"/>
      <c r="O217" s="31"/>
      <c r="P217" s="31"/>
      <c r="Q217" s="31"/>
      <c r="R217" s="22"/>
      <c r="S217" s="29"/>
      <c r="T217" s="31"/>
      <c r="U217" s="31"/>
      <c r="V217" s="31"/>
      <c r="W217" s="31"/>
      <c r="X217" s="31"/>
      <c r="Y217" s="31"/>
      <c r="Z217" s="31"/>
      <c r="AA217" s="31"/>
      <c r="AB217" s="31"/>
      <c r="AC217" s="31"/>
      <c r="AD217" s="31"/>
      <c r="AE217" s="31"/>
      <c r="AF217" s="31"/>
      <c r="AG217" s="31"/>
      <c r="AH217" s="31"/>
      <c r="AI217" s="42"/>
      <c r="AJ217" s="42"/>
      <c r="AK217" s="42"/>
      <c r="AL217" s="31"/>
      <c r="AM217" s="31"/>
      <c r="AN217" s="43"/>
      <c r="AO217" s="31"/>
      <c r="AP217" s="44"/>
      <c r="AQ217" s="44"/>
    </row>
    <row r="218" spans="1:43">
      <c r="A218" s="18" t="s">
        <v>2244</v>
      </c>
      <c r="B218" s="45" t="s">
        <v>1393</v>
      </c>
      <c r="C218" s="31"/>
      <c r="D218" s="22"/>
      <c r="E218" s="19" t="s">
        <v>1177</v>
      </c>
      <c r="F218" s="31" t="s">
        <v>1669</v>
      </c>
      <c r="G218" s="74" t="s">
        <v>1636</v>
      </c>
      <c r="H218" s="57"/>
      <c r="I218" s="57"/>
      <c r="J218" s="57"/>
      <c r="K218" s="57"/>
      <c r="L218" s="57"/>
      <c r="M218" s="31"/>
      <c r="N218" s="31"/>
      <c r="O218" s="31"/>
      <c r="P218" s="31"/>
      <c r="Q218" s="31"/>
      <c r="R218" s="22"/>
      <c r="S218" s="29"/>
      <c r="T218" s="31"/>
      <c r="U218" s="31"/>
      <c r="V218" s="31"/>
      <c r="W218" s="31"/>
      <c r="X218" s="31"/>
      <c r="Y218" s="31"/>
      <c r="Z218" s="31"/>
      <c r="AA218" s="31"/>
      <c r="AB218" s="31"/>
      <c r="AC218" s="31"/>
      <c r="AD218" s="31"/>
      <c r="AE218" s="31"/>
      <c r="AF218" s="31"/>
      <c r="AG218" s="31"/>
      <c r="AH218" s="31"/>
      <c r="AI218" s="42"/>
      <c r="AJ218" s="42"/>
      <c r="AK218" s="42"/>
      <c r="AL218" s="31"/>
      <c r="AM218" s="31"/>
      <c r="AN218" s="43"/>
      <c r="AO218" s="31"/>
      <c r="AP218" s="44"/>
      <c r="AQ218" s="44"/>
    </row>
    <row r="219" spans="1:43">
      <c r="A219" s="18" t="s">
        <v>2245</v>
      </c>
      <c r="B219" s="45" t="s">
        <v>1394</v>
      </c>
      <c r="C219" s="31"/>
      <c r="D219" s="22"/>
      <c r="E219" s="19" t="s">
        <v>1177</v>
      </c>
      <c r="F219" s="31" t="s">
        <v>1669</v>
      </c>
      <c r="G219" s="74" t="s">
        <v>1637</v>
      </c>
      <c r="H219" s="57"/>
      <c r="I219" s="57"/>
      <c r="J219" s="57"/>
      <c r="K219" s="57"/>
      <c r="L219" s="57"/>
      <c r="M219" s="31"/>
      <c r="N219" s="31"/>
      <c r="O219" s="31"/>
      <c r="P219" s="31"/>
      <c r="Q219" s="31"/>
      <c r="R219" s="22"/>
      <c r="S219" s="29"/>
      <c r="T219" s="31"/>
      <c r="U219" s="31"/>
      <c r="V219" s="31"/>
      <c r="W219" s="31"/>
      <c r="X219" s="31"/>
      <c r="Y219" s="31"/>
      <c r="Z219" s="31"/>
      <c r="AA219" s="31"/>
      <c r="AB219" s="31"/>
      <c r="AC219" s="31"/>
      <c r="AD219" s="31"/>
      <c r="AE219" s="31"/>
      <c r="AF219" s="31"/>
      <c r="AG219" s="31"/>
      <c r="AH219" s="31"/>
      <c r="AI219" s="42"/>
      <c r="AJ219" s="42"/>
      <c r="AK219" s="42"/>
      <c r="AL219" s="31"/>
      <c r="AM219" s="31"/>
      <c r="AN219" s="43"/>
      <c r="AO219" s="31"/>
      <c r="AP219" s="44"/>
      <c r="AQ219" s="44"/>
    </row>
    <row r="220" spans="1:43">
      <c r="A220" s="18" t="s">
        <v>2246</v>
      </c>
      <c r="B220" s="45" t="s">
        <v>1395</v>
      </c>
      <c r="C220" s="31"/>
      <c r="D220" s="22"/>
      <c r="E220" s="19" t="s">
        <v>1177</v>
      </c>
      <c r="F220" s="31" t="s">
        <v>1669</v>
      </c>
      <c r="G220" s="74" t="s">
        <v>1638</v>
      </c>
      <c r="H220" s="57"/>
      <c r="I220" s="57"/>
      <c r="J220" s="57"/>
      <c r="K220" s="57"/>
      <c r="L220" s="57"/>
      <c r="M220" s="31"/>
      <c r="N220" s="31"/>
      <c r="O220" s="31"/>
      <c r="P220" s="31"/>
      <c r="Q220" s="31"/>
      <c r="R220" s="22"/>
      <c r="S220" s="29"/>
      <c r="T220" s="31"/>
      <c r="U220" s="31"/>
      <c r="V220" s="31"/>
      <c r="W220" s="31"/>
      <c r="X220" s="31"/>
      <c r="Y220" s="31"/>
      <c r="Z220" s="31"/>
      <c r="AA220" s="31"/>
      <c r="AB220" s="31"/>
      <c r="AC220" s="31"/>
      <c r="AD220" s="31"/>
      <c r="AE220" s="31"/>
      <c r="AF220" s="31"/>
      <c r="AG220" s="31"/>
      <c r="AH220" s="31"/>
      <c r="AI220" s="42"/>
      <c r="AJ220" s="42"/>
      <c r="AK220" s="42"/>
      <c r="AL220" s="31"/>
      <c r="AM220" s="31"/>
      <c r="AN220" s="43"/>
      <c r="AO220" s="31"/>
      <c r="AP220" s="44"/>
      <c r="AQ220" s="44"/>
    </row>
    <row r="221" spans="1:43" ht="36">
      <c r="A221" s="18" t="s">
        <v>2247</v>
      </c>
      <c r="B221" s="45" t="s">
        <v>1396</v>
      </c>
      <c r="C221" s="31"/>
      <c r="D221" s="22"/>
      <c r="E221" s="19" t="s">
        <v>1177</v>
      </c>
      <c r="F221" s="31" t="s">
        <v>1669</v>
      </c>
      <c r="G221" s="74" t="s">
        <v>1639</v>
      </c>
      <c r="H221" s="57"/>
      <c r="I221" s="57"/>
      <c r="J221" s="57"/>
      <c r="K221" s="57"/>
      <c r="L221" s="57"/>
      <c r="M221" s="31"/>
      <c r="N221" s="31"/>
      <c r="O221" s="31"/>
      <c r="P221" s="31"/>
      <c r="Q221" s="31"/>
      <c r="R221" s="22"/>
      <c r="S221" s="29"/>
      <c r="T221" s="31"/>
      <c r="U221" s="31"/>
      <c r="V221" s="31"/>
      <c r="W221" s="31"/>
      <c r="X221" s="31"/>
      <c r="Y221" s="31"/>
      <c r="Z221" s="31"/>
      <c r="AA221" s="31"/>
      <c r="AB221" s="31"/>
      <c r="AC221" s="31"/>
      <c r="AD221" s="31"/>
      <c r="AE221" s="31"/>
      <c r="AF221" s="31"/>
      <c r="AG221" s="31"/>
      <c r="AH221" s="31"/>
      <c r="AI221" s="42"/>
      <c r="AJ221" s="42"/>
      <c r="AK221" s="42"/>
      <c r="AL221" s="31"/>
      <c r="AM221" s="31"/>
      <c r="AN221" s="43"/>
      <c r="AO221" s="31"/>
      <c r="AP221" s="44"/>
      <c r="AQ221" s="44"/>
    </row>
    <row r="222" spans="1:43">
      <c r="A222" s="18" t="s">
        <v>2248</v>
      </c>
      <c r="B222" s="45" t="s">
        <v>1397</v>
      </c>
      <c r="C222" s="31"/>
      <c r="D222" s="22"/>
      <c r="E222" s="19" t="s">
        <v>1177</v>
      </c>
      <c r="F222" s="31" t="s">
        <v>1669</v>
      </c>
      <c r="G222" s="74" t="s">
        <v>1640</v>
      </c>
      <c r="H222" s="57"/>
      <c r="I222" s="57"/>
      <c r="J222" s="57"/>
      <c r="K222" s="57"/>
      <c r="L222" s="57"/>
      <c r="M222" s="31"/>
      <c r="N222" s="31"/>
      <c r="O222" s="31"/>
      <c r="P222" s="31"/>
      <c r="Q222" s="31"/>
      <c r="R222" s="22"/>
      <c r="S222" s="29"/>
      <c r="T222" s="31"/>
      <c r="U222" s="31"/>
      <c r="V222" s="31"/>
      <c r="W222" s="31"/>
      <c r="X222" s="31"/>
      <c r="Y222" s="31"/>
      <c r="Z222" s="31"/>
      <c r="AA222" s="31"/>
      <c r="AB222" s="31"/>
      <c r="AC222" s="31"/>
      <c r="AD222" s="31"/>
      <c r="AE222" s="31"/>
      <c r="AF222" s="31"/>
      <c r="AG222" s="31"/>
      <c r="AH222" s="31"/>
      <c r="AI222" s="42"/>
      <c r="AJ222" s="42"/>
      <c r="AK222" s="42"/>
      <c r="AL222" s="31"/>
      <c r="AM222" s="31"/>
      <c r="AN222" s="43"/>
      <c r="AO222" s="31"/>
      <c r="AP222" s="44"/>
      <c r="AQ222" s="44"/>
    </row>
    <row r="223" spans="1:43">
      <c r="A223" s="18" t="s">
        <v>2249</v>
      </c>
      <c r="B223" s="45" t="s">
        <v>1398</v>
      </c>
      <c r="C223" s="31"/>
      <c r="D223" s="22"/>
      <c r="E223" s="19" t="s">
        <v>1177</v>
      </c>
      <c r="F223" s="31" t="s">
        <v>1669</v>
      </c>
      <c r="G223" s="74" t="s">
        <v>1641</v>
      </c>
      <c r="H223" s="57"/>
      <c r="I223" s="57"/>
      <c r="J223" s="57"/>
      <c r="K223" s="57"/>
      <c r="L223" s="57"/>
      <c r="M223" s="31"/>
      <c r="N223" s="31"/>
      <c r="O223" s="31"/>
      <c r="P223" s="31"/>
      <c r="Q223" s="31"/>
      <c r="R223" s="22"/>
      <c r="S223" s="29"/>
      <c r="T223" s="31"/>
      <c r="U223" s="31"/>
      <c r="V223" s="31"/>
      <c r="W223" s="31"/>
      <c r="X223" s="31"/>
      <c r="Y223" s="31"/>
      <c r="Z223" s="31"/>
      <c r="AA223" s="31"/>
      <c r="AB223" s="31"/>
      <c r="AC223" s="31"/>
      <c r="AD223" s="31"/>
      <c r="AE223" s="31"/>
      <c r="AF223" s="31"/>
      <c r="AG223" s="31"/>
      <c r="AH223" s="31"/>
      <c r="AI223" s="42"/>
      <c r="AJ223" s="42"/>
      <c r="AK223" s="42"/>
      <c r="AL223" s="31"/>
      <c r="AM223" s="31"/>
      <c r="AN223" s="43"/>
      <c r="AO223" s="31"/>
      <c r="AP223" s="44"/>
      <c r="AQ223" s="44"/>
    </row>
    <row r="224" spans="1:43" ht="24">
      <c r="A224" s="18" t="s">
        <v>2250</v>
      </c>
      <c r="B224" s="45" t="s">
        <v>1399</v>
      </c>
      <c r="C224" s="31"/>
      <c r="D224" s="22"/>
      <c r="E224" s="19" t="s">
        <v>1177</v>
      </c>
      <c r="F224" s="31" t="s">
        <v>1669</v>
      </c>
      <c r="G224" s="74" t="s">
        <v>1642</v>
      </c>
      <c r="H224" s="57"/>
      <c r="I224" s="57"/>
      <c r="J224" s="57"/>
      <c r="K224" s="57"/>
      <c r="L224" s="57"/>
      <c r="M224" s="31"/>
      <c r="N224" s="31"/>
      <c r="O224" s="31"/>
      <c r="P224" s="31"/>
      <c r="Q224" s="31"/>
      <c r="R224" s="22"/>
      <c r="S224" s="29"/>
      <c r="T224" s="31"/>
      <c r="U224" s="31"/>
      <c r="V224" s="31"/>
      <c r="W224" s="31"/>
      <c r="X224" s="31"/>
      <c r="Y224" s="31"/>
      <c r="Z224" s="31"/>
      <c r="AA224" s="31"/>
      <c r="AB224" s="31"/>
      <c r="AC224" s="31"/>
      <c r="AD224" s="31"/>
      <c r="AE224" s="31"/>
      <c r="AF224" s="31"/>
      <c r="AG224" s="31"/>
      <c r="AH224" s="31"/>
      <c r="AI224" s="42"/>
      <c r="AJ224" s="42"/>
      <c r="AK224" s="42"/>
      <c r="AL224" s="31"/>
      <c r="AM224" s="31"/>
      <c r="AN224" s="43"/>
      <c r="AO224" s="31"/>
      <c r="AP224" s="44"/>
      <c r="AQ224" s="44"/>
    </row>
    <row r="225" spans="1:43" ht="36">
      <c r="A225" s="18" t="s">
        <v>2251</v>
      </c>
      <c r="B225" s="45" t="s">
        <v>1400</v>
      </c>
      <c r="C225" s="31"/>
      <c r="D225" s="22"/>
      <c r="E225" s="19" t="s">
        <v>1177</v>
      </c>
      <c r="F225" s="31" t="s">
        <v>1669</v>
      </c>
      <c r="G225" s="74" t="s">
        <v>1643</v>
      </c>
      <c r="H225" s="57"/>
      <c r="I225" s="57"/>
      <c r="J225" s="57"/>
      <c r="K225" s="57"/>
      <c r="L225" s="57"/>
      <c r="M225" s="31"/>
      <c r="N225" s="31"/>
      <c r="O225" s="31"/>
      <c r="P225" s="31"/>
      <c r="Q225" s="31"/>
      <c r="R225" s="22"/>
      <c r="S225" s="29"/>
      <c r="T225" s="31"/>
      <c r="U225" s="31"/>
      <c r="V225" s="31"/>
      <c r="W225" s="31"/>
      <c r="X225" s="31"/>
      <c r="Y225" s="31"/>
      <c r="Z225" s="31"/>
      <c r="AA225" s="31"/>
      <c r="AB225" s="31"/>
      <c r="AC225" s="31"/>
      <c r="AD225" s="31"/>
      <c r="AE225" s="31"/>
      <c r="AF225" s="31"/>
      <c r="AG225" s="31"/>
      <c r="AH225" s="31"/>
      <c r="AI225" s="42"/>
      <c r="AJ225" s="42"/>
      <c r="AK225" s="42"/>
      <c r="AL225" s="31"/>
      <c r="AM225" s="31"/>
      <c r="AN225" s="43"/>
      <c r="AO225" s="31"/>
      <c r="AP225" s="44"/>
      <c r="AQ225" s="44"/>
    </row>
    <row r="226" spans="1:43">
      <c r="A226" s="18" t="s">
        <v>2252</v>
      </c>
      <c r="B226" s="45" t="s">
        <v>1401</v>
      </c>
      <c r="C226" s="31"/>
      <c r="D226" s="22"/>
      <c r="E226" s="19" t="s">
        <v>1177</v>
      </c>
      <c r="F226" s="31" t="s">
        <v>1669</v>
      </c>
      <c r="G226" s="74" t="s">
        <v>1644</v>
      </c>
      <c r="H226" s="57"/>
      <c r="I226" s="57"/>
      <c r="J226" s="57"/>
      <c r="K226" s="57"/>
      <c r="L226" s="57"/>
      <c r="M226" s="31"/>
      <c r="N226" s="31"/>
      <c r="O226" s="31"/>
      <c r="P226" s="31"/>
      <c r="Q226" s="31"/>
      <c r="R226" s="22"/>
      <c r="S226" s="29"/>
      <c r="T226" s="31"/>
      <c r="U226" s="31"/>
      <c r="V226" s="31"/>
      <c r="W226" s="31"/>
      <c r="X226" s="31"/>
      <c r="Y226" s="31"/>
      <c r="Z226" s="31"/>
      <c r="AA226" s="31"/>
      <c r="AB226" s="31"/>
      <c r="AC226" s="31"/>
      <c r="AD226" s="31"/>
      <c r="AE226" s="31"/>
      <c r="AF226" s="31"/>
      <c r="AG226" s="31"/>
      <c r="AH226" s="31"/>
      <c r="AI226" s="42"/>
      <c r="AJ226" s="42"/>
      <c r="AK226" s="42"/>
      <c r="AL226" s="31"/>
      <c r="AM226" s="31"/>
      <c r="AN226" s="43"/>
      <c r="AO226" s="31"/>
      <c r="AP226" s="44"/>
      <c r="AQ226" s="44"/>
    </row>
    <row r="227" spans="1:43">
      <c r="A227" s="18" t="s">
        <v>2253</v>
      </c>
      <c r="B227" s="45" t="s">
        <v>1402</v>
      </c>
      <c r="C227" s="31"/>
      <c r="D227" s="22"/>
      <c r="E227" s="19" t="s">
        <v>1177</v>
      </c>
      <c r="F227" s="31" t="s">
        <v>1669</v>
      </c>
      <c r="G227" s="74" t="s">
        <v>1645</v>
      </c>
      <c r="H227" s="57"/>
      <c r="I227" s="57"/>
      <c r="J227" s="57"/>
      <c r="K227" s="57"/>
      <c r="L227" s="57"/>
      <c r="M227" s="31"/>
      <c r="N227" s="31"/>
      <c r="O227" s="31"/>
      <c r="P227" s="31"/>
      <c r="Q227" s="31"/>
      <c r="R227" s="22"/>
      <c r="S227" s="29"/>
      <c r="T227" s="31"/>
      <c r="U227" s="31"/>
      <c r="V227" s="31"/>
      <c r="W227" s="31"/>
      <c r="X227" s="31"/>
      <c r="Y227" s="31"/>
      <c r="Z227" s="31"/>
      <c r="AA227" s="31"/>
      <c r="AB227" s="31"/>
      <c r="AC227" s="31"/>
      <c r="AD227" s="31"/>
      <c r="AE227" s="31"/>
      <c r="AF227" s="31"/>
      <c r="AG227" s="31"/>
      <c r="AH227" s="31"/>
      <c r="AI227" s="42"/>
      <c r="AJ227" s="42"/>
      <c r="AK227" s="42"/>
      <c r="AL227" s="31"/>
      <c r="AM227" s="31"/>
      <c r="AN227" s="43"/>
      <c r="AO227" s="31"/>
      <c r="AP227" s="44"/>
      <c r="AQ227" s="44"/>
    </row>
    <row r="228" spans="1:43" ht="24">
      <c r="A228" s="18" t="s">
        <v>2254</v>
      </c>
      <c r="B228" s="45" t="s">
        <v>1403</v>
      </c>
      <c r="C228" s="31"/>
      <c r="D228" s="22"/>
      <c r="E228" s="19" t="s">
        <v>1177</v>
      </c>
      <c r="F228" s="31" t="s">
        <v>1669</v>
      </c>
      <c r="G228" s="74" t="s">
        <v>1646</v>
      </c>
      <c r="H228" s="57"/>
      <c r="I228" s="57"/>
      <c r="J228" s="57"/>
      <c r="K228" s="57"/>
      <c r="L228" s="57"/>
      <c r="M228" s="31"/>
      <c r="N228" s="31"/>
      <c r="O228" s="31"/>
      <c r="P228" s="31"/>
      <c r="Q228" s="31"/>
      <c r="R228" s="22"/>
      <c r="S228" s="29"/>
      <c r="T228" s="31"/>
      <c r="U228" s="31"/>
      <c r="V228" s="31"/>
      <c r="W228" s="31"/>
      <c r="X228" s="31"/>
      <c r="Y228" s="31"/>
      <c r="Z228" s="31"/>
      <c r="AA228" s="31"/>
      <c r="AB228" s="31"/>
      <c r="AC228" s="31"/>
      <c r="AD228" s="31"/>
      <c r="AE228" s="31"/>
      <c r="AF228" s="31"/>
      <c r="AG228" s="31"/>
      <c r="AH228" s="31"/>
      <c r="AI228" s="42"/>
      <c r="AJ228" s="42"/>
      <c r="AK228" s="42"/>
      <c r="AL228" s="31"/>
      <c r="AM228" s="31"/>
      <c r="AN228" s="43"/>
      <c r="AO228" s="31"/>
      <c r="AP228" s="44"/>
      <c r="AQ228" s="44"/>
    </row>
    <row r="229" spans="1:43">
      <c r="A229" s="18" t="s">
        <v>2255</v>
      </c>
      <c r="B229" s="45" t="s">
        <v>1404</v>
      </c>
      <c r="C229" s="31"/>
      <c r="D229" s="22"/>
      <c r="E229" s="19" t="s">
        <v>1177</v>
      </c>
      <c r="F229" s="31" t="s">
        <v>1669</v>
      </c>
      <c r="G229" s="74" t="s">
        <v>1647</v>
      </c>
      <c r="H229" s="57"/>
      <c r="I229" s="57"/>
      <c r="J229" s="57"/>
      <c r="K229" s="57"/>
      <c r="L229" s="57"/>
      <c r="M229" s="31"/>
      <c r="N229" s="31"/>
      <c r="O229" s="31"/>
      <c r="P229" s="31"/>
      <c r="Q229" s="31"/>
      <c r="R229" s="22"/>
      <c r="S229" s="29"/>
      <c r="T229" s="31"/>
      <c r="U229" s="31"/>
      <c r="V229" s="31"/>
      <c r="W229" s="31"/>
      <c r="X229" s="31"/>
      <c r="Y229" s="31"/>
      <c r="Z229" s="31"/>
      <c r="AA229" s="31"/>
      <c r="AB229" s="31"/>
      <c r="AC229" s="31"/>
      <c r="AD229" s="31"/>
      <c r="AE229" s="31"/>
      <c r="AF229" s="31"/>
      <c r="AG229" s="31"/>
      <c r="AH229" s="31"/>
      <c r="AI229" s="42"/>
      <c r="AJ229" s="42"/>
      <c r="AK229" s="42"/>
      <c r="AL229" s="31"/>
      <c r="AM229" s="31"/>
      <c r="AN229" s="43"/>
      <c r="AO229" s="31"/>
      <c r="AP229" s="44"/>
      <c r="AQ229" s="44"/>
    </row>
    <row r="230" spans="1:43" ht="24">
      <c r="A230" s="18" t="s">
        <v>2256</v>
      </c>
      <c r="B230" s="45" t="s">
        <v>1405</v>
      </c>
      <c r="C230" s="31"/>
      <c r="D230" s="22"/>
      <c r="E230" s="19" t="s">
        <v>1177</v>
      </c>
      <c r="F230" s="31" t="s">
        <v>1669</v>
      </c>
      <c r="G230" s="74" t="s">
        <v>1648</v>
      </c>
      <c r="H230" s="57"/>
      <c r="I230" s="57"/>
      <c r="J230" s="57"/>
      <c r="K230" s="57"/>
      <c r="L230" s="57"/>
      <c r="M230" s="31"/>
      <c r="N230" s="31"/>
      <c r="O230" s="31"/>
      <c r="P230" s="31"/>
      <c r="Q230" s="31"/>
      <c r="R230" s="22"/>
      <c r="S230" s="29"/>
      <c r="T230" s="31"/>
      <c r="U230" s="31"/>
      <c r="V230" s="31"/>
      <c r="W230" s="31"/>
      <c r="X230" s="31"/>
      <c r="Y230" s="31"/>
      <c r="Z230" s="31"/>
      <c r="AA230" s="31"/>
      <c r="AB230" s="31"/>
      <c r="AC230" s="31"/>
      <c r="AD230" s="31"/>
      <c r="AE230" s="31"/>
      <c r="AF230" s="31"/>
      <c r="AG230" s="31"/>
      <c r="AH230" s="31"/>
      <c r="AI230" s="42"/>
      <c r="AJ230" s="42"/>
      <c r="AK230" s="42"/>
      <c r="AL230" s="31"/>
      <c r="AM230" s="31"/>
      <c r="AN230" s="43"/>
      <c r="AO230" s="31"/>
      <c r="AP230" s="44"/>
      <c r="AQ230" s="44"/>
    </row>
    <row r="231" spans="1:43" ht="24">
      <c r="A231" s="18" t="s">
        <v>2257</v>
      </c>
      <c r="B231" s="45" t="s">
        <v>1406</v>
      </c>
      <c r="C231" s="31"/>
      <c r="D231" s="22"/>
      <c r="E231" s="19" t="s">
        <v>1177</v>
      </c>
      <c r="F231" s="31" t="s">
        <v>1669</v>
      </c>
      <c r="G231" s="74" t="s">
        <v>1649</v>
      </c>
      <c r="H231" s="57"/>
      <c r="I231" s="57"/>
      <c r="J231" s="57"/>
      <c r="K231" s="57"/>
      <c r="L231" s="57"/>
      <c r="M231" s="31"/>
      <c r="N231" s="31"/>
      <c r="O231" s="31"/>
      <c r="P231" s="31"/>
      <c r="Q231" s="31"/>
      <c r="R231" s="22"/>
      <c r="S231" s="29"/>
      <c r="T231" s="31"/>
      <c r="U231" s="31"/>
      <c r="V231" s="31"/>
      <c r="W231" s="31"/>
      <c r="X231" s="31"/>
      <c r="Y231" s="31"/>
      <c r="Z231" s="31"/>
      <c r="AA231" s="31"/>
      <c r="AB231" s="31"/>
      <c r="AC231" s="31"/>
      <c r="AD231" s="31"/>
      <c r="AE231" s="31"/>
      <c r="AF231" s="31"/>
      <c r="AG231" s="31"/>
      <c r="AH231" s="31"/>
      <c r="AI231" s="42"/>
      <c r="AJ231" s="42"/>
      <c r="AK231" s="42"/>
      <c r="AL231" s="31"/>
      <c r="AM231" s="31"/>
      <c r="AN231" s="43"/>
      <c r="AO231" s="31"/>
      <c r="AP231" s="44"/>
      <c r="AQ231" s="44"/>
    </row>
    <row r="232" spans="1:43" ht="24">
      <c r="A232" s="18" t="s">
        <v>2258</v>
      </c>
      <c r="B232" s="45" t="s">
        <v>1407</v>
      </c>
      <c r="C232" s="31"/>
      <c r="D232" s="22"/>
      <c r="E232" s="19" t="s">
        <v>1177</v>
      </c>
      <c r="F232" s="31" t="s">
        <v>1669</v>
      </c>
      <c r="G232" s="74" t="s">
        <v>1650</v>
      </c>
      <c r="H232" s="57"/>
      <c r="I232" s="57"/>
      <c r="J232" s="57"/>
      <c r="K232" s="57"/>
      <c r="L232" s="57"/>
      <c r="M232" s="31"/>
      <c r="N232" s="31"/>
      <c r="O232" s="31"/>
      <c r="P232" s="31"/>
      <c r="Q232" s="31"/>
      <c r="R232" s="22"/>
      <c r="S232" s="29"/>
      <c r="T232" s="31"/>
      <c r="U232" s="31"/>
      <c r="V232" s="31"/>
      <c r="W232" s="31"/>
      <c r="X232" s="31"/>
      <c r="Y232" s="31"/>
      <c r="Z232" s="31"/>
      <c r="AA232" s="31"/>
      <c r="AB232" s="31"/>
      <c r="AC232" s="31"/>
      <c r="AD232" s="31"/>
      <c r="AE232" s="31"/>
      <c r="AF232" s="31"/>
      <c r="AG232" s="31"/>
      <c r="AH232" s="31"/>
      <c r="AI232" s="42"/>
      <c r="AJ232" s="42"/>
      <c r="AK232" s="42"/>
      <c r="AL232" s="31"/>
      <c r="AM232" s="31"/>
      <c r="AN232" s="43"/>
      <c r="AO232" s="31"/>
      <c r="AP232" s="44"/>
      <c r="AQ232" s="44"/>
    </row>
    <row r="233" spans="1:43" ht="24">
      <c r="A233" s="18" t="s">
        <v>2259</v>
      </c>
      <c r="B233" s="45" t="s">
        <v>1408</v>
      </c>
      <c r="C233" s="31"/>
      <c r="D233" s="22"/>
      <c r="E233" s="19" t="s">
        <v>1177</v>
      </c>
      <c r="F233" s="31" t="s">
        <v>1669</v>
      </c>
      <c r="G233" s="74" t="s">
        <v>1651</v>
      </c>
      <c r="H233" s="57"/>
      <c r="I233" s="57"/>
      <c r="J233" s="57"/>
      <c r="K233" s="57"/>
      <c r="L233" s="57"/>
      <c r="M233" s="31"/>
      <c r="N233" s="31"/>
      <c r="O233" s="31"/>
      <c r="P233" s="31"/>
      <c r="Q233" s="31"/>
      <c r="R233" s="22"/>
      <c r="S233" s="29"/>
      <c r="T233" s="31"/>
      <c r="U233" s="31"/>
      <c r="V233" s="31"/>
      <c r="W233" s="31"/>
      <c r="X233" s="31"/>
      <c r="Y233" s="31"/>
      <c r="Z233" s="31"/>
      <c r="AA233" s="31"/>
      <c r="AB233" s="31"/>
      <c r="AC233" s="31"/>
      <c r="AD233" s="31"/>
      <c r="AE233" s="31"/>
      <c r="AF233" s="31"/>
      <c r="AG233" s="31"/>
      <c r="AH233" s="31"/>
      <c r="AI233" s="42"/>
      <c r="AJ233" s="42"/>
      <c r="AK233" s="42"/>
      <c r="AL233" s="31"/>
      <c r="AM233" s="31"/>
      <c r="AN233" s="43"/>
      <c r="AO233" s="31"/>
      <c r="AP233" s="44"/>
      <c r="AQ233" s="44"/>
    </row>
    <row r="234" spans="1:43" ht="24">
      <c r="A234" s="18" t="s">
        <v>2260</v>
      </c>
      <c r="B234" s="45" t="s">
        <v>1409</v>
      </c>
      <c r="C234" s="31"/>
      <c r="D234" s="22"/>
      <c r="E234" s="19" t="s">
        <v>1177</v>
      </c>
      <c r="F234" s="31" t="s">
        <v>1669</v>
      </c>
      <c r="G234" s="74" t="s">
        <v>1652</v>
      </c>
      <c r="H234" s="57"/>
      <c r="I234" s="57"/>
      <c r="J234" s="57"/>
      <c r="K234" s="57"/>
      <c r="L234" s="57"/>
      <c r="M234" s="31"/>
      <c r="N234" s="31"/>
      <c r="O234" s="31"/>
      <c r="P234" s="31"/>
      <c r="Q234" s="31"/>
      <c r="R234" s="22"/>
      <c r="S234" s="29"/>
      <c r="T234" s="31"/>
      <c r="U234" s="31"/>
      <c r="V234" s="31"/>
      <c r="W234" s="31"/>
      <c r="X234" s="31"/>
      <c r="Y234" s="31"/>
      <c r="Z234" s="31"/>
      <c r="AA234" s="31"/>
      <c r="AB234" s="31"/>
      <c r="AC234" s="31"/>
      <c r="AD234" s="31"/>
      <c r="AE234" s="31"/>
      <c r="AF234" s="31"/>
      <c r="AG234" s="31"/>
      <c r="AH234" s="31"/>
      <c r="AI234" s="42"/>
      <c r="AJ234" s="42"/>
      <c r="AK234" s="42"/>
      <c r="AL234" s="31"/>
      <c r="AM234" s="31"/>
      <c r="AN234" s="43"/>
      <c r="AO234" s="31"/>
      <c r="AP234" s="44"/>
      <c r="AQ234" s="44"/>
    </row>
    <row r="235" spans="1:43">
      <c r="A235" s="18" t="s">
        <v>2261</v>
      </c>
      <c r="B235" s="45" t="s">
        <v>1410</v>
      </c>
      <c r="C235" s="31"/>
      <c r="D235" s="22"/>
      <c r="E235" s="19" t="s">
        <v>1177</v>
      </c>
      <c r="F235" s="31" t="s">
        <v>1669</v>
      </c>
      <c r="G235" s="74" t="s">
        <v>1653</v>
      </c>
      <c r="H235" s="57"/>
      <c r="I235" s="57"/>
      <c r="J235" s="57"/>
      <c r="K235" s="57"/>
      <c r="L235" s="57"/>
      <c r="M235" s="31"/>
      <c r="N235" s="31"/>
      <c r="O235" s="31"/>
      <c r="P235" s="31"/>
      <c r="Q235" s="31"/>
      <c r="R235" s="22"/>
      <c r="S235" s="29"/>
      <c r="T235" s="31"/>
      <c r="U235" s="31"/>
      <c r="V235" s="31"/>
      <c r="W235" s="31"/>
      <c r="X235" s="31"/>
      <c r="Y235" s="31"/>
      <c r="Z235" s="31"/>
      <c r="AA235" s="31"/>
      <c r="AB235" s="31"/>
      <c r="AC235" s="31"/>
      <c r="AD235" s="31"/>
      <c r="AE235" s="31"/>
      <c r="AF235" s="31"/>
      <c r="AG235" s="31"/>
      <c r="AH235" s="31"/>
      <c r="AI235" s="42"/>
      <c r="AJ235" s="42"/>
      <c r="AK235" s="42"/>
      <c r="AL235" s="31"/>
      <c r="AM235" s="31"/>
      <c r="AN235" s="43"/>
      <c r="AO235" s="31"/>
      <c r="AP235" s="44"/>
      <c r="AQ235" s="44"/>
    </row>
    <row r="236" spans="1:43">
      <c r="A236" s="18" t="s">
        <v>2262</v>
      </c>
      <c r="B236" s="45" t="s">
        <v>1411</v>
      </c>
      <c r="C236" s="31"/>
      <c r="D236" s="22"/>
      <c r="E236" s="19" t="s">
        <v>1177</v>
      </c>
      <c r="F236" s="31" t="s">
        <v>1669</v>
      </c>
      <c r="G236" s="74" t="s">
        <v>1654</v>
      </c>
      <c r="H236" s="57"/>
      <c r="I236" s="57"/>
      <c r="J236" s="57"/>
      <c r="K236" s="57"/>
      <c r="L236" s="57"/>
      <c r="M236" s="31"/>
      <c r="N236" s="31"/>
      <c r="O236" s="31"/>
      <c r="P236" s="31"/>
      <c r="Q236" s="31"/>
      <c r="R236" s="22"/>
      <c r="S236" s="29"/>
      <c r="T236" s="31"/>
      <c r="U236" s="31"/>
      <c r="V236" s="31"/>
      <c r="W236" s="31"/>
      <c r="X236" s="31"/>
      <c r="Y236" s="31"/>
      <c r="Z236" s="31"/>
      <c r="AA236" s="31"/>
      <c r="AB236" s="31"/>
      <c r="AC236" s="31"/>
      <c r="AD236" s="31"/>
      <c r="AE236" s="31"/>
      <c r="AF236" s="31"/>
      <c r="AG236" s="31"/>
      <c r="AH236" s="31"/>
      <c r="AI236" s="42"/>
      <c r="AJ236" s="42"/>
      <c r="AK236" s="42"/>
      <c r="AL236" s="31"/>
      <c r="AM236" s="31"/>
      <c r="AN236" s="43"/>
      <c r="AO236" s="31"/>
      <c r="AP236" s="44"/>
      <c r="AQ236" s="44"/>
    </row>
    <row r="237" spans="1:43" ht="24">
      <c r="A237" s="18" t="s">
        <v>2263</v>
      </c>
      <c r="B237" s="45" t="s">
        <v>1412</v>
      </c>
      <c r="C237" s="31"/>
      <c r="D237" s="22"/>
      <c r="E237" s="19" t="s">
        <v>1177</v>
      </c>
      <c r="F237" s="31" t="s">
        <v>1669</v>
      </c>
      <c r="G237" s="74" t="s">
        <v>1655</v>
      </c>
      <c r="H237" s="57"/>
      <c r="I237" s="57"/>
      <c r="J237" s="57"/>
      <c r="K237" s="57"/>
      <c r="L237" s="57"/>
      <c r="M237" s="31"/>
      <c r="N237" s="31"/>
      <c r="O237" s="31"/>
      <c r="P237" s="31"/>
      <c r="Q237" s="31"/>
      <c r="R237" s="22"/>
      <c r="S237" s="29"/>
      <c r="T237" s="31"/>
      <c r="U237" s="31"/>
      <c r="V237" s="31"/>
      <c r="W237" s="31"/>
      <c r="X237" s="31"/>
      <c r="Y237" s="31"/>
      <c r="Z237" s="31"/>
      <c r="AA237" s="31"/>
      <c r="AB237" s="31"/>
      <c r="AC237" s="31"/>
      <c r="AD237" s="31"/>
      <c r="AE237" s="31"/>
      <c r="AF237" s="31"/>
      <c r="AG237" s="31"/>
      <c r="AH237" s="31"/>
      <c r="AI237" s="42"/>
      <c r="AJ237" s="42"/>
      <c r="AK237" s="42"/>
      <c r="AL237" s="31"/>
      <c r="AM237" s="31"/>
      <c r="AN237" s="43"/>
      <c r="AO237" s="31"/>
      <c r="AP237" s="44"/>
      <c r="AQ237" s="44"/>
    </row>
    <row r="238" spans="1:43" ht="24">
      <c r="A238" s="18" t="s">
        <v>2264</v>
      </c>
      <c r="B238" s="45" t="s">
        <v>1413</v>
      </c>
      <c r="C238" s="31"/>
      <c r="D238" s="22"/>
      <c r="E238" s="19" t="s">
        <v>1177</v>
      </c>
      <c r="F238" s="31" t="s">
        <v>1669</v>
      </c>
      <c r="G238" s="74" t="s">
        <v>1656</v>
      </c>
      <c r="H238" s="57"/>
      <c r="I238" s="57"/>
      <c r="J238" s="57"/>
      <c r="K238" s="57"/>
      <c r="L238" s="57"/>
      <c r="M238" s="31"/>
      <c r="N238" s="31"/>
      <c r="O238" s="31"/>
      <c r="P238" s="31"/>
      <c r="Q238" s="31"/>
      <c r="R238" s="22"/>
      <c r="S238" s="29"/>
      <c r="T238" s="31"/>
      <c r="U238" s="31"/>
      <c r="V238" s="31"/>
      <c r="W238" s="31"/>
      <c r="X238" s="31"/>
      <c r="Y238" s="31"/>
      <c r="Z238" s="31"/>
      <c r="AA238" s="31"/>
      <c r="AB238" s="31"/>
      <c r="AC238" s="31"/>
      <c r="AD238" s="31"/>
      <c r="AE238" s="31"/>
      <c r="AF238" s="31"/>
      <c r="AG238" s="31"/>
      <c r="AH238" s="31"/>
      <c r="AI238" s="42"/>
      <c r="AJ238" s="42"/>
      <c r="AK238" s="42"/>
      <c r="AL238" s="31"/>
      <c r="AM238" s="31"/>
      <c r="AN238" s="43"/>
      <c r="AO238" s="31"/>
      <c r="AP238" s="44"/>
      <c r="AQ238" s="44"/>
    </row>
    <row r="239" spans="1:43" ht="36">
      <c r="A239" s="18" t="s">
        <v>2265</v>
      </c>
      <c r="B239" s="45" t="s">
        <v>1414</v>
      </c>
      <c r="C239" s="31"/>
      <c r="D239" s="22"/>
      <c r="E239" s="19" t="s">
        <v>1177</v>
      </c>
      <c r="F239" s="31" t="s">
        <v>1669</v>
      </c>
      <c r="G239" s="74" t="s">
        <v>1657</v>
      </c>
      <c r="H239" s="57"/>
      <c r="I239" s="57"/>
      <c r="J239" s="57"/>
      <c r="K239" s="57"/>
      <c r="L239" s="57"/>
      <c r="M239" s="31"/>
      <c r="N239" s="31"/>
      <c r="O239" s="31"/>
      <c r="P239" s="31"/>
      <c r="Q239" s="31"/>
      <c r="R239" s="22"/>
      <c r="S239" s="29"/>
      <c r="T239" s="31"/>
      <c r="U239" s="31"/>
      <c r="V239" s="31"/>
      <c r="W239" s="31"/>
      <c r="X239" s="31"/>
      <c r="Y239" s="31"/>
      <c r="Z239" s="31"/>
      <c r="AA239" s="31"/>
      <c r="AB239" s="31"/>
      <c r="AC239" s="31"/>
      <c r="AD239" s="31"/>
      <c r="AE239" s="31"/>
      <c r="AF239" s="31"/>
      <c r="AG239" s="31"/>
      <c r="AH239" s="31"/>
      <c r="AI239" s="42"/>
      <c r="AJ239" s="42"/>
      <c r="AK239" s="42"/>
      <c r="AL239" s="31"/>
      <c r="AM239" s="31"/>
      <c r="AN239" s="43"/>
      <c r="AO239" s="31"/>
      <c r="AP239" s="44"/>
      <c r="AQ239" s="44"/>
    </row>
    <row r="240" spans="1:43" ht="24">
      <c r="A240" s="18" t="s">
        <v>2266</v>
      </c>
      <c r="B240" s="45" t="s">
        <v>1415</v>
      </c>
      <c r="C240" s="31"/>
      <c r="D240" s="22"/>
      <c r="E240" s="19" t="s">
        <v>1177</v>
      </c>
      <c r="F240" s="31" t="s">
        <v>1669</v>
      </c>
      <c r="G240" s="74" t="s">
        <v>1658</v>
      </c>
      <c r="H240" s="57"/>
      <c r="I240" s="57"/>
      <c r="J240" s="57"/>
      <c r="K240" s="57"/>
      <c r="L240" s="57"/>
      <c r="M240" s="31"/>
      <c r="N240" s="31"/>
      <c r="O240" s="31"/>
      <c r="P240" s="31"/>
      <c r="Q240" s="31"/>
      <c r="R240" s="22"/>
      <c r="S240" s="29"/>
      <c r="T240" s="31"/>
      <c r="U240" s="31"/>
      <c r="V240" s="31"/>
      <c r="W240" s="31"/>
      <c r="X240" s="31"/>
      <c r="Y240" s="31"/>
      <c r="Z240" s="31"/>
      <c r="AA240" s="31"/>
      <c r="AB240" s="31"/>
      <c r="AC240" s="31"/>
      <c r="AD240" s="31"/>
      <c r="AE240" s="31"/>
      <c r="AF240" s="31"/>
      <c r="AG240" s="31"/>
      <c r="AH240" s="31"/>
      <c r="AI240" s="42"/>
      <c r="AJ240" s="42"/>
      <c r="AK240" s="42"/>
      <c r="AL240" s="31"/>
      <c r="AM240" s="31"/>
      <c r="AN240" s="43"/>
      <c r="AO240" s="31"/>
      <c r="AP240" s="44"/>
      <c r="AQ240" s="44"/>
    </row>
    <row r="241" spans="1:43">
      <c r="A241" s="18" t="s">
        <v>2267</v>
      </c>
      <c r="B241" s="45" t="s">
        <v>1416</v>
      </c>
      <c r="C241" s="31"/>
      <c r="D241" s="22"/>
      <c r="E241" s="19" t="s">
        <v>1177</v>
      </c>
      <c r="F241" s="31" t="s">
        <v>1669</v>
      </c>
      <c r="G241" s="74" t="s">
        <v>1659</v>
      </c>
      <c r="H241" s="57"/>
      <c r="I241" s="57"/>
      <c r="J241" s="57"/>
      <c r="K241" s="57"/>
      <c r="L241" s="57"/>
      <c r="M241" s="31"/>
      <c r="N241" s="31"/>
      <c r="O241" s="31"/>
      <c r="P241" s="31"/>
      <c r="Q241" s="31"/>
      <c r="R241" s="22"/>
      <c r="S241" s="29"/>
      <c r="T241" s="31"/>
      <c r="U241" s="31"/>
      <c r="V241" s="31"/>
      <c r="W241" s="31"/>
      <c r="X241" s="31"/>
      <c r="Y241" s="31"/>
      <c r="Z241" s="31"/>
      <c r="AA241" s="31"/>
      <c r="AB241" s="31"/>
      <c r="AC241" s="31"/>
      <c r="AD241" s="31"/>
      <c r="AE241" s="31"/>
      <c r="AF241" s="31"/>
      <c r="AG241" s="31"/>
      <c r="AH241" s="31"/>
      <c r="AI241" s="42"/>
      <c r="AJ241" s="42"/>
      <c r="AK241" s="42"/>
      <c r="AL241" s="31"/>
      <c r="AM241" s="31"/>
      <c r="AN241" s="43"/>
      <c r="AO241" s="31"/>
      <c r="AP241" s="44"/>
      <c r="AQ241" s="44"/>
    </row>
    <row r="242" spans="1:43">
      <c r="A242" s="18" t="s">
        <v>2268</v>
      </c>
      <c r="B242" s="45" t="s">
        <v>1417</v>
      </c>
      <c r="C242" s="31"/>
      <c r="D242" s="22"/>
      <c r="E242" s="19" t="s">
        <v>1177</v>
      </c>
      <c r="F242" s="31" t="s">
        <v>1669</v>
      </c>
      <c r="G242" s="74" t="s">
        <v>1660</v>
      </c>
      <c r="H242" s="57"/>
      <c r="I242" s="57"/>
      <c r="J242" s="57"/>
      <c r="K242" s="57"/>
      <c r="L242" s="57"/>
      <c r="M242" s="31"/>
      <c r="N242" s="31"/>
      <c r="O242" s="31"/>
      <c r="P242" s="31"/>
      <c r="Q242" s="31"/>
      <c r="R242" s="22"/>
      <c r="S242" s="29"/>
      <c r="T242" s="31"/>
      <c r="U242" s="31"/>
      <c r="V242" s="31"/>
      <c r="W242" s="31"/>
      <c r="X242" s="31"/>
      <c r="Y242" s="31"/>
      <c r="Z242" s="31"/>
      <c r="AA242" s="31"/>
      <c r="AB242" s="31"/>
      <c r="AC242" s="31"/>
      <c r="AD242" s="31"/>
      <c r="AE242" s="31"/>
      <c r="AF242" s="31"/>
      <c r="AG242" s="31"/>
      <c r="AH242" s="31"/>
      <c r="AI242" s="42"/>
      <c r="AJ242" s="42"/>
      <c r="AK242" s="42"/>
      <c r="AL242" s="31"/>
      <c r="AM242" s="31"/>
      <c r="AN242" s="43"/>
      <c r="AO242" s="31"/>
      <c r="AP242" s="44"/>
      <c r="AQ242" s="44"/>
    </row>
    <row r="243" spans="1:43" ht="24">
      <c r="A243" s="18" t="s">
        <v>2269</v>
      </c>
      <c r="B243" s="45" t="s">
        <v>1418</v>
      </c>
      <c r="C243" s="31"/>
      <c r="D243" s="22"/>
      <c r="E243" s="19" t="s">
        <v>1177</v>
      </c>
      <c r="F243" s="31" t="s">
        <v>1669</v>
      </c>
      <c r="G243" s="74" t="s">
        <v>1661</v>
      </c>
      <c r="H243" s="57"/>
      <c r="I243" s="57"/>
      <c r="J243" s="57"/>
      <c r="K243" s="57"/>
      <c r="L243" s="57"/>
      <c r="M243" s="31"/>
      <c r="N243" s="31"/>
      <c r="O243" s="31"/>
      <c r="P243" s="31"/>
      <c r="Q243" s="31"/>
      <c r="R243" s="22"/>
      <c r="S243" s="29"/>
      <c r="T243" s="31"/>
      <c r="U243" s="31"/>
      <c r="V243" s="31"/>
      <c r="W243" s="31"/>
      <c r="X243" s="31"/>
      <c r="Y243" s="31"/>
      <c r="Z243" s="31"/>
      <c r="AA243" s="31"/>
      <c r="AB243" s="31"/>
      <c r="AC243" s="31"/>
      <c r="AD243" s="31"/>
      <c r="AE243" s="31"/>
      <c r="AF243" s="31"/>
      <c r="AG243" s="31"/>
      <c r="AH243" s="31"/>
      <c r="AI243" s="42"/>
      <c r="AJ243" s="42"/>
      <c r="AK243" s="42"/>
      <c r="AL243" s="31"/>
      <c r="AM243" s="31"/>
      <c r="AN243" s="43"/>
      <c r="AO243" s="31"/>
      <c r="AP243" s="44"/>
      <c r="AQ243" s="44"/>
    </row>
    <row r="244" spans="1:43" ht="24">
      <c r="A244" s="18" t="s">
        <v>2270</v>
      </c>
      <c r="B244" s="45" t="s">
        <v>1419</v>
      </c>
      <c r="C244" s="31"/>
      <c r="D244" s="22"/>
      <c r="E244" s="19" t="s">
        <v>1177</v>
      </c>
      <c r="F244" s="31" t="s">
        <v>1669</v>
      </c>
      <c r="G244" s="74" t="s">
        <v>1662</v>
      </c>
      <c r="H244" s="57"/>
      <c r="I244" s="57"/>
      <c r="J244" s="57"/>
      <c r="K244" s="57"/>
      <c r="L244" s="57"/>
      <c r="M244" s="31"/>
      <c r="N244" s="31"/>
      <c r="O244" s="31"/>
      <c r="P244" s="31"/>
      <c r="Q244" s="31"/>
      <c r="R244" s="22"/>
      <c r="S244" s="29"/>
      <c r="T244" s="31"/>
      <c r="U244" s="31"/>
      <c r="V244" s="31"/>
      <c r="W244" s="31"/>
      <c r="X244" s="31"/>
      <c r="Y244" s="31"/>
      <c r="Z244" s="31"/>
      <c r="AA244" s="31"/>
      <c r="AB244" s="31"/>
      <c r="AC244" s="31"/>
      <c r="AD244" s="31"/>
      <c r="AE244" s="31"/>
      <c r="AF244" s="31"/>
      <c r="AG244" s="31"/>
      <c r="AH244" s="31"/>
      <c r="AI244" s="42"/>
      <c r="AJ244" s="42"/>
      <c r="AK244" s="42"/>
      <c r="AL244" s="31"/>
      <c r="AM244" s="31"/>
      <c r="AN244" s="43"/>
      <c r="AO244" s="31"/>
      <c r="AP244" s="44"/>
      <c r="AQ244" s="44"/>
    </row>
    <row r="245" spans="1:43" ht="24">
      <c r="A245" s="18" t="s">
        <v>2271</v>
      </c>
      <c r="B245" s="45" t="s">
        <v>1420</v>
      </c>
      <c r="C245" s="31"/>
      <c r="D245" s="22"/>
      <c r="E245" s="19" t="s">
        <v>1177</v>
      </c>
      <c r="F245" s="31" t="s">
        <v>1669</v>
      </c>
      <c r="G245" s="74" t="s">
        <v>1663</v>
      </c>
      <c r="H245" s="57"/>
      <c r="I245" s="57"/>
      <c r="J245" s="57"/>
      <c r="K245" s="57"/>
      <c r="L245" s="57"/>
      <c r="M245" s="31"/>
      <c r="N245" s="31"/>
      <c r="O245" s="31"/>
      <c r="P245" s="31"/>
      <c r="Q245" s="31"/>
      <c r="R245" s="22"/>
      <c r="S245" s="29"/>
      <c r="T245" s="31"/>
      <c r="U245" s="31"/>
      <c r="V245" s="31"/>
      <c r="W245" s="31"/>
      <c r="X245" s="31"/>
      <c r="Y245" s="31"/>
      <c r="Z245" s="31"/>
      <c r="AA245" s="31"/>
      <c r="AB245" s="31"/>
      <c r="AC245" s="31"/>
      <c r="AD245" s="31"/>
      <c r="AE245" s="31"/>
      <c r="AF245" s="31"/>
      <c r="AG245" s="31"/>
      <c r="AH245" s="31"/>
      <c r="AI245" s="42"/>
      <c r="AJ245" s="42"/>
      <c r="AK245" s="42"/>
      <c r="AL245" s="31"/>
      <c r="AM245" s="31"/>
      <c r="AN245" s="43"/>
      <c r="AO245" s="31"/>
      <c r="AP245" s="44"/>
      <c r="AQ245" s="44"/>
    </row>
    <row r="246" spans="1:43" ht="60">
      <c r="A246" s="18" t="s">
        <v>2019</v>
      </c>
      <c r="B246" s="45" t="s">
        <v>2020</v>
      </c>
      <c r="C246" s="31" t="s">
        <v>239</v>
      </c>
      <c r="D246" s="22"/>
      <c r="E246" s="19" t="s">
        <v>1172</v>
      </c>
      <c r="F246" s="31" t="s">
        <v>1166</v>
      </c>
      <c r="G246" s="79" t="s">
        <v>2021</v>
      </c>
      <c r="H246" s="57"/>
      <c r="I246" s="57"/>
      <c r="J246" s="57"/>
      <c r="K246" s="57"/>
      <c r="L246" s="57"/>
      <c r="M246" s="31" t="s">
        <v>2026</v>
      </c>
      <c r="N246" s="31"/>
      <c r="O246" s="31" t="s">
        <v>1670</v>
      </c>
      <c r="P246" s="31"/>
      <c r="Q246" s="31"/>
      <c r="R246" s="22"/>
      <c r="S246" s="29"/>
      <c r="T246" s="31"/>
      <c r="U246" s="31"/>
      <c r="V246" s="31"/>
      <c r="W246" s="31"/>
      <c r="X246" s="100" t="s">
        <v>2027</v>
      </c>
      <c r="Y246" s="31" t="s">
        <v>2023</v>
      </c>
      <c r="Z246" s="96" t="s">
        <v>2024</v>
      </c>
      <c r="AA246" s="31" t="s">
        <v>2025</v>
      </c>
      <c r="AB246" s="31"/>
      <c r="AC246" s="31"/>
      <c r="AD246" s="31"/>
      <c r="AE246" s="31"/>
      <c r="AF246" s="31"/>
      <c r="AG246" s="31"/>
      <c r="AH246" s="31"/>
      <c r="AI246" s="42"/>
      <c r="AJ246" s="42"/>
      <c r="AK246" s="42"/>
      <c r="AL246" s="31"/>
      <c r="AM246" s="31"/>
      <c r="AN246" s="43"/>
      <c r="AO246" s="31"/>
      <c r="AP246" s="97" t="s">
        <v>2022</v>
      </c>
      <c r="AQ246" s="44"/>
    </row>
    <row r="247" spans="1:43">
      <c r="A247" s="18"/>
      <c r="B247" s="45"/>
      <c r="C247" s="31"/>
      <c r="D247" s="22"/>
      <c r="E247" s="19"/>
      <c r="F247" s="31"/>
      <c r="G247" s="74"/>
      <c r="H247" s="57"/>
      <c r="I247" s="57"/>
      <c r="J247" s="57"/>
      <c r="K247" s="57"/>
      <c r="L247" s="57"/>
      <c r="M247" s="31"/>
      <c r="N247" s="31"/>
      <c r="O247" s="31"/>
      <c r="P247" s="31"/>
      <c r="Q247" s="31"/>
      <c r="R247" s="22"/>
      <c r="S247" s="29"/>
      <c r="T247" s="31"/>
      <c r="U247" s="31"/>
      <c r="V247" s="31"/>
      <c r="W247" s="31"/>
      <c r="X247" s="31"/>
      <c r="Y247" s="31"/>
      <c r="Z247" s="31"/>
      <c r="AA247" s="31"/>
      <c r="AB247" s="31"/>
      <c r="AC247" s="31"/>
      <c r="AD247" s="31"/>
      <c r="AE247" s="31"/>
      <c r="AF247" s="31"/>
      <c r="AG247" s="31"/>
      <c r="AH247" s="31"/>
      <c r="AI247" s="42"/>
      <c r="AJ247" s="42"/>
      <c r="AK247" s="42"/>
      <c r="AL247" s="31"/>
      <c r="AM247" s="31"/>
      <c r="AN247" s="43"/>
      <c r="AO247" s="31"/>
      <c r="AP247" s="44"/>
      <c r="AQ247" s="44"/>
    </row>
    <row r="248" spans="1:43">
      <c r="A248" s="18"/>
      <c r="B248" s="45"/>
      <c r="C248" s="31"/>
      <c r="D248" s="22"/>
      <c r="E248" s="19"/>
      <c r="F248" s="31"/>
      <c r="G248" s="74"/>
      <c r="H248" s="57"/>
      <c r="I248" s="57"/>
      <c r="J248" s="57"/>
      <c r="K248" s="57"/>
      <c r="L248" s="57"/>
      <c r="M248" s="31"/>
      <c r="N248" s="31"/>
      <c r="O248" s="31"/>
      <c r="P248" s="31"/>
      <c r="Q248" s="31"/>
      <c r="R248" s="22"/>
      <c r="S248" s="29"/>
      <c r="T248" s="31"/>
      <c r="U248" s="31"/>
      <c r="V248" s="31"/>
      <c r="W248" s="31"/>
      <c r="X248" s="31"/>
      <c r="Y248" s="31"/>
      <c r="Z248" s="31"/>
      <c r="AA248" s="31"/>
      <c r="AB248" s="31"/>
      <c r="AC248" s="31"/>
      <c r="AD248" s="31"/>
      <c r="AE248" s="31"/>
      <c r="AF248" s="31"/>
      <c r="AG248" s="31"/>
      <c r="AH248" s="31"/>
      <c r="AI248" s="42"/>
      <c r="AJ248" s="42"/>
      <c r="AK248" s="42"/>
      <c r="AL248" s="31"/>
      <c r="AM248" s="31"/>
      <c r="AN248" s="43"/>
      <c r="AO248" s="31"/>
      <c r="AP248" s="44"/>
      <c r="AQ248" s="44"/>
    </row>
    <row r="249" spans="1:43">
      <c r="A249" s="18"/>
      <c r="B249" s="45"/>
      <c r="C249" s="31"/>
      <c r="D249" s="22"/>
      <c r="E249" s="19"/>
      <c r="F249" s="31"/>
      <c r="G249" s="74"/>
      <c r="H249" s="57"/>
      <c r="I249" s="57"/>
      <c r="J249" s="57"/>
      <c r="K249" s="57"/>
      <c r="L249" s="57"/>
      <c r="M249" s="31"/>
      <c r="N249" s="31"/>
      <c r="O249" s="31"/>
      <c r="P249" s="31"/>
      <c r="Q249" s="31"/>
      <c r="R249" s="22"/>
      <c r="S249" s="29"/>
      <c r="T249" s="31"/>
      <c r="U249" s="31"/>
      <c r="V249" s="31"/>
      <c r="W249" s="31"/>
      <c r="X249" s="31"/>
      <c r="Y249" s="31"/>
      <c r="Z249" s="31"/>
      <c r="AA249" s="31"/>
      <c r="AB249" s="31"/>
      <c r="AC249" s="31"/>
      <c r="AD249" s="31"/>
      <c r="AE249" s="31"/>
      <c r="AF249" s="31"/>
      <c r="AG249" s="31"/>
      <c r="AH249" s="31"/>
      <c r="AI249" s="42"/>
      <c r="AJ249" s="42"/>
      <c r="AK249" s="42"/>
      <c r="AL249" s="31"/>
      <c r="AM249" s="31"/>
      <c r="AN249" s="43"/>
      <c r="AO249" s="31"/>
      <c r="AP249" s="44"/>
      <c r="AQ249" s="44"/>
    </row>
    <row r="250" spans="1:43">
      <c r="A250" s="18"/>
      <c r="B250" s="45"/>
      <c r="C250" s="31"/>
      <c r="D250" s="22"/>
      <c r="E250" s="19"/>
      <c r="F250" s="31"/>
      <c r="G250" s="74"/>
      <c r="H250" s="57"/>
      <c r="I250" s="57"/>
      <c r="J250" s="57"/>
      <c r="K250" s="57"/>
      <c r="L250" s="57"/>
      <c r="M250" s="31"/>
      <c r="N250" s="31"/>
      <c r="O250" s="31"/>
      <c r="P250" s="31"/>
      <c r="Q250" s="31"/>
      <c r="R250" s="22"/>
      <c r="S250" s="29"/>
      <c r="T250" s="31"/>
      <c r="U250" s="31"/>
      <c r="V250" s="31"/>
      <c r="W250" s="31"/>
      <c r="X250" s="31"/>
      <c r="Y250" s="31"/>
      <c r="Z250" s="31"/>
      <c r="AA250" s="31"/>
      <c r="AB250" s="31"/>
      <c r="AC250" s="31"/>
      <c r="AD250" s="31"/>
      <c r="AE250" s="31"/>
      <c r="AF250" s="31"/>
      <c r="AG250" s="31"/>
      <c r="AH250" s="31"/>
      <c r="AI250" s="42"/>
      <c r="AJ250" s="42"/>
      <c r="AK250" s="42"/>
      <c r="AL250" s="31"/>
      <c r="AM250" s="31"/>
      <c r="AN250" s="43"/>
      <c r="AO250" s="31"/>
      <c r="AP250" s="44"/>
      <c r="AQ250" s="44"/>
    </row>
    <row r="251" spans="1:43">
      <c r="A251" s="18"/>
      <c r="B251" s="45"/>
      <c r="C251" s="31"/>
      <c r="D251" s="22"/>
      <c r="E251" s="19"/>
      <c r="F251" s="31"/>
      <c r="G251" s="74"/>
      <c r="H251" s="57"/>
      <c r="I251" s="57"/>
      <c r="J251" s="57"/>
      <c r="K251" s="57"/>
      <c r="L251" s="57"/>
      <c r="M251" s="31"/>
      <c r="N251" s="31"/>
      <c r="O251" s="31"/>
      <c r="P251" s="31"/>
      <c r="Q251" s="31"/>
      <c r="R251" s="22"/>
      <c r="S251" s="29"/>
      <c r="T251" s="31"/>
      <c r="U251" s="31"/>
      <c r="V251" s="31"/>
      <c r="W251" s="31"/>
      <c r="X251" s="31"/>
      <c r="Y251" s="31"/>
      <c r="Z251" s="31"/>
      <c r="AA251" s="31"/>
      <c r="AB251" s="31"/>
      <c r="AC251" s="31"/>
      <c r="AD251" s="31"/>
      <c r="AE251" s="31"/>
      <c r="AF251" s="31"/>
      <c r="AG251" s="31"/>
      <c r="AH251" s="31"/>
      <c r="AI251" s="42"/>
      <c r="AJ251" s="42"/>
      <c r="AK251" s="42"/>
      <c r="AL251" s="31"/>
      <c r="AM251" s="31"/>
      <c r="AN251" s="43"/>
      <c r="AO251" s="31"/>
      <c r="AP251" s="44"/>
      <c r="AQ251" s="44"/>
    </row>
    <row r="252" spans="1:43">
      <c r="A252" s="18"/>
      <c r="B252" s="45"/>
      <c r="C252" s="31"/>
      <c r="D252" s="22"/>
      <c r="E252" s="19"/>
      <c r="F252" s="31"/>
      <c r="G252" s="74"/>
      <c r="H252" s="57"/>
      <c r="I252" s="57"/>
      <c r="J252" s="57"/>
      <c r="K252" s="57"/>
      <c r="L252" s="57"/>
      <c r="M252" s="31"/>
      <c r="N252" s="31"/>
      <c r="O252" s="31"/>
      <c r="P252" s="31"/>
      <c r="Q252" s="31"/>
      <c r="R252" s="22"/>
      <c r="S252" s="29"/>
      <c r="T252" s="31"/>
      <c r="U252" s="31"/>
      <c r="V252" s="31"/>
      <c r="W252" s="31"/>
      <c r="X252" s="31"/>
      <c r="Y252" s="31"/>
      <c r="Z252" s="31"/>
      <c r="AA252" s="31"/>
      <c r="AB252" s="31"/>
      <c r="AC252" s="31"/>
      <c r="AD252" s="31"/>
      <c r="AE252" s="31"/>
      <c r="AF252" s="31"/>
      <c r="AG252" s="31"/>
      <c r="AH252" s="31"/>
      <c r="AI252" s="42"/>
      <c r="AJ252" s="42"/>
      <c r="AK252" s="42"/>
      <c r="AL252" s="31"/>
      <c r="AM252" s="31"/>
      <c r="AN252" s="43"/>
      <c r="AO252" s="31"/>
      <c r="AP252" s="44"/>
      <c r="AQ252" s="44"/>
    </row>
    <row r="253" spans="1:43">
      <c r="A253" s="18"/>
      <c r="B253" s="45"/>
      <c r="C253" s="31"/>
      <c r="D253" s="22"/>
      <c r="E253" s="19"/>
      <c r="F253" s="31"/>
      <c r="G253" s="74"/>
      <c r="H253" s="57"/>
      <c r="I253" s="57"/>
      <c r="J253" s="57"/>
      <c r="K253" s="57"/>
      <c r="L253" s="57"/>
      <c r="M253" s="31"/>
      <c r="N253" s="31"/>
      <c r="O253" s="31"/>
      <c r="P253" s="31"/>
      <c r="Q253" s="31"/>
      <c r="R253" s="22"/>
      <c r="S253" s="29"/>
      <c r="T253" s="31"/>
      <c r="U253" s="31"/>
      <c r="V253" s="31"/>
      <c r="W253" s="31"/>
      <c r="X253" s="31"/>
      <c r="Y253" s="31"/>
      <c r="Z253" s="31"/>
      <c r="AA253" s="31"/>
      <c r="AB253" s="31"/>
      <c r="AC253" s="31"/>
      <c r="AD253" s="31"/>
      <c r="AE253" s="31"/>
      <c r="AF253" s="31"/>
      <c r="AG253" s="31"/>
      <c r="AH253" s="31"/>
      <c r="AI253" s="42"/>
      <c r="AJ253" s="42"/>
      <c r="AK253" s="42"/>
      <c r="AL253" s="31"/>
      <c r="AM253" s="31"/>
      <c r="AN253" s="43"/>
      <c r="AO253" s="31"/>
      <c r="AP253" s="44"/>
      <c r="AQ253" s="44"/>
    </row>
    <row r="254" spans="1:43">
      <c r="A254" s="18"/>
      <c r="B254" s="45"/>
      <c r="C254" s="31"/>
      <c r="D254" s="22"/>
      <c r="E254" s="19"/>
      <c r="F254" s="31"/>
      <c r="G254" s="74"/>
      <c r="H254" s="57"/>
      <c r="I254" s="57"/>
      <c r="J254" s="57"/>
      <c r="K254" s="57"/>
      <c r="L254" s="57"/>
      <c r="M254" s="31"/>
      <c r="N254" s="31"/>
      <c r="O254" s="31"/>
      <c r="P254" s="31"/>
      <c r="Q254" s="31"/>
      <c r="R254" s="22"/>
      <c r="S254" s="29"/>
      <c r="T254" s="31"/>
      <c r="U254" s="31"/>
      <c r="V254" s="31"/>
      <c r="W254" s="31"/>
      <c r="X254" s="31"/>
      <c r="Y254" s="31"/>
      <c r="Z254" s="31"/>
      <c r="AA254" s="31"/>
      <c r="AB254" s="31"/>
      <c r="AC254" s="31"/>
      <c r="AD254" s="31"/>
      <c r="AE254" s="31"/>
      <c r="AF254" s="31"/>
      <c r="AG254" s="31"/>
      <c r="AH254" s="31"/>
      <c r="AI254" s="42"/>
      <c r="AJ254" s="42"/>
      <c r="AK254" s="42"/>
      <c r="AL254" s="31"/>
      <c r="AM254" s="31"/>
      <c r="AN254" s="43"/>
      <c r="AO254" s="31"/>
      <c r="AP254" s="44"/>
      <c r="AQ254" s="44"/>
    </row>
    <row r="255" spans="1:43">
      <c r="A255" s="18"/>
      <c r="B255" s="45"/>
      <c r="C255" s="31"/>
      <c r="D255" s="22"/>
      <c r="E255" s="19"/>
      <c r="F255" s="31"/>
      <c r="G255" s="74"/>
      <c r="H255" s="57"/>
      <c r="I255" s="57"/>
      <c r="J255" s="57"/>
      <c r="K255" s="57"/>
      <c r="L255" s="57"/>
      <c r="M255" s="31"/>
      <c r="N255" s="31"/>
      <c r="O255" s="31"/>
      <c r="P255" s="31"/>
      <c r="Q255" s="31"/>
      <c r="R255" s="22"/>
      <c r="S255" s="29"/>
      <c r="T255" s="31"/>
      <c r="U255" s="31"/>
      <c r="V255" s="31"/>
      <c r="W255" s="31"/>
      <c r="X255" s="31"/>
      <c r="Y255" s="31"/>
      <c r="Z255" s="31"/>
      <c r="AA255" s="31"/>
      <c r="AB255" s="31"/>
      <c r="AC255" s="31"/>
      <c r="AD255" s="31"/>
      <c r="AE255" s="31"/>
      <c r="AF255" s="31"/>
      <c r="AG255" s="31"/>
      <c r="AH255" s="31"/>
      <c r="AI255" s="42"/>
      <c r="AJ255" s="42"/>
      <c r="AK255" s="42"/>
      <c r="AL255" s="31"/>
      <c r="AM255" s="31"/>
      <c r="AN255" s="43"/>
      <c r="AO255" s="31"/>
      <c r="AP255" s="44"/>
      <c r="AQ255" s="44"/>
    </row>
    <row r="256" spans="1:43">
      <c r="A256" s="18"/>
      <c r="B256" s="45"/>
      <c r="C256" s="31"/>
      <c r="D256" s="22"/>
      <c r="E256" s="19"/>
      <c r="F256" s="31"/>
      <c r="G256" s="74"/>
      <c r="H256" s="57"/>
      <c r="I256" s="57"/>
      <c r="J256" s="57"/>
      <c r="K256" s="57"/>
      <c r="L256" s="57"/>
      <c r="M256" s="31"/>
      <c r="N256" s="31"/>
      <c r="O256" s="31"/>
      <c r="P256" s="31"/>
      <c r="Q256" s="31"/>
      <c r="R256" s="22"/>
      <c r="S256" s="29"/>
      <c r="T256" s="31"/>
      <c r="U256" s="31"/>
      <c r="V256" s="31"/>
      <c r="W256" s="31"/>
      <c r="X256" s="31"/>
      <c r="Y256" s="31"/>
      <c r="Z256" s="31"/>
      <c r="AA256" s="31"/>
      <c r="AB256" s="31"/>
      <c r="AC256" s="31"/>
      <c r="AD256" s="31"/>
      <c r="AE256" s="31"/>
      <c r="AF256" s="31"/>
      <c r="AG256" s="31"/>
      <c r="AH256" s="31"/>
      <c r="AI256" s="42"/>
      <c r="AJ256" s="42"/>
      <c r="AK256" s="42"/>
      <c r="AL256" s="31"/>
      <c r="AM256" s="31"/>
      <c r="AN256" s="43"/>
      <c r="AO256" s="31"/>
      <c r="AP256" s="44"/>
      <c r="AQ256" s="44"/>
    </row>
    <row r="257" spans="1:43">
      <c r="A257" s="18"/>
      <c r="B257" s="45"/>
      <c r="C257" s="31"/>
      <c r="D257" s="22"/>
      <c r="E257" s="19"/>
      <c r="F257" s="31"/>
      <c r="G257" s="74"/>
      <c r="H257" s="57"/>
      <c r="I257" s="57"/>
      <c r="J257" s="57"/>
      <c r="K257" s="57"/>
      <c r="L257" s="57"/>
      <c r="M257" s="31"/>
      <c r="N257" s="31"/>
      <c r="O257" s="31"/>
      <c r="P257" s="31"/>
      <c r="Q257" s="31"/>
      <c r="R257" s="22"/>
      <c r="S257" s="29"/>
      <c r="T257" s="31"/>
      <c r="U257" s="31"/>
      <c r="V257" s="31"/>
      <c r="W257" s="31"/>
      <c r="X257" s="31"/>
      <c r="Y257" s="31"/>
      <c r="Z257" s="31"/>
      <c r="AA257" s="31"/>
      <c r="AB257" s="31"/>
      <c r="AC257" s="31"/>
      <c r="AD257" s="31"/>
      <c r="AE257" s="31"/>
      <c r="AF257" s="31"/>
      <c r="AG257" s="31"/>
      <c r="AH257" s="31"/>
      <c r="AI257" s="42"/>
      <c r="AJ257" s="42"/>
      <c r="AK257" s="42"/>
      <c r="AL257" s="31"/>
      <c r="AM257" s="31"/>
      <c r="AN257" s="43"/>
      <c r="AO257" s="31"/>
      <c r="AP257" s="44"/>
      <c r="AQ257" s="44"/>
    </row>
    <row r="258" spans="1:43">
      <c r="A258" s="18"/>
      <c r="B258" s="45"/>
      <c r="C258" s="31"/>
      <c r="D258" s="22"/>
      <c r="E258" s="19"/>
      <c r="F258" s="31"/>
      <c r="G258" s="74"/>
      <c r="H258" s="57"/>
      <c r="I258" s="57"/>
      <c r="J258" s="57"/>
      <c r="K258" s="57"/>
      <c r="L258" s="57"/>
      <c r="M258" s="31"/>
      <c r="N258" s="31"/>
      <c r="O258" s="31"/>
      <c r="P258" s="31"/>
      <c r="Q258" s="31"/>
      <c r="R258" s="22"/>
      <c r="S258" s="29"/>
      <c r="T258" s="31"/>
      <c r="U258" s="31"/>
      <c r="V258" s="31"/>
      <c r="W258" s="31"/>
      <c r="X258" s="31"/>
      <c r="Y258" s="31"/>
      <c r="Z258" s="31"/>
      <c r="AA258" s="31"/>
      <c r="AB258" s="31"/>
      <c r="AC258" s="31"/>
      <c r="AD258" s="31"/>
      <c r="AE258" s="31"/>
      <c r="AF258" s="31"/>
      <c r="AG258" s="31"/>
      <c r="AH258" s="31"/>
      <c r="AI258" s="42"/>
      <c r="AJ258" s="42"/>
      <c r="AK258" s="42"/>
      <c r="AL258" s="31"/>
      <c r="AM258" s="31"/>
      <c r="AN258" s="43"/>
      <c r="AO258" s="31"/>
      <c r="AP258" s="44"/>
      <c r="AQ258" s="44"/>
    </row>
    <row r="259" spans="1:43">
      <c r="A259" s="18"/>
      <c r="B259" s="45"/>
      <c r="C259" s="31"/>
      <c r="D259" s="22"/>
      <c r="E259" s="19"/>
      <c r="F259" s="31"/>
      <c r="G259" s="74"/>
      <c r="H259" s="57"/>
      <c r="I259" s="57"/>
      <c r="J259" s="57"/>
      <c r="K259" s="57"/>
      <c r="L259" s="57"/>
      <c r="M259" s="31"/>
      <c r="N259" s="31"/>
      <c r="O259" s="31"/>
      <c r="P259" s="31"/>
      <c r="Q259" s="31"/>
      <c r="R259" s="22"/>
      <c r="S259" s="29"/>
      <c r="T259" s="31"/>
      <c r="U259" s="31"/>
      <c r="V259" s="31"/>
      <c r="W259" s="31"/>
      <c r="X259" s="31"/>
      <c r="Y259" s="31"/>
      <c r="Z259" s="31"/>
      <c r="AA259" s="31"/>
      <c r="AB259" s="31"/>
      <c r="AC259" s="31"/>
      <c r="AD259" s="31"/>
      <c r="AE259" s="31"/>
      <c r="AF259" s="31"/>
      <c r="AG259" s="31"/>
      <c r="AH259" s="31"/>
      <c r="AI259" s="42"/>
      <c r="AJ259" s="42"/>
      <c r="AK259" s="42"/>
      <c r="AL259" s="31"/>
      <c r="AM259" s="31"/>
      <c r="AN259" s="43"/>
      <c r="AO259" s="31"/>
      <c r="AP259" s="44"/>
      <c r="AQ259" s="44"/>
    </row>
    <row r="260" spans="1:43">
      <c r="A260" s="18"/>
      <c r="B260" s="45"/>
      <c r="C260" s="31"/>
      <c r="D260" s="22"/>
      <c r="E260" s="19"/>
      <c r="F260" s="31"/>
      <c r="G260" s="74"/>
      <c r="H260" s="57"/>
      <c r="I260" s="57"/>
      <c r="J260" s="57"/>
      <c r="K260" s="57"/>
      <c r="L260" s="57"/>
      <c r="M260" s="31"/>
      <c r="N260" s="31"/>
      <c r="O260" s="31"/>
      <c r="P260" s="31"/>
      <c r="Q260" s="31"/>
      <c r="R260" s="22"/>
      <c r="S260" s="29"/>
      <c r="T260" s="31"/>
      <c r="U260" s="31"/>
      <c r="V260" s="31"/>
      <c r="W260" s="31"/>
      <c r="X260" s="31"/>
      <c r="Y260" s="31"/>
      <c r="Z260" s="31"/>
      <c r="AA260" s="31"/>
      <c r="AB260" s="31"/>
      <c r="AC260" s="31"/>
      <c r="AD260" s="31"/>
      <c r="AE260" s="31"/>
      <c r="AF260" s="31"/>
      <c r="AG260" s="31"/>
      <c r="AH260" s="31"/>
      <c r="AI260" s="42"/>
      <c r="AJ260" s="42"/>
      <c r="AK260" s="42"/>
      <c r="AL260" s="31"/>
      <c r="AM260" s="31"/>
      <c r="AN260" s="43"/>
      <c r="AO260" s="31"/>
      <c r="AP260" s="44"/>
      <c r="AQ260" s="44"/>
    </row>
    <row r="261" spans="1:43">
      <c r="A261" s="18"/>
      <c r="B261" s="45"/>
      <c r="C261" s="31"/>
      <c r="D261" s="22"/>
      <c r="E261" s="19"/>
      <c r="F261" s="31"/>
      <c r="G261" s="74"/>
      <c r="H261" s="57"/>
      <c r="I261" s="57"/>
      <c r="J261" s="57"/>
      <c r="K261" s="57"/>
      <c r="L261" s="57"/>
      <c r="M261" s="31"/>
      <c r="N261" s="31"/>
      <c r="O261" s="31"/>
      <c r="P261" s="31"/>
      <c r="Q261" s="31"/>
      <c r="R261" s="22"/>
      <c r="S261" s="29"/>
      <c r="T261" s="31"/>
      <c r="U261" s="31"/>
      <c r="V261" s="31"/>
      <c r="W261" s="31"/>
      <c r="X261" s="31"/>
      <c r="Y261" s="31"/>
      <c r="Z261" s="31"/>
      <c r="AA261" s="31"/>
      <c r="AB261" s="31"/>
      <c r="AC261" s="31"/>
      <c r="AD261" s="31"/>
      <c r="AE261" s="31"/>
      <c r="AF261" s="31"/>
      <c r="AG261" s="31"/>
      <c r="AH261" s="31"/>
      <c r="AI261" s="42"/>
      <c r="AJ261" s="42"/>
      <c r="AK261" s="42"/>
      <c r="AL261" s="31"/>
      <c r="AM261" s="31"/>
      <c r="AN261" s="43"/>
      <c r="AO261" s="31"/>
      <c r="AP261" s="44"/>
      <c r="AQ261" s="44"/>
    </row>
    <row r="262" spans="1:43">
      <c r="A262" s="18"/>
      <c r="B262" s="45"/>
      <c r="C262" s="31"/>
      <c r="D262" s="22"/>
      <c r="E262" s="19"/>
      <c r="F262" s="31"/>
      <c r="G262" s="74"/>
      <c r="H262" s="57"/>
      <c r="I262" s="57"/>
      <c r="J262" s="57"/>
      <c r="K262" s="57"/>
      <c r="L262" s="57"/>
      <c r="M262" s="31"/>
      <c r="N262" s="31"/>
      <c r="O262" s="31"/>
      <c r="P262" s="31"/>
      <c r="Q262" s="31"/>
      <c r="R262" s="22"/>
      <c r="S262" s="29"/>
      <c r="T262" s="31"/>
      <c r="U262" s="31"/>
      <c r="V262" s="31"/>
      <c r="W262" s="31"/>
      <c r="X262" s="31"/>
      <c r="Y262" s="31"/>
      <c r="Z262" s="31"/>
      <c r="AA262" s="31"/>
      <c r="AB262" s="31"/>
      <c r="AC262" s="31"/>
      <c r="AD262" s="31"/>
      <c r="AE262" s="31"/>
      <c r="AF262" s="31"/>
      <c r="AG262" s="31"/>
      <c r="AH262" s="31"/>
      <c r="AI262" s="42"/>
      <c r="AJ262" s="42"/>
      <c r="AK262" s="42"/>
      <c r="AL262" s="31"/>
      <c r="AM262" s="31"/>
      <c r="AN262" s="43"/>
      <c r="AO262" s="31"/>
      <c r="AP262" s="44"/>
      <c r="AQ262" s="44"/>
    </row>
    <row r="263" spans="1:43">
      <c r="A263" s="18"/>
      <c r="B263" s="45"/>
      <c r="C263" s="31"/>
      <c r="D263" s="22"/>
      <c r="E263" s="19"/>
      <c r="F263" s="31"/>
      <c r="G263" s="74"/>
      <c r="H263" s="57"/>
      <c r="I263" s="57"/>
      <c r="J263" s="57"/>
      <c r="K263" s="57"/>
      <c r="L263" s="57"/>
      <c r="M263" s="31"/>
      <c r="N263" s="31"/>
      <c r="O263" s="31"/>
      <c r="P263" s="31"/>
      <c r="Q263" s="31"/>
      <c r="R263" s="22"/>
      <c r="S263" s="29"/>
      <c r="T263" s="31"/>
      <c r="U263" s="31"/>
      <c r="V263" s="31"/>
      <c r="W263" s="31"/>
      <c r="X263" s="31"/>
      <c r="Y263" s="31"/>
      <c r="Z263" s="31"/>
      <c r="AA263" s="31"/>
      <c r="AB263" s="31"/>
      <c r="AC263" s="31"/>
      <c r="AD263" s="31"/>
      <c r="AE263" s="31"/>
      <c r="AF263" s="31"/>
      <c r="AG263" s="31"/>
      <c r="AH263" s="31"/>
      <c r="AI263" s="42"/>
      <c r="AJ263" s="42"/>
      <c r="AK263" s="42"/>
      <c r="AL263" s="31"/>
      <c r="AM263" s="31"/>
      <c r="AN263" s="43"/>
      <c r="AO263" s="31"/>
      <c r="AP263" s="44"/>
      <c r="AQ263" s="44"/>
    </row>
    <row r="264" spans="1:43">
      <c r="A264" s="18"/>
      <c r="B264" s="45"/>
      <c r="C264" s="31"/>
      <c r="D264" s="22"/>
      <c r="E264" s="19"/>
      <c r="F264" s="31"/>
      <c r="G264" s="74"/>
      <c r="H264" s="57"/>
      <c r="I264" s="57"/>
      <c r="J264" s="57"/>
      <c r="K264" s="57"/>
      <c r="L264" s="57"/>
      <c r="M264" s="31"/>
      <c r="N264" s="31"/>
      <c r="O264" s="31"/>
      <c r="P264" s="31"/>
      <c r="Q264" s="31"/>
      <c r="R264" s="22"/>
      <c r="S264" s="29"/>
      <c r="T264" s="31"/>
      <c r="U264" s="31"/>
      <c r="V264" s="31"/>
      <c r="W264" s="31"/>
      <c r="X264" s="31"/>
      <c r="Y264" s="31"/>
      <c r="Z264" s="31"/>
      <c r="AA264" s="31"/>
      <c r="AB264" s="31"/>
      <c r="AC264" s="31"/>
      <c r="AD264" s="31"/>
      <c r="AE264" s="31"/>
      <c r="AF264" s="31"/>
      <c r="AG264" s="31"/>
      <c r="AH264" s="31"/>
      <c r="AI264" s="42"/>
      <c r="AJ264" s="42"/>
      <c r="AK264" s="42"/>
      <c r="AL264" s="31"/>
      <c r="AM264" s="31"/>
      <c r="AN264" s="43"/>
      <c r="AO264" s="31"/>
      <c r="AP264" s="44"/>
      <c r="AQ264" s="44"/>
    </row>
    <row r="265" spans="1:43">
      <c r="A265" s="18"/>
      <c r="B265" s="45"/>
      <c r="C265" s="31"/>
      <c r="D265" s="22"/>
      <c r="E265" s="19"/>
      <c r="F265" s="31"/>
      <c r="G265" s="74"/>
      <c r="H265" s="57"/>
      <c r="I265" s="57"/>
      <c r="J265" s="57"/>
      <c r="K265" s="57"/>
      <c r="L265" s="57"/>
      <c r="M265" s="31"/>
      <c r="N265" s="31"/>
      <c r="O265" s="31"/>
      <c r="P265" s="31"/>
      <c r="Q265" s="31"/>
      <c r="R265" s="22"/>
      <c r="S265" s="29"/>
      <c r="T265" s="31"/>
      <c r="U265" s="31"/>
      <c r="V265" s="31"/>
      <c r="W265" s="31"/>
      <c r="X265" s="31"/>
      <c r="Y265" s="31"/>
      <c r="Z265" s="31"/>
      <c r="AA265" s="31"/>
      <c r="AB265" s="31"/>
      <c r="AC265" s="31"/>
      <c r="AD265" s="31"/>
      <c r="AE265" s="31"/>
      <c r="AF265" s="31"/>
      <c r="AG265" s="31"/>
      <c r="AH265" s="31"/>
      <c r="AI265" s="42"/>
      <c r="AJ265" s="42"/>
      <c r="AK265" s="42"/>
      <c r="AL265" s="31"/>
      <c r="AM265" s="31"/>
      <c r="AN265" s="43"/>
      <c r="AO265" s="31"/>
      <c r="AP265" s="44"/>
      <c r="AQ265" s="44"/>
    </row>
    <row r="266" spans="1:43">
      <c r="A266" s="18"/>
      <c r="B266" s="45"/>
      <c r="C266" s="31"/>
      <c r="D266" s="22"/>
      <c r="E266" s="19"/>
      <c r="F266" s="31"/>
      <c r="G266" s="74"/>
      <c r="H266" s="57"/>
      <c r="I266" s="57"/>
      <c r="J266" s="57"/>
      <c r="K266" s="57"/>
      <c r="L266" s="57"/>
      <c r="M266" s="31"/>
      <c r="N266" s="31"/>
      <c r="O266" s="31"/>
      <c r="P266" s="31"/>
      <c r="Q266" s="31"/>
      <c r="R266" s="22"/>
      <c r="S266" s="29"/>
      <c r="T266" s="31"/>
      <c r="U266" s="31"/>
      <c r="V266" s="31"/>
      <c r="W266" s="31"/>
      <c r="X266" s="31"/>
      <c r="Y266" s="31"/>
      <c r="Z266" s="31"/>
      <c r="AA266" s="31"/>
      <c r="AB266" s="31"/>
      <c r="AC266" s="31"/>
      <c r="AD266" s="31"/>
      <c r="AE266" s="31"/>
      <c r="AF266" s="31"/>
      <c r="AG266" s="31"/>
      <c r="AH266" s="31"/>
      <c r="AI266" s="42"/>
      <c r="AJ266" s="42"/>
      <c r="AK266" s="42"/>
      <c r="AL266" s="31"/>
      <c r="AM266" s="31"/>
      <c r="AN266" s="43"/>
      <c r="AO266" s="31"/>
      <c r="AP266" s="44"/>
      <c r="AQ266" s="44"/>
    </row>
    <row r="267" spans="1:43">
      <c r="A267" s="18"/>
      <c r="B267" s="45"/>
      <c r="C267" s="31"/>
      <c r="D267" s="22"/>
      <c r="E267" s="19"/>
      <c r="F267" s="31"/>
      <c r="G267" s="74"/>
      <c r="H267" s="57"/>
      <c r="I267" s="57"/>
      <c r="J267" s="57"/>
      <c r="K267" s="57"/>
      <c r="L267" s="57"/>
      <c r="M267" s="31"/>
      <c r="N267" s="31"/>
      <c r="O267" s="31"/>
      <c r="P267" s="31"/>
      <c r="Q267" s="31"/>
      <c r="R267" s="22"/>
      <c r="S267" s="29"/>
      <c r="T267" s="31"/>
      <c r="U267" s="31"/>
      <c r="V267" s="31"/>
      <c r="W267" s="31"/>
      <c r="X267" s="31"/>
      <c r="Y267" s="31"/>
      <c r="Z267" s="31"/>
      <c r="AA267" s="31"/>
      <c r="AB267" s="31"/>
      <c r="AC267" s="31"/>
      <c r="AD267" s="31"/>
      <c r="AE267" s="31"/>
      <c r="AF267" s="31"/>
      <c r="AG267" s="31"/>
      <c r="AH267" s="31"/>
      <c r="AI267" s="42"/>
      <c r="AJ267" s="42"/>
      <c r="AK267" s="42"/>
      <c r="AL267" s="31"/>
      <c r="AM267" s="31"/>
      <c r="AN267" s="43"/>
      <c r="AO267" s="31"/>
      <c r="AP267" s="44"/>
      <c r="AQ267" s="44"/>
    </row>
    <row r="268" spans="1:43">
      <c r="A268" s="18"/>
      <c r="B268" s="45"/>
      <c r="C268" s="31"/>
      <c r="D268" s="22"/>
      <c r="E268" s="19"/>
      <c r="F268" s="31"/>
      <c r="G268" s="74"/>
      <c r="H268" s="57"/>
      <c r="I268" s="57"/>
      <c r="J268" s="57"/>
      <c r="K268" s="57"/>
      <c r="L268" s="57"/>
      <c r="M268" s="31"/>
      <c r="N268" s="31"/>
      <c r="O268" s="31"/>
      <c r="P268" s="31"/>
      <c r="Q268" s="31"/>
      <c r="R268" s="22"/>
      <c r="S268" s="29"/>
      <c r="T268" s="31"/>
      <c r="U268" s="31"/>
      <c r="V268" s="31"/>
      <c r="W268" s="31"/>
      <c r="X268" s="31"/>
      <c r="Y268" s="31"/>
      <c r="Z268" s="31"/>
      <c r="AA268" s="31"/>
      <c r="AB268" s="31"/>
      <c r="AC268" s="31"/>
      <c r="AD268" s="31"/>
      <c r="AE268" s="31"/>
      <c r="AF268" s="31"/>
      <c r="AG268" s="31"/>
      <c r="AH268" s="31"/>
      <c r="AI268" s="42"/>
      <c r="AJ268" s="42"/>
      <c r="AK268" s="42"/>
      <c r="AL268" s="31"/>
      <c r="AM268" s="31"/>
      <c r="AN268" s="43"/>
      <c r="AO268" s="31"/>
      <c r="AP268" s="44"/>
      <c r="AQ268" s="44"/>
    </row>
    <row r="269" spans="1:43">
      <c r="A269" s="18"/>
      <c r="B269" s="45"/>
      <c r="C269" s="31"/>
      <c r="D269" s="22"/>
      <c r="E269" s="19"/>
      <c r="F269" s="31"/>
      <c r="G269" s="74"/>
      <c r="H269" s="57"/>
      <c r="I269" s="57"/>
      <c r="J269" s="57"/>
      <c r="K269" s="57"/>
      <c r="L269" s="57"/>
      <c r="M269" s="31"/>
      <c r="N269" s="31"/>
      <c r="O269" s="31"/>
      <c r="P269" s="31"/>
      <c r="Q269" s="31"/>
      <c r="R269" s="22"/>
      <c r="S269" s="29"/>
      <c r="T269" s="31"/>
      <c r="U269" s="31"/>
      <c r="V269" s="31"/>
      <c r="W269" s="31"/>
      <c r="X269" s="31"/>
      <c r="Y269" s="31"/>
      <c r="Z269" s="31"/>
      <c r="AA269" s="31"/>
      <c r="AB269" s="31"/>
      <c r="AC269" s="31"/>
      <c r="AD269" s="31"/>
      <c r="AE269" s="31"/>
      <c r="AF269" s="31"/>
      <c r="AG269" s="31"/>
      <c r="AH269" s="31"/>
      <c r="AI269" s="42"/>
      <c r="AJ269" s="42"/>
      <c r="AK269" s="42"/>
      <c r="AL269" s="31"/>
      <c r="AM269" s="31"/>
      <c r="AN269" s="43"/>
      <c r="AO269" s="31"/>
      <c r="AP269" s="44"/>
      <c r="AQ269" s="44"/>
    </row>
    <row r="270" spans="1:43">
      <c r="A270" s="18"/>
      <c r="B270" s="45"/>
      <c r="C270" s="31"/>
      <c r="D270" s="22"/>
      <c r="E270" s="19"/>
      <c r="F270" s="31"/>
      <c r="G270" s="74"/>
      <c r="H270" s="57"/>
      <c r="I270" s="57"/>
      <c r="J270" s="57"/>
      <c r="K270" s="57"/>
      <c r="L270" s="57"/>
      <c r="M270" s="31"/>
      <c r="N270" s="31"/>
      <c r="O270" s="31"/>
      <c r="P270" s="31"/>
      <c r="Q270" s="31"/>
      <c r="R270" s="22"/>
      <c r="S270" s="29"/>
      <c r="T270" s="31"/>
      <c r="U270" s="31"/>
      <c r="V270" s="31"/>
      <c r="W270" s="31"/>
      <c r="X270" s="31"/>
      <c r="Y270" s="31"/>
      <c r="Z270" s="31"/>
      <c r="AA270" s="31"/>
      <c r="AB270" s="31"/>
      <c r="AC270" s="31"/>
      <c r="AD270" s="31"/>
      <c r="AE270" s="31"/>
      <c r="AF270" s="31"/>
      <c r="AG270" s="31"/>
      <c r="AH270" s="31"/>
      <c r="AI270" s="42"/>
      <c r="AJ270" s="42"/>
      <c r="AK270" s="42"/>
      <c r="AL270" s="31"/>
      <c r="AM270" s="31"/>
      <c r="AN270" s="43"/>
      <c r="AO270" s="31"/>
      <c r="AP270" s="44"/>
      <c r="AQ270" s="44"/>
    </row>
    <row r="271" spans="1:43">
      <c r="A271" s="18"/>
      <c r="B271" s="45"/>
      <c r="C271" s="31"/>
      <c r="D271" s="22"/>
      <c r="E271" s="19"/>
      <c r="F271" s="31"/>
      <c r="G271" s="74"/>
      <c r="H271" s="57"/>
      <c r="I271" s="57"/>
      <c r="J271" s="57"/>
      <c r="K271" s="57"/>
      <c r="L271" s="57"/>
      <c r="M271" s="31"/>
      <c r="N271" s="31"/>
      <c r="O271" s="31"/>
      <c r="P271" s="31"/>
      <c r="Q271" s="31"/>
      <c r="R271" s="22"/>
      <c r="S271" s="29"/>
      <c r="T271" s="31"/>
      <c r="U271" s="31"/>
      <c r="V271" s="31"/>
      <c r="W271" s="31"/>
      <c r="X271" s="31"/>
      <c r="Y271" s="31"/>
      <c r="Z271" s="31"/>
      <c r="AA271" s="31"/>
      <c r="AB271" s="31"/>
      <c r="AC271" s="31"/>
      <c r="AD271" s="31"/>
      <c r="AE271" s="31"/>
      <c r="AF271" s="31"/>
      <c r="AG271" s="31"/>
      <c r="AH271" s="31"/>
      <c r="AI271" s="42"/>
      <c r="AJ271" s="42"/>
      <c r="AK271" s="42"/>
      <c r="AL271" s="31"/>
      <c r="AM271" s="31"/>
      <c r="AN271" s="43"/>
      <c r="AO271" s="31"/>
      <c r="AP271" s="44"/>
      <c r="AQ271" s="44"/>
    </row>
    <row r="272" spans="1:43">
      <c r="A272" s="18"/>
      <c r="B272" s="45"/>
      <c r="C272" s="31"/>
      <c r="D272" s="22"/>
      <c r="E272" s="19"/>
      <c r="F272" s="31"/>
      <c r="G272" s="74"/>
      <c r="H272" s="57"/>
      <c r="I272" s="57"/>
      <c r="J272" s="57"/>
      <c r="K272" s="57"/>
      <c r="L272" s="57"/>
      <c r="M272" s="31"/>
      <c r="N272" s="31"/>
      <c r="O272" s="31"/>
      <c r="P272" s="31"/>
      <c r="Q272" s="31"/>
      <c r="R272" s="22"/>
      <c r="S272" s="29"/>
      <c r="T272" s="31"/>
      <c r="U272" s="31"/>
      <c r="V272" s="31"/>
      <c r="W272" s="31"/>
      <c r="X272" s="31"/>
      <c r="Y272" s="31"/>
      <c r="Z272" s="31"/>
      <c r="AA272" s="31"/>
      <c r="AB272" s="31"/>
      <c r="AC272" s="31"/>
      <c r="AD272" s="31"/>
      <c r="AE272" s="31"/>
      <c r="AF272" s="31"/>
      <c r="AG272" s="31"/>
      <c r="AH272" s="31"/>
      <c r="AI272" s="42"/>
      <c r="AJ272" s="42"/>
      <c r="AK272" s="42"/>
      <c r="AL272" s="31"/>
      <c r="AM272" s="31"/>
      <c r="AN272" s="43"/>
      <c r="AO272" s="31"/>
      <c r="AP272" s="44"/>
      <c r="AQ272" s="44"/>
    </row>
    <row r="273" spans="1:43">
      <c r="A273" s="18"/>
      <c r="B273" s="45"/>
      <c r="C273" s="31"/>
      <c r="D273" s="22"/>
      <c r="E273" s="19"/>
      <c r="F273" s="31"/>
      <c r="G273" s="74"/>
      <c r="H273" s="57"/>
      <c r="I273" s="57"/>
      <c r="J273" s="57"/>
      <c r="K273" s="57"/>
      <c r="L273" s="57"/>
      <c r="M273" s="31"/>
      <c r="N273" s="31"/>
      <c r="O273" s="31"/>
      <c r="P273" s="31"/>
      <c r="Q273" s="31"/>
      <c r="R273" s="22"/>
      <c r="S273" s="29"/>
      <c r="T273" s="31"/>
      <c r="U273" s="31"/>
      <c r="V273" s="31"/>
      <c r="W273" s="31"/>
      <c r="X273" s="31"/>
      <c r="Y273" s="31"/>
      <c r="Z273" s="31"/>
      <c r="AA273" s="31"/>
      <c r="AB273" s="31"/>
      <c r="AC273" s="31"/>
      <c r="AD273" s="31"/>
      <c r="AE273" s="31"/>
      <c r="AF273" s="31"/>
      <c r="AG273" s="31"/>
      <c r="AH273" s="31"/>
      <c r="AI273" s="42"/>
      <c r="AJ273" s="42"/>
      <c r="AK273" s="42"/>
      <c r="AL273" s="31"/>
      <c r="AM273" s="31"/>
      <c r="AN273" s="43"/>
      <c r="AO273" s="31"/>
      <c r="AP273" s="44"/>
      <c r="AQ273" s="44"/>
    </row>
    <row r="274" spans="1:43">
      <c r="A274" s="18"/>
      <c r="B274" s="45"/>
      <c r="C274" s="31"/>
      <c r="D274" s="22"/>
      <c r="E274" s="19"/>
      <c r="F274" s="31"/>
      <c r="G274" s="74"/>
      <c r="H274" s="57"/>
      <c r="I274" s="57"/>
      <c r="J274" s="57"/>
      <c r="K274" s="57"/>
      <c r="L274" s="57"/>
      <c r="M274" s="31"/>
      <c r="N274" s="31"/>
      <c r="O274" s="31"/>
      <c r="P274" s="31"/>
      <c r="Q274" s="31"/>
      <c r="R274" s="22"/>
      <c r="S274" s="29"/>
      <c r="T274" s="31"/>
      <c r="U274" s="31"/>
      <c r="V274" s="31"/>
      <c r="W274" s="31"/>
      <c r="X274" s="31"/>
      <c r="Y274" s="31"/>
      <c r="Z274" s="31"/>
      <c r="AA274" s="31"/>
      <c r="AB274" s="31"/>
      <c r="AC274" s="31"/>
      <c r="AD274" s="31"/>
      <c r="AE274" s="31"/>
      <c r="AF274" s="31"/>
      <c r="AG274" s="31"/>
      <c r="AH274" s="31"/>
      <c r="AI274" s="42"/>
      <c r="AJ274" s="42"/>
      <c r="AK274" s="42"/>
      <c r="AL274" s="31"/>
      <c r="AM274" s="31"/>
      <c r="AN274" s="43"/>
      <c r="AO274" s="31"/>
      <c r="AP274" s="44"/>
      <c r="AQ274" s="44"/>
    </row>
    <row r="275" spans="1:43">
      <c r="A275" s="18"/>
      <c r="B275" s="45"/>
      <c r="C275" s="31"/>
      <c r="D275" s="22"/>
      <c r="E275" s="19"/>
      <c r="F275" s="31"/>
      <c r="G275" s="74"/>
      <c r="H275" s="57"/>
      <c r="I275" s="57"/>
      <c r="J275" s="57"/>
      <c r="K275" s="57"/>
      <c r="L275" s="57"/>
      <c r="M275" s="31"/>
      <c r="N275" s="31"/>
      <c r="O275" s="31"/>
      <c r="P275" s="31"/>
      <c r="Q275" s="31"/>
      <c r="R275" s="22"/>
      <c r="S275" s="29"/>
      <c r="T275" s="31"/>
      <c r="U275" s="31"/>
      <c r="V275" s="31"/>
      <c r="W275" s="31"/>
      <c r="X275" s="31"/>
      <c r="Y275" s="31"/>
      <c r="Z275" s="31"/>
      <c r="AA275" s="31"/>
      <c r="AB275" s="31"/>
      <c r="AC275" s="31"/>
      <c r="AD275" s="31"/>
      <c r="AE275" s="31"/>
      <c r="AF275" s="31"/>
      <c r="AG275" s="31"/>
      <c r="AH275" s="31"/>
      <c r="AI275" s="42"/>
      <c r="AJ275" s="42"/>
      <c r="AK275" s="42"/>
      <c r="AL275" s="31"/>
      <c r="AM275" s="31"/>
      <c r="AN275" s="43"/>
      <c r="AO275" s="31"/>
      <c r="AP275" s="44"/>
      <c r="AQ275" s="44"/>
    </row>
    <row r="276" spans="1:43">
      <c r="A276" s="18"/>
      <c r="B276" s="45"/>
      <c r="C276" s="31"/>
      <c r="D276" s="22"/>
      <c r="E276" s="19"/>
      <c r="F276" s="31"/>
      <c r="G276" s="74"/>
      <c r="H276" s="57"/>
      <c r="I276" s="57"/>
      <c r="J276" s="57"/>
      <c r="K276" s="57"/>
      <c r="L276" s="57"/>
      <c r="M276" s="31"/>
      <c r="N276" s="31"/>
      <c r="O276" s="31"/>
      <c r="P276" s="31"/>
      <c r="Q276" s="31"/>
      <c r="R276" s="22"/>
      <c r="S276" s="29"/>
      <c r="T276" s="31"/>
      <c r="U276" s="31"/>
      <c r="V276" s="31"/>
      <c r="W276" s="31"/>
      <c r="X276" s="31"/>
      <c r="Y276" s="31"/>
      <c r="Z276" s="31"/>
      <c r="AA276" s="31"/>
      <c r="AB276" s="31"/>
      <c r="AC276" s="31"/>
      <c r="AD276" s="31"/>
      <c r="AE276" s="31"/>
      <c r="AF276" s="31"/>
      <c r="AG276" s="31"/>
      <c r="AH276" s="31"/>
      <c r="AI276" s="42"/>
      <c r="AJ276" s="42"/>
      <c r="AK276" s="42"/>
      <c r="AL276" s="31"/>
      <c r="AM276" s="31"/>
      <c r="AN276" s="43"/>
      <c r="AO276" s="31"/>
      <c r="AP276" s="44"/>
      <c r="AQ276" s="44"/>
    </row>
    <row r="277" spans="1:43">
      <c r="A277" s="18"/>
      <c r="B277" s="45"/>
      <c r="C277" s="31"/>
      <c r="D277" s="22"/>
      <c r="E277" s="19"/>
      <c r="F277" s="31"/>
      <c r="G277" s="74"/>
      <c r="H277" s="57"/>
      <c r="I277" s="57"/>
      <c r="J277" s="57"/>
      <c r="K277" s="57"/>
      <c r="L277" s="57"/>
      <c r="M277" s="31"/>
      <c r="N277" s="31"/>
      <c r="O277" s="31"/>
      <c r="P277" s="31"/>
      <c r="Q277" s="31"/>
      <c r="R277" s="22"/>
      <c r="S277" s="29"/>
      <c r="T277" s="31"/>
      <c r="U277" s="31"/>
      <c r="V277" s="31"/>
      <c r="W277" s="31"/>
      <c r="X277" s="31"/>
      <c r="Y277" s="31"/>
      <c r="Z277" s="31"/>
      <c r="AA277" s="31"/>
      <c r="AB277" s="31"/>
      <c r="AC277" s="31"/>
      <c r="AD277" s="31"/>
      <c r="AE277" s="31"/>
      <c r="AF277" s="31"/>
      <c r="AG277" s="31"/>
      <c r="AH277" s="31"/>
      <c r="AI277" s="42"/>
      <c r="AJ277" s="42"/>
      <c r="AK277" s="42"/>
      <c r="AL277" s="31"/>
      <c r="AM277" s="31"/>
      <c r="AN277" s="43"/>
      <c r="AO277" s="31"/>
      <c r="AP277" s="44"/>
      <c r="AQ277" s="44"/>
    </row>
    <row r="278" spans="1:43">
      <c r="A278" s="18"/>
      <c r="B278" s="45"/>
      <c r="C278" s="31"/>
      <c r="D278" s="22"/>
      <c r="E278" s="19"/>
      <c r="F278" s="31"/>
      <c r="G278" s="74"/>
      <c r="H278" s="57"/>
      <c r="I278" s="57"/>
      <c r="J278" s="57"/>
      <c r="K278" s="57"/>
      <c r="L278" s="57"/>
      <c r="M278" s="31"/>
      <c r="N278" s="31"/>
      <c r="O278" s="31"/>
      <c r="P278" s="31"/>
      <c r="Q278" s="31"/>
      <c r="R278" s="22"/>
      <c r="S278" s="29"/>
      <c r="T278" s="31"/>
      <c r="U278" s="31"/>
      <c r="V278" s="31"/>
      <c r="W278" s="31"/>
      <c r="X278" s="31"/>
      <c r="Y278" s="31"/>
      <c r="Z278" s="31"/>
      <c r="AA278" s="31"/>
      <c r="AB278" s="31"/>
      <c r="AC278" s="31"/>
      <c r="AD278" s="31"/>
      <c r="AE278" s="31"/>
      <c r="AF278" s="31"/>
      <c r="AG278" s="31"/>
      <c r="AH278" s="31"/>
      <c r="AI278" s="42"/>
      <c r="AJ278" s="42"/>
      <c r="AK278" s="42"/>
      <c r="AL278" s="31"/>
      <c r="AM278" s="31"/>
      <c r="AN278" s="43"/>
      <c r="AO278" s="31"/>
      <c r="AP278" s="44"/>
      <c r="AQ278" s="44"/>
    </row>
    <row r="279" spans="1:43">
      <c r="A279" s="18"/>
      <c r="B279" s="45"/>
      <c r="C279" s="31"/>
      <c r="D279" s="22"/>
      <c r="E279" s="19"/>
      <c r="F279" s="31"/>
      <c r="G279" s="74"/>
      <c r="H279" s="57"/>
      <c r="I279" s="57"/>
      <c r="J279" s="57"/>
      <c r="K279" s="57"/>
      <c r="L279" s="57"/>
      <c r="M279" s="31"/>
      <c r="N279" s="31"/>
      <c r="O279" s="31"/>
      <c r="P279" s="31"/>
      <c r="Q279" s="31"/>
      <c r="R279" s="22"/>
      <c r="S279" s="29"/>
      <c r="T279" s="31"/>
      <c r="U279" s="31"/>
      <c r="V279" s="31"/>
      <c r="W279" s="31"/>
      <c r="X279" s="31"/>
      <c r="Y279" s="31"/>
      <c r="Z279" s="31"/>
      <c r="AA279" s="31"/>
      <c r="AB279" s="31"/>
      <c r="AC279" s="31"/>
      <c r="AD279" s="31"/>
      <c r="AE279" s="31"/>
      <c r="AF279" s="31"/>
      <c r="AG279" s="31"/>
      <c r="AH279" s="31"/>
      <c r="AI279" s="42"/>
      <c r="AJ279" s="42"/>
      <c r="AK279" s="42"/>
      <c r="AL279" s="31"/>
      <c r="AM279" s="31"/>
      <c r="AN279" s="43"/>
      <c r="AO279" s="31"/>
      <c r="AP279" s="44"/>
      <c r="AQ279" s="44"/>
    </row>
    <row r="280" spans="1:43">
      <c r="A280" s="18"/>
      <c r="B280" s="45"/>
      <c r="C280" s="31"/>
      <c r="D280" s="22"/>
      <c r="E280" s="19"/>
      <c r="F280" s="31"/>
      <c r="G280" s="74"/>
      <c r="H280" s="57"/>
      <c r="I280" s="57"/>
      <c r="J280" s="57"/>
      <c r="K280" s="57"/>
      <c r="L280" s="57"/>
      <c r="M280" s="31"/>
      <c r="N280" s="31"/>
      <c r="O280" s="31"/>
      <c r="P280" s="31"/>
      <c r="Q280" s="31"/>
      <c r="R280" s="22"/>
      <c r="S280" s="29"/>
      <c r="T280" s="31"/>
      <c r="U280" s="31"/>
      <c r="V280" s="31"/>
      <c r="W280" s="31"/>
      <c r="X280" s="31"/>
      <c r="Y280" s="31"/>
      <c r="Z280" s="31"/>
      <c r="AA280" s="31"/>
      <c r="AB280" s="31"/>
      <c r="AC280" s="31"/>
      <c r="AD280" s="31"/>
      <c r="AE280" s="31"/>
      <c r="AF280" s="31"/>
      <c r="AG280" s="31"/>
      <c r="AH280" s="31"/>
      <c r="AI280" s="42"/>
      <c r="AJ280" s="42"/>
      <c r="AK280" s="42"/>
      <c r="AL280" s="31"/>
      <c r="AM280" s="31"/>
      <c r="AN280" s="43"/>
      <c r="AO280" s="31"/>
      <c r="AP280" s="44"/>
      <c r="AQ280" s="44"/>
    </row>
    <row r="281" spans="1:43">
      <c r="A281" s="18"/>
      <c r="B281" s="45"/>
      <c r="C281" s="31"/>
      <c r="D281" s="22"/>
      <c r="E281" s="19"/>
      <c r="F281" s="31"/>
      <c r="G281" s="74"/>
      <c r="H281" s="57"/>
      <c r="I281" s="57"/>
      <c r="J281" s="57"/>
      <c r="K281" s="57"/>
      <c r="L281" s="57"/>
      <c r="M281" s="31"/>
      <c r="N281" s="31"/>
      <c r="O281" s="31"/>
      <c r="P281" s="31"/>
      <c r="Q281" s="31"/>
      <c r="R281" s="22"/>
      <c r="S281" s="29"/>
      <c r="T281" s="31"/>
      <c r="U281" s="31"/>
      <c r="V281" s="31"/>
      <c r="W281" s="31"/>
      <c r="X281" s="31"/>
      <c r="Y281" s="31"/>
      <c r="Z281" s="31"/>
      <c r="AA281" s="31"/>
      <c r="AB281" s="31"/>
      <c r="AC281" s="31"/>
      <c r="AD281" s="31"/>
      <c r="AE281" s="31"/>
      <c r="AF281" s="31"/>
      <c r="AG281" s="31"/>
      <c r="AH281" s="31"/>
      <c r="AI281" s="42"/>
      <c r="AJ281" s="42"/>
      <c r="AK281" s="42"/>
      <c r="AL281" s="31"/>
      <c r="AM281" s="31"/>
      <c r="AN281" s="43"/>
      <c r="AO281" s="31"/>
      <c r="AP281" s="44"/>
      <c r="AQ281" s="44"/>
    </row>
    <row r="282" spans="1:43">
      <c r="A282" s="18"/>
      <c r="B282" s="45"/>
      <c r="C282" s="31"/>
      <c r="D282" s="22"/>
      <c r="E282" s="19"/>
      <c r="F282" s="31"/>
      <c r="G282" s="74"/>
      <c r="H282" s="57"/>
      <c r="I282" s="57"/>
      <c r="J282" s="57"/>
      <c r="K282" s="57"/>
      <c r="L282" s="57"/>
      <c r="M282" s="31"/>
      <c r="N282" s="31"/>
      <c r="O282" s="31"/>
      <c r="P282" s="31"/>
      <c r="Q282" s="31"/>
      <c r="R282" s="22"/>
      <c r="S282" s="29"/>
      <c r="T282" s="31"/>
      <c r="U282" s="31"/>
      <c r="V282" s="31"/>
      <c r="W282" s="31"/>
      <c r="X282" s="31"/>
      <c r="Y282" s="31"/>
      <c r="Z282" s="31"/>
      <c r="AA282" s="31"/>
      <c r="AB282" s="31"/>
      <c r="AC282" s="31"/>
      <c r="AD282" s="31"/>
      <c r="AE282" s="31"/>
      <c r="AF282" s="31"/>
      <c r="AG282" s="31"/>
      <c r="AH282" s="31"/>
      <c r="AI282" s="42"/>
      <c r="AJ282" s="42"/>
      <c r="AK282" s="42"/>
      <c r="AL282" s="31"/>
      <c r="AM282" s="31"/>
      <c r="AN282" s="43"/>
      <c r="AO282" s="31"/>
      <c r="AP282" s="44"/>
      <c r="AQ282" s="44"/>
    </row>
    <row r="283" spans="1:43">
      <c r="A283" s="18"/>
      <c r="B283" s="45"/>
      <c r="C283" s="31"/>
      <c r="D283" s="22"/>
      <c r="E283" s="19"/>
      <c r="F283" s="31"/>
      <c r="G283" s="74"/>
      <c r="H283" s="46"/>
      <c r="I283" s="46"/>
      <c r="J283" s="46"/>
      <c r="K283" s="46"/>
      <c r="L283" s="46"/>
      <c r="M283" s="31"/>
      <c r="N283" s="31"/>
      <c r="O283" s="31"/>
      <c r="P283" s="31"/>
      <c r="Q283" s="31"/>
      <c r="R283" s="22"/>
      <c r="S283" s="29"/>
      <c r="T283" s="31"/>
      <c r="U283" s="31"/>
      <c r="V283" s="31"/>
      <c r="W283" s="31"/>
      <c r="X283" s="31"/>
      <c r="Y283" s="31"/>
      <c r="Z283" s="31"/>
      <c r="AA283" s="31"/>
      <c r="AB283" s="31"/>
      <c r="AC283" s="31"/>
      <c r="AD283" s="31"/>
      <c r="AE283" s="31"/>
      <c r="AF283" s="31"/>
      <c r="AG283" s="31"/>
      <c r="AH283" s="31"/>
      <c r="AI283" s="42"/>
      <c r="AJ283" s="42"/>
      <c r="AK283" s="42"/>
      <c r="AL283" s="31"/>
      <c r="AM283" s="31"/>
      <c r="AN283" s="43"/>
      <c r="AO283" s="31"/>
      <c r="AP283" s="44"/>
      <c r="AQ283" s="44"/>
    </row>
    <row r="284" spans="1:43">
      <c r="A284" s="18"/>
      <c r="B284" s="45"/>
      <c r="C284" s="31"/>
      <c r="D284" s="22"/>
      <c r="E284" s="19"/>
      <c r="F284" s="31"/>
      <c r="G284" s="74"/>
      <c r="H284" s="46"/>
      <c r="I284" s="46"/>
      <c r="J284" s="46"/>
      <c r="K284" s="46"/>
      <c r="L284" s="46"/>
      <c r="M284" s="31"/>
      <c r="N284" s="31"/>
      <c r="O284" s="31"/>
      <c r="P284" s="31"/>
      <c r="Q284" s="31"/>
      <c r="R284" s="22"/>
      <c r="S284" s="29"/>
      <c r="T284" s="31"/>
      <c r="U284" s="31"/>
      <c r="V284" s="31"/>
      <c r="W284" s="31"/>
      <c r="X284" s="31"/>
      <c r="Y284" s="31"/>
      <c r="Z284" s="31"/>
      <c r="AA284" s="31"/>
      <c r="AB284" s="31"/>
      <c r="AC284" s="31"/>
      <c r="AD284" s="31"/>
      <c r="AE284" s="31"/>
      <c r="AF284" s="31"/>
      <c r="AG284" s="31"/>
      <c r="AH284" s="31"/>
      <c r="AI284" s="42"/>
      <c r="AJ284" s="42"/>
      <c r="AK284" s="42"/>
      <c r="AL284" s="31"/>
      <c r="AM284" s="31"/>
      <c r="AN284" s="43"/>
      <c r="AO284" s="31"/>
      <c r="AP284" s="44"/>
      <c r="AQ284" s="44"/>
    </row>
    <row r="285" spans="1:43">
      <c r="A285" s="18"/>
      <c r="B285" s="45"/>
      <c r="C285" s="31"/>
      <c r="D285" s="22"/>
      <c r="E285" s="19"/>
      <c r="F285" s="31"/>
      <c r="G285" s="74"/>
      <c r="H285" s="46"/>
      <c r="I285" s="46"/>
      <c r="J285" s="46"/>
      <c r="K285" s="46"/>
      <c r="L285" s="46"/>
      <c r="M285" s="31"/>
      <c r="N285" s="31"/>
      <c r="O285" s="31"/>
      <c r="P285" s="31"/>
      <c r="Q285" s="31"/>
      <c r="R285" s="22"/>
      <c r="S285" s="29"/>
      <c r="T285" s="31"/>
      <c r="U285" s="31"/>
      <c r="V285" s="31"/>
      <c r="W285" s="31"/>
      <c r="X285" s="31"/>
      <c r="Y285" s="31"/>
      <c r="Z285" s="31"/>
      <c r="AA285" s="31"/>
      <c r="AB285" s="31"/>
      <c r="AC285" s="31"/>
      <c r="AD285" s="31"/>
      <c r="AE285" s="31"/>
      <c r="AF285" s="31"/>
      <c r="AG285" s="31"/>
      <c r="AH285" s="31"/>
      <c r="AI285" s="42"/>
      <c r="AJ285" s="42"/>
      <c r="AK285" s="42"/>
      <c r="AL285" s="31"/>
      <c r="AM285" s="31"/>
      <c r="AN285" s="43"/>
      <c r="AO285" s="31"/>
      <c r="AP285" s="44"/>
      <c r="AQ285" s="44"/>
    </row>
    <row r="286" spans="1:43">
      <c r="A286" s="18"/>
      <c r="B286" s="45"/>
      <c r="C286" s="31"/>
      <c r="D286" s="22"/>
      <c r="E286" s="19"/>
      <c r="F286" s="31"/>
      <c r="G286" s="74"/>
      <c r="H286" s="46"/>
      <c r="I286" s="46"/>
      <c r="J286" s="46"/>
      <c r="K286" s="46"/>
      <c r="L286" s="46"/>
      <c r="M286" s="31"/>
      <c r="N286" s="31"/>
      <c r="O286" s="31"/>
      <c r="P286" s="31"/>
      <c r="Q286" s="31"/>
      <c r="R286" s="22"/>
      <c r="S286" s="29"/>
      <c r="T286" s="31"/>
      <c r="U286" s="31"/>
      <c r="V286" s="31"/>
      <c r="W286" s="31"/>
      <c r="X286" s="31"/>
      <c r="Y286" s="31"/>
      <c r="Z286" s="31"/>
      <c r="AA286" s="31"/>
      <c r="AB286" s="31"/>
      <c r="AC286" s="31"/>
      <c r="AD286" s="31"/>
      <c r="AE286" s="31"/>
      <c r="AF286" s="31"/>
      <c r="AG286" s="31"/>
      <c r="AH286" s="31"/>
      <c r="AI286" s="42"/>
      <c r="AJ286" s="42"/>
      <c r="AK286" s="42"/>
      <c r="AL286" s="31"/>
      <c r="AM286" s="31"/>
      <c r="AN286" s="43"/>
      <c r="AO286" s="31"/>
      <c r="AP286" s="44"/>
      <c r="AQ286" s="44"/>
    </row>
    <row r="287" spans="1:43">
      <c r="A287" s="18"/>
      <c r="B287" s="45"/>
      <c r="C287" s="31"/>
      <c r="D287" s="22"/>
      <c r="E287" s="19"/>
      <c r="F287" s="31"/>
      <c r="G287" s="74"/>
      <c r="H287" s="46"/>
      <c r="I287" s="46"/>
      <c r="J287" s="46"/>
      <c r="K287" s="46"/>
      <c r="L287" s="46"/>
      <c r="M287" s="31"/>
      <c r="N287" s="31"/>
      <c r="O287" s="31"/>
      <c r="P287" s="31"/>
      <c r="Q287" s="31"/>
      <c r="R287" s="22"/>
      <c r="S287" s="29"/>
      <c r="T287" s="31"/>
      <c r="U287" s="31"/>
      <c r="V287" s="31"/>
      <c r="W287" s="31"/>
      <c r="X287" s="31"/>
      <c r="Y287" s="31"/>
      <c r="Z287" s="31"/>
      <c r="AA287" s="31"/>
      <c r="AB287" s="31"/>
      <c r="AC287" s="31"/>
      <c r="AD287" s="31"/>
      <c r="AE287" s="31"/>
      <c r="AF287" s="31"/>
      <c r="AG287" s="31"/>
      <c r="AH287" s="31"/>
      <c r="AI287" s="42"/>
      <c r="AJ287" s="42"/>
      <c r="AK287" s="42"/>
      <c r="AL287" s="31"/>
      <c r="AM287" s="31"/>
      <c r="AN287" s="43"/>
      <c r="AO287" s="31"/>
      <c r="AP287" s="44"/>
      <c r="AQ287" s="44"/>
    </row>
    <row r="288" spans="1:43">
      <c r="A288" s="18"/>
      <c r="B288" s="45"/>
      <c r="C288" s="31"/>
      <c r="D288" s="22"/>
      <c r="E288" s="19"/>
      <c r="F288" s="31"/>
      <c r="G288" s="74"/>
      <c r="H288" s="46"/>
      <c r="I288" s="46"/>
      <c r="J288" s="46"/>
      <c r="K288" s="46"/>
      <c r="L288" s="46"/>
      <c r="M288" s="31"/>
      <c r="N288" s="31"/>
      <c r="O288" s="31"/>
      <c r="P288" s="31"/>
      <c r="Q288" s="31"/>
      <c r="R288" s="22"/>
      <c r="S288" s="29"/>
      <c r="T288" s="31"/>
      <c r="U288" s="31"/>
      <c r="V288" s="31"/>
      <c r="W288" s="31"/>
      <c r="X288" s="31"/>
      <c r="Y288" s="31"/>
      <c r="Z288" s="31"/>
      <c r="AA288" s="31"/>
      <c r="AB288" s="31"/>
      <c r="AC288" s="31"/>
      <c r="AD288" s="31"/>
      <c r="AE288" s="31"/>
      <c r="AF288" s="31"/>
      <c r="AG288" s="31"/>
      <c r="AH288" s="31"/>
      <c r="AI288" s="42"/>
      <c r="AJ288" s="42"/>
      <c r="AK288" s="42"/>
      <c r="AL288" s="31"/>
      <c r="AM288" s="31"/>
      <c r="AN288" s="43"/>
      <c r="AO288" s="31"/>
      <c r="AP288" s="44"/>
      <c r="AQ288" s="44"/>
    </row>
    <row r="289" spans="1:43">
      <c r="A289" s="18"/>
      <c r="B289" s="45"/>
      <c r="C289" s="31"/>
      <c r="D289" s="22"/>
      <c r="E289" s="19"/>
      <c r="F289" s="31"/>
      <c r="G289" s="74"/>
      <c r="H289" s="46"/>
      <c r="I289" s="46"/>
      <c r="J289" s="46"/>
      <c r="K289" s="46"/>
      <c r="L289" s="46"/>
      <c r="M289" s="31"/>
      <c r="N289" s="31"/>
      <c r="O289" s="31"/>
      <c r="P289" s="31"/>
      <c r="Q289" s="31"/>
      <c r="R289" s="22"/>
      <c r="S289" s="29"/>
      <c r="T289" s="31"/>
      <c r="U289" s="31"/>
      <c r="V289" s="31"/>
      <c r="W289" s="31"/>
      <c r="X289" s="31"/>
      <c r="Y289" s="31"/>
      <c r="Z289" s="31"/>
      <c r="AA289" s="31"/>
      <c r="AB289" s="31"/>
      <c r="AC289" s="31"/>
      <c r="AD289" s="31"/>
      <c r="AE289" s="31"/>
      <c r="AF289" s="31"/>
      <c r="AG289" s="31"/>
      <c r="AH289" s="31"/>
      <c r="AI289" s="42"/>
      <c r="AJ289" s="42"/>
      <c r="AK289" s="42"/>
      <c r="AL289" s="31"/>
      <c r="AM289" s="31"/>
      <c r="AN289" s="43"/>
      <c r="AO289" s="31"/>
      <c r="AP289" s="44"/>
      <c r="AQ289" s="44"/>
    </row>
    <row r="290" spans="1:43">
      <c r="A290" s="18"/>
      <c r="B290" s="45"/>
      <c r="C290" s="31"/>
      <c r="D290" s="22"/>
      <c r="E290" s="19"/>
      <c r="F290" s="31"/>
      <c r="G290" s="74"/>
      <c r="H290" s="46"/>
      <c r="I290" s="46"/>
      <c r="J290" s="46"/>
      <c r="K290" s="46"/>
      <c r="L290" s="46"/>
      <c r="M290" s="31"/>
      <c r="N290" s="31"/>
      <c r="O290" s="31"/>
      <c r="P290" s="31"/>
      <c r="Q290" s="31"/>
      <c r="R290" s="22"/>
      <c r="S290" s="29"/>
      <c r="T290" s="31"/>
      <c r="U290" s="31"/>
      <c r="V290" s="31"/>
      <c r="W290" s="31"/>
      <c r="X290" s="31"/>
      <c r="Y290" s="31"/>
      <c r="Z290" s="31"/>
      <c r="AA290" s="31"/>
      <c r="AB290" s="31"/>
      <c r="AC290" s="31"/>
      <c r="AD290" s="31"/>
      <c r="AE290" s="31"/>
      <c r="AF290" s="31"/>
      <c r="AG290" s="31"/>
      <c r="AH290" s="31"/>
      <c r="AI290" s="42"/>
      <c r="AJ290" s="42"/>
      <c r="AK290" s="42"/>
      <c r="AL290" s="31"/>
      <c r="AM290" s="31"/>
      <c r="AN290" s="43"/>
      <c r="AO290" s="31"/>
      <c r="AP290" s="44"/>
      <c r="AQ290" s="44"/>
    </row>
    <row r="291" spans="1:43">
      <c r="A291" s="18"/>
      <c r="B291" s="45"/>
      <c r="C291" s="31"/>
      <c r="D291" s="22"/>
      <c r="E291" s="19"/>
      <c r="F291" s="31"/>
      <c r="G291" s="74"/>
      <c r="H291" s="46"/>
      <c r="I291" s="46"/>
      <c r="J291" s="46"/>
      <c r="K291" s="46"/>
      <c r="L291" s="46"/>
      <c r="M291" s="31"/>
      <c r="N291" s="31"/>
      <c r="O291" s="31"/>
      <c r="P291" s="31"/>
      <c r="Q291" s="31"/>
      <c r="R291" s="22"/>
      <c r="S291" s="29"/>
      <c r="T291" s="31"/>
      <c r="U291" s="31"/>
      <c r="V291" s="31"/>
      <c r="W291" s="31"/>
      <c r="X291" s="31"/>
      <c r="Y291" s="31"/>
      <c r="Z291" s="31"/>
      <c r="AA291" s="31"/>
      <c r="AB291" s="31"/>
      <c r="AC291" s="31"/>
      <c r="AD291" s="31"/>
      <c r="AE291" s="31"/>
      <c r="AF291" s="31"/>
      <c r="AG291" s="31"/>
      <c r="AH291" s="31"/>
      <c r="AI291" s="42"/>
      <c r="AJ291" s="42"/>
      <c r="AK291" s="42"/>
      <c r="AL291" s="31"/>
      <c r="AM291" s="31"/>
      <c r="AN291" s="43"/>
      <c r="AO291" s="31"/>
      <c r="AP291" s="44"/>
      <c r="AQ291" s="44"/>
    </row>
    <row r="292" spans="1:43">
      <c r="A292" s="18"/>
      <c r="B292" s="45"/>
      <c r="C292" s="31"/>
      <c r="D292" s="22"/>
      <c r="E292" s="19"/>
      <c r="F292" s="31"/>
      <c r="G292" s="74"/>
      <c r="H292" s="46"/>
      <c r="I292" s="46"/>
      <c r="J292" s="46"/>
      <c r="K292" s="46"/>
      <c r="L292" s="46"/>
      <c r="M292" s="31"/>
      <c r="N292" s="31"/>
      <c r="O292" s="31"/>
      <c r="P292" s="31"/>
      <c r="Q292" s="31"/>
      <c r="R292" s="22"/>
      <c r="S292" s="29"/>
      <c r="T292" s="31"/>
      <c r="U292" s="31"/>
      <c r="V292" s="31"/>
      <c r="W292" s="31"/>
      <c r="X292" s="31"/>
      <c r="Y292" s="31"/>
      <c r="Z292" s="31"/>
      <c r="AA292" s="31"/>
      <c r="AB292" s="31"/>
      <c r="AC292" s="31"/>
      <c r="AD292" s="31"/>
      <c r="AE292" s="31"/>
      <c r="AF292" s="31"/>
      <c r="AG292" s="31"/>
      <c r="AH292" s="31"/>
      <c r="AI292" s="42"/>
      <c r="AJ292" s="42"/>
      <c r="AK292" s="42"/>
      <c r="AL292" s="31"/>
      <c r="AM292" s="31"/>
      <c r="AN292" s="43"/>
      <c r="AO292" s="31"/>
      <c r="AP292" s="44"/>
      <c r="AQ292" s="44"/>
    </row>
    <row r="293" spans="1:43">
      <c r="A293" s="18"/>
      <c r="B293" s="45"/>
      <c r="C293" s="31"/>
      <c r="D293" s="22"/>
      <c r="E293" s="19"/>
      <c r="F293" s="31"/>
      <c r="G293" s="74"/>
      <c r="H293" s="46"/>
      <c r="I293" s="46"/>
      <c r="J293" s="46"/>
      <c r="K293" s="46"/>
      <c r="L293" s="46"/>
      <c r="M293" s="31"/>
      <c r="N293" s="31"/>
      <c r="O293" s="31"/>
      <c r="P293" s="31"/>
      <c r="Q293" s="31"/>
      <c r="R293" s="22"/>
      <c r="S293" s="29"/>
      <c r="T293" s="31"/>
      <c r="U293" s="31"/>
      <c r="V293" s="31"/>
      <c r="W293" s="31"/>
      <c r="X293" s="31"/>
      <c r="Y293" s="31"/>
      <c r="Z293" s="31"/>
      <c r="AA293" s="31"/>
      <c r="AB293" s="31"/>
      <c r="AC293" s="31"/>
      <c r="AD293" s="31"/>
      <c r="AE293" s="31"/>
      <c r="AF293" s="31"/>
      <c r="AG293" s="31"/>
      <c r="AH293" s="31"/>
      <c r="AI293" s="42"/>
      <c r="AJ293" s="42"/>
      <c r="AK293" s="42"/>
      <c r="AL293" s="31"/>
      <c r="AM293" s="31"/>
      <c r="AN293" s="43"/>
      <c r="AO293" s="31"/>
      <c r="AP293" s="44"/>
      <c r="AQ293" s="44"/>
    </row>
    <row r="294" spans="1:43">
      <c r="A294" s="18"/>
      <c r="B294" s="45"/>
      <c r="C294" s="31"/>
      <c r="D294" s="22"/>
      <c r="E294" s="19"/>
      <c r="F294" s="31"/>
      <c r="G294" s="74"/>
      <c r="H294" s="46"/>
      <c r="I294" s="46"/>
      <c r="J294" s="46"/>
      <c r="K294" s="46"/>
      <c r="L294" s="46"/>
      <c r="M294" s="31"/>
      <c r="N294" s="31"/>
      <c r="O294" s="31"/>
      <c r="P294" s="31"/>
      <c r="Q294" s="31"/>
      <c r="R294" s="22"/>
      <c r="S294" s="29"/>
      <c r="T294" s="31"/>
      <c r="U294" s="31"/>
      <c r="V294" s="31"/>
      <c r="W294" s="31"/>
      <c r="X294" s="31"/>
      <c r="Y294" s="31"/>
      <c r="Z294" s="31"/>
      <c r="AA294" s="31"/>
      <c r="AB294" s="31"/>
      <c r="AC294" s="31"/>
      <c r="AD294" s="31"/>
      <c r="AE294" s="31"/>
      <c r="AF294" s="31"/>
      <c r="AG294" s="31"/>
      <c r="AH294" s="31"/>
      <c r="AI294" s="42"/>
      <c r="AJ294" s="42"/>
      <c r="AK294" s="42"/>
      <c r="AL294" s="31"/>
      <c r="AM294" s="31"/>
      <c r="AN294" s="43"/>
      <c r="AO294" s="31"/>
      <c r="AP294" s="44"/>
      <c r="AQ294" s="44"/>
    </row>
    <row r="295" spans="1:43">
      <c r="A295" s="18"/>
      <c r="B295" s="45"/>
      <c r="C295" s="31"/>
      <c r="D295" s="22"/>
      <c r="E295" s="19"/>
      <c r="F295" s="31"/>
      <c r="G295" s="74"/>
      <c r="H295" s="46"/>
      <c r="I295" s="46"/>
      <c r="J295" s="46"/>
      <c r="K295" s="46"/>
      <c r="L295" s="46"/>
      <c r="M295" s="31"/>
      <c r="N295" s="31"/>
      <c r="O295" s="31"/>
      <c r="P295" s="31"/>
      <c r="Q295" s="31"/>
      <c r="R295" s="22"/>
      <c r="S295" s="29"/>
      <c r="T295" s="31"/>
      <c r="U295" s="31"/>
      <c r="V295" s="31"/>
      <c r="W295" s="31"/>
      <c r="X295" s="31"/>
      <c r="Y295" s="31"/>
      <c r="Z295" s="31"/>
      <c r="AA295" s="31"/>
      <c r="AB295" s="31"/>
      <c r="AC295" s="31"/>
      <c r="AD295" s="31"/>
      <c r="AE295" s="31"/>
      <c r="AF295" s="31"/>
      <c r="AG295" s="31"/>
      <c r="AH295" s="31"/>
      <c r="AI295" s="42"/>
      <c r="AJ295" s="42"/>
      <c r="AK295" s="42"/>
      <c r="AL295" s="31"/>
      <c r="AM295" s="31"/>
      <c r="AN295" s="43"/>
      <c r="AO295" s="31"/>
      <c r="AP295" s="44"/>
      <c r="AQ295" s="44"/>
    </row>
    <row r="296" spans="1:43">
      <c r="A296" s="18"/>
      <c r="B296" s="45"/>
      <c r="C296" s="31"/>
      <c r="D296" s="22"/>
      <c r="E296" s="19"/>
      <c r="F296" s="31"/>
      <c r="G296" s="74"/>
      <c r="H296" s="46"/>
      <c r="I296" s="46"/>
      <c r="J296" s="46"/>
      <c r="K296" s="46"/>
      <c r="L296" s="46"/>
      <c r="M296" s="31"/>
      <c r="N296" s="31"/>
      <c r="O296" s="31"/>
      <c r="P296" s="31"/>
      <c r="Q296" s="31"/>
      <c r="R296" s="22"/>
      <c r="S296" s="29"/>
      <c r="T296" s="31"/>
      <c r="U296" s="31"/>
      <c r="V296" s="31"/>
      <c r="W296" s="31"/>
      <c r="X296" s="31"/>
      <c r="Y296" s="31"/>
      <c r="Z296" s="31"/>
      <c r="AA296" s="31"/>
      <c r="AB296" s="31"/>
      <c r="AC296" s="31"/>
      <c r="AD296" s="31"/>
      <c r="AE296" s="31"/>
      <c r="AF296" s="31"/>
      <c r="AG296" s="31"/>
      <c r="AH296" s="31"/>
      <c r="AI296" s="42"/>
      <c r="AJ296" s="42"/>
      <c r="AK296" s="42"/>
      <c r="AL296" s="31"/>
      <c r="AM296" s="31"/>
      <c r="AN296" s="43"/>
      <c r="AO296" s="31"/>
      <c r="AP296" s="44"/>
      <c r="AQ296" s="44"/>
    </row>
    <row r="297" spans="1:43">
      <c r="A297" s="18"/>
      <c r="B297" s="45"/>
      <c r="C297" s="31"/>
      <c r="D297" s="22"/>
      <c r="E297" s="19"/>
      <c r="F297" s="31"/>
      <c r="G297" s="74"/>
      <c r="H297" s="46"/>
      <c r="I297" s="46"/>
      <c r="J297" s="46"/>
      <c r="K297" s="46"/>
      <c r="L297" s="46"/>
      <c r="M297" s="31"/>
      <c r="N297" s="31"/>
      <c r="O297" s="31"/>
      <c r="P297" s="31"/>
      <c r="Q297" s="31"/>
      <c r="R297" s="22"/>
      <c r="S297" s="29"/>
      <c r="T297" s="31"/>
      <c r="U297" s="31"/>
      <c r="V297" s="31"/>
      <c r="W297" s="31"/>
      <c r="X297" s="31"/>
      <c r="Y297" s="31"/>
      <c r="Z297" s="31"/>
      <c r="AA297" s="31"/>
      <c r="AB297" s="31"/>
      <c r="AC297" s="31"/>
      <c r="AD297" s="31"/>
      <c r="AE297" s="31"/>
      <c r="AF297" s="31"/>
      <c r="AG297" s="31"/>
      <c r="AH297" s="31"/>
      <c r="AI297" s="42"/>
      <c r="AJ297" s="42"/>
      <c r="AK297" s="42"/>
      <c r="AL297" s="31"/>
      <c r="AM297" s="31"/>
      <c r="AN297" s="43"/>
      <c r="AO297" s="31"/>
      <c r="AP297" s="44"/>
      <c r="AQ297" s="44"/>
    </row>
    <row r="298" spans="1:43">
      <c r="A298" s="18"/>
      <c r="B298" s="45"/>
      <c r="C298" s="31"/>
      <c r="D298" s="22"/>
      <c r="E298" s="19"/>
      <c r="F298" s="31"/>
      <c r="G298" s="74"/>
      <c r="H298" s="46"/>
      <c r="I298" s="46"/>
      <c r="J298" s="46"/>
      <c r="K298" s="46"/>
      <c r="L298" s="46"/>
      <c r="M298" s="31"/>
      <c r="N298" s="31"/>
      <c r="O298" s="31"/>
      <c r="P298" s="31"/>
      <c r="Q298" s="31"/>
      <c r="R298" s="22"/>
      <c r="S298" s="29"/>
      <c r="T298" s="31"/>
      <c r="U298" s="31"/>
      <c r="V298" s="31"/>
      <c r="W298" s="31"/>
      <c r="X298" s="31"/>
      <c r="Y298" s="31"/>
      <c r="Z298" s="31"/>
      <c r="AA298" s="31"/>
      <c r="AB298" s="31"/>
      <c r="AC298" s="31"/>
      <c r="AD298" s="31"/>
      <c r="AE298" s="31"/>
      <c r="AF298" s="31"/>
      <c r="AG298" s="31"/>
      <c r="AH298" s="31"/>
      <c r="AI298" s="42"/>
      <c r="AJ298" s="42"/>
      <c r="AK298" s="42"/>
      <c r="AL298" s="31"/>
      <c r="AM298" s="31"/>
      <c r="AN298" s="43"/>
      <c r="AO298" s="31"/>
      <c r="AP298" s="44"/>
      <c r="AQ298" s="44"/>
    </row>
    <row r="299" spans="1:43">
      <c r="A299" s="18"/>
      <c r="B299" s="45"/>
      <c r="C299" s="31"/>
      <c r="D299" s="22"/>
      <c r="E299" s="19"/>
      <c r="F299" s="31"/>
      <c r="G299" s="74"/>
      <c r="H299" s="46"/>
      <c r="I299" s="46"/>
      <c r="J299" s="46"/>
      <c r="K299" s="46"/>
      <c r="L299" s="46"/>
      <c r="M299" s="31"/>
      <c r="N299" s="31"/>
      <c r="O299" s="31"/>
      <c r="P299" s="31"/>
      <c r="Q299" s="31"/>
      <c r="R299" s="22"/>
      <c r="S299" s="29"/>
      <c r="T299" s="31"/>
      <c r="U299" s="31"/>
      <c r="V299" s="31"/>
      <c r="W299" s="31"/>
      <c r="X299" s="31"/>
      <c r="Y299" s="31"/>
      <c r="Z299" s="31"/>
      <c r="AA299" s="31"/>
      <c r="AB299" s="31"/>
      <c r="AC299" s="31"/>
      <c r="AD299" s="31"/>
      <c r="AE299" s="31"/>
      <c r="AF299" s="31"/>
      <c r="AG299" s="31"/>
      <c r="AH299" s="31"/>
      <c r="AI299" s="42"/>
      <c r="AJ299" s="42"/>
      <c r="AK299" s="42"/>
      <c r="AL299" s="31"/>
      <c r="AM299" s="31"/>
      <c r="AN299" s="43"/>
      <c r="AO299" s="31"/>
      <c r="AP299" s="44"/>
      <c r="AQ299" s="44"/>
    </row>
    <row r="300" spans="1:43">
      <c r="A300" s="18"/>
      <c r="B300" s="45"/>
      <c r="C300" s="31"/>
      <c r="D300" s="22"/>
      <c r="E300" s="19"/>
      <c r="F300" s="31"/>
      <c r="G300" s="74"/>
      <c r="H300" s="46"/>
      <c r="I300" s="46"/>
      <c r="J300" s="46"/>
      <c r="K300" s="46"/>
      <c r="L300" s="46"/>
      <c r="M300" s="31"/>
      <c r="N300" s="31"/>
      <c r="O300" s="31"/>
      <c r="P300" s="31"/>
      <c r="Q300" s="31"/>
      <c r="R300" s="22"/>
      <c r="S300" s="29"/>
      <c r="T300" s="31"/>
      <c r="U300" s="31"/>
      <c r="V300" s="31"/>
      <c r="W300" s="31"/>
      <c r="X300" s="31"/>
      <c r="Y300" s="31"/>
      <c r="Z300" s="31"/>
      <c r="AA300" s="31"/>
      <c r="AB300" s="31"/>
      <c r="AC300" s="31"/>
      <c r="AD300" s="31"/>
      <c r="AE300" s="31"/>
      <c r="AF300" s="31"/>
      <c r="AG300" s="31"/>
      <c r="AH300" s="31"/>
      <c r="AI300" s="42"/>
      <c r="AJ300" s="42"/>
      <c r="AK300" s="42"/>
      <c r="AL300" s="31"/>
      <c r="AM300" s="31"/>
      <c r="AN300" s="43"/>
      <c r="AO300" s="31"/>
      <c r="AP300" s="44"/>
      <c r="AQ300" s="44"/>
    </row>
    <row r="301" spans="1:43">
      <c r="A301" s="18"/>
      <c r="B301" s="45"/>
      <c r="C301" s="31"/>
      <c r="D301" s="22"/>
      <c r="E301" s="19"/>
      <c r="F301" s="31"/>
      <c r="G301" s="74"/>
      <c r="H301" s="46"/>
      <c r="I301" s="46"/>
      <c r="J301" s="46"/>
      <c r="K301" s="46"/>
      <c r="L301" s="46"/>
      <c r="M301" s="31"/>
      <c r="N301" s="31"/>
      <c r="O301" s="31"/>
      <c r="P301" s="31"/>
      <c r="Q301" s="31"/>
      <c r="R301" s="22"/>
      <c r="S301" s="29"/>
      <c r="T301" s="31"/>
      <c r="U301" s="31"/>
      <c r="V301" s="31"/>
      <c r="W301" s="31"/>
      <c r="X301" s="31"/>
      <c r="Y301" s="31"/>
      <c r="Z301" s="31"/>
      <c r="AA301" s="31"/>
      <c r="AB301" s="31"/>
      <c r="AC301" s="31"/>
      <c r="AD301" s="31"/>
      <c r="AE301" s="31"/>
      <c r="AF301" s="31"/>
      <c r="AG301" s="31"/>
      <c r="AH301" s="31"/>
      <c r="AI301" s="42"/>
      <c r="AJ301" s="42"/>
      <c r="AK301" s="42"/>
      <c r="AL301" s="31"/>
      <c r="AM301" s="31"/>
      <c r="AN301" s="43"/>
      <c r="AO301" s="31"/>
      <c r="AP301" s="44"/>
      <c r="AQ301" s="44"/>
    </row>
    <row r="302" spans="1:43">
      <c r="A302" s="18"/>
      <c r="B302" s="45"/>
      <c r="C302" s="31"/>
      <c r="D302" s="22"/>
      <c r="E302" s="19"/>
      <c r="F302" s="31"/>
      <c r="G302" s="74"/>
      <c r="H302" s="46"/>
      <c r="I302" s="46"/>
      <c r="J302" s="46"/>
      <c r="K302" s="46"/>
      <c r="L302" s="46"/>
      <c r="M302" s="31"/>
      <c r="N302" s="31"/>
      <c r="O302" s="31"/>
      <c r="P302" s="31"/>
      <c r="Q302" s="31"/>
      <c r="R302" s="22"/>
      <c r="S302" s="29"/>
      <c r="T302" s="31"/>
      <c r="U302" s="31"/>
      <c r="V302" s="31"/>
      <c r="W302" s="31"/>
      <c r="X302" s="31"/>
      <c r="Y302" s="31"/>
      <c r="Z302" s="31"/>
      <c r="AA302" s="31"/>
      <c r="AB302" s="31"/>
      <c r="AC302" s="31"/>
      <c r="AD302" s="31"/>
      <c r="AE302" s="31"/>
      <c r="AF302" s="31"/>
      <c r="AG302" s="31"/>
      <c r="AH302" s="31"/>
      <c r="AI302" s="42"/>
      <c r="AJ302" s="42"/>
      <c r="AK302" s="42"/>
      <c r="AL302" s="31"/>
      <c r="AM302" s="31"/>
      <c r="AN302" s="43"/>
      <c r="AO302" s="31"/>
      <c r="AP302" s="44"/>
      <c r="AQ302" s="44"/>
    </row>
    <row r="303" spans="1:43">
      <c r="A303" s="18"/>
      <c r="B303" s="45"/>
      <c r="C303" s="31"/>
      <c r="D303" s="22"/>
      <c r="E303" s="19"/>
      <c r="F303" s="31"/>
      <c r="G303" s="74"/>
      <c r="H303" s="46"/>
      <c r="I303" s="46"/>
      <c r="J303" s="46"/>
      <c r="K303" s="46"/>
      <c r="L303" s="46"/>
      <c r="M303" s="31"/>
      <c r="N303" s="31"/>
      <c r="O303" s="31"/>
      <c r="P303" s="31"/>
      <c r="Q303" s="31"/>
      <c r="R303" s="22"/>
      <c r="S303" s="29"/>
      <c r="T303" s="31"/>
      <c r="U303" s="31"/>
      <c r="V303" s="31"/>
      <c r="W303" s="31"/>
      <c r="X303" s="31"/>
      <c r="Y303" s="31"/>
      <c r="Z303" s="31"/>
      <c r="AA303" s="31"/>
      <c r="AB303" s="31"/>
      <c r="AC303" s="31"/>
      <c r="AD303" s="31"/>
      <c r="AE303" s="31"/>
      <c r="AF303" s="31"/>
      <c r="AG303" s="31"/>
      <c r="AH303" s="31"/>
      <c r="AI303" s="42"/>
      <c r="AJ303" s="42"/>
      <c r="AK303" s="42"/>
      <c r="AL303" s="31"/>
      <c r="AM303" s="31"/>
      <c r="AN303" s="43"/>
      <c r="AO303" s="31"/>
      <c r="AP303" s="44"/>
      <c r="AQ303" s="44"/>
    </row>
    <row r="304" spans="1:43">
      <c r="A304" s="18"/>
      <c r="B304" s="45"/>
      <c r="C304" s="31"/>
      <c r="D304" s="22"/>
      <c r="E304" s="19"/>
      <c r="F304" s="31"/>
      <c r="G304" s="74"/>
      <c r="H304" s="46"/>
      <c r="I304" s="46"/>
      <c r="J304" s="46"/>
      <c r="K304" s="46"/>
      <c r="L304" s="46"/>
      <c r="M304" s="31"/>
      <c r="N304" s="31"/>
      <c r="O304" s="31"/>
      <c r="P304" s="31"/>
      <c r="Q304" s="31"/>
      <c r="R304" s="22"/>
      <c r="S304" s="29"/>
      <c r="T304" s="31"/>
      <c r="U304" s="31"/>
      <c r="V304" s="31"/>
      <c r="W304" s="31"/>
      <c r="X304" s="31"/>
      <c r="Y304" s="31"/>
      <c r="Z304" s="31"/>
      <c r="AA304" s="31"/>
      <c r="AB304" s="31"/>
      <c r="AC304" s="31"/>
      <c r="AD304" s="31"/>
      <c r="AE304" s="31"/>
      <c r="AF304" s="31"/>
      <c r="AG304" s="31"/>
      <c r="AH304" s="31"/>
      <c r="AI304" s="42"/>
      <c r="AJ304" s="42"/>
      <c r="AK304" s="42"/>
      <c r="AL304" s="31"/>
      <c r="AM304" s="31"/>
      <c r="AN304" s="43"/>
      <c r="AO304" s="31"/>
      <c r="AP304" s="44"/>
      <c r="AQ304" s="44"/>
    </row>
    <row r="305" spans="1:43">
      <c r="A305" s="18"/>
      <c r="B305" s="45"/>
      <c r="C305" s="31"/>
      <c r="D305" s="22"/>
      <c r="E305" s="19"/>
      <c r="F305" s="31"/>
      <c r="G305" s="74"/>
      <c r="H305" s="46"/>
      <c r="I305" s="46"/>
      <c r="J305" s="46"/>
      <c r="K305" s="46"/>
      <c r="L305" s="46"/>
      <c r="M305" s="31"/>
      <c r="N305" s="31"/>
      <c r="O305" s="31"/>
      <c r="P305" s="31"/>
      <c r="Q305" s="31"/>
      <c r="R305" s="22"/>
      <c r="S305" s="29"/>
      <c r="T305" s="31"/>
      <c r="U305" s="31"/>
      <c r="V305" s="31"/>
      <c r="W305" s="31"/>
      <c r="X305" s="31"/>
      <c r="Y305" s="31"/>
      <c r="Z305" s="31"/>
      <c r="AA305" s="31"/>
      <c r="AB305" s="31"/>
      <c r="AC305" s="31"/>
      <c r="AD305" s="31"/>
      <c r="AE305" s="31"/>
      <c r="AF305" s="31"/>
      <c r="AG305" s="31"/>
      <c r="AH305" s="31"/>
      <c r="AI305" s="42"/>
      <c r="AJ305" s="42"/>
      <c r="AK305" s="42"/>
      <c r="AL305" s="31"/>
      <c r="AM305" s="31"/>
      <c r="AN305" s="43"/>
      <c r="AO305" s="31"/>
      <c r="AP305" s="44"/>
      <c r="AQ305" s="44"/>
    </row>
    <row r="306" spans="1:43">
      <c r="A306" s="18"/>
      <c r="B306" s="45"/>
      <c r="C306" s="31"/>
      <c r="D306" s="22"/>
      <c r="E306" s="19"/>
      <c r="F306" s="31"/>
      <c r="G306" s="74"/>
      <c r="H306" s="46"/>
      <c r="I306" s="46"/>
      <c r="J306" s="46"/>
      <c r="K306" s="46"/>
      <c r="L306" s="46"/>
      <c r="M306" s="31"/>
      <c r="N306" s="31"/>
      <c r="O306" s="31"/>
      <c r="P306" s="31"/>
      <c r="Q306" s="31"/>
      <c r="R306" s="22"/>
      <c r="S306" s="29"/>
      <c r="T306" s="31"/>
      <c r="U306" s="31"/>
      <c r="V306" s="31"/>
      <c r="W306" s="31"/>
      <c r="X306" s="31"/>
      <c r="Y306" s="31"/>
      <c r="Z306" s="31"/>
      <c r="AA306" s="31"/>
      <c r="AB306" s="31"/>
      <c r="AC306" s="31"/>
      <c r="AD306" s="31"/>
      <c r="AE306" s="31"/>
      <c r="AF306" s="31"/>
      <c r="AG306" s="31"/>
      <c r="AH306" s="31"/>
      <c r="AI306" s="42"/>
      <c r="AJ306" s="42"/>
      <c r="AK306" s="42"/>
      <c r="AL306" s="31"/>
      <c r="AM306" s="31"/>
      <c r="AN306" s="43"/>
      <c r="AO306" s="31"/>
      <c r="AP306" s="44"/>
      <c r="AQ306" s="44"/>
    </row>
    <row r="307" spans="1:43">
      <c r="A307" s="18"/>
      <c r="B307" s="45"/>
      <c r="C307" s="31"/>
      <c r="D307" s="22"/>
      <c r="E307" s="19"/>
      <c r="F307" s="31"/>
      <c r="G307" s="74"/>
      <c r="H307" s="46"/>
      <c r="I307" s="46"/>
      <c r="J307" s="46"/>
      <c r="K307" s="46"/>
      <c r="L307" s="46"/>
      <c r="M307" s="31"/>
      <c r="N307" s="31"/>
      <c r="O307" s="31"/>
      <c r="P307" s="31"/>
      <c r="Q307" s="31"/>
      <c r="R307" s="22"/>
      <c r="S307" s="29"/>
      <c r="T307" s="31"/>
      <c r="U307" s="31"/>
      <c r="V307" s="31"/>
      <c r="W307" s="31"/>
      <c r="X307" s="31"/>
      <c r="Y307" s="31"/>
      <c r="Z307" s="31"/>
      <c r="AA307" s="31"/>
      <c r="AB307" s="31"/>
      <c r="AC307" s="31"/>
      <c r="AD307" s="31"/>
      <c r="AE307" s="31"/>
      <c r="AF307" s="31"/>
      <c r="AG307" s="31"/>
      <c r="AH307" s="31"/>
      <c r="AI307" s="42"/>
      <c r="AJ307" s="42"/>
      <c r="AK307" s="42"/>
      <c r="AL307" s="31"/>
      <c r="AM307" s="31"/>
      <c r="AN307" s="43"/>
      <c r="AO307" s="31"/>
      <c r="AP307" s="44"/>
      <c r="AQ307" s="44"/>
    </row>
    <row r="308" spans="1:43">
      <c r="A308" s="18"/>
      <c r="B308" s="45"/>
      <c r="C308" s="31"/>
      <c r="D308" s="22"/>
      <c r="E308" s="19"/>
      <c r="F308" s="31"/>
      <c r="G308" s="74"/>
      <c r="H308" s="46"/>
      <c r="I308" s="46"/>
      <c r="J308" s="46"/>
      <c r="K308" s="46"/>
      <c r="L308" s="46"/>
      <c r="M308" s="31"/>
      <c r="N308" s="31"/>
      <c r="O308" s="31"/>
      <c r="P308" s="31"/>
      <c r="Q308" s="31"/>
      <c r="R308" s="22"/>
      <c r="S308" s="29"/>
      <c r="T308" s="31"/>
      <c r="U308" s="31"/>
      <c r="V308" s="31"/>
      <c r="W308" s="31"/>
      <c r="X308" s="31"/>
      <c r="Y308" s="31"/>
      <c r="Z308" s="31"/>
      <c r="AA308" s="31"/>
      <c r="AB308" s="31"/>
      <c r="AC308" s="31"/>
      <c r="AD308" s="31"/>
      <c r="AE308" s="31"/>
      <c r="AF308" s="31"/>
      <c r="AG308" s="31"/>
      <c r="AH308" s="31"/>
      <c r="AI308" s="42"/>
      <c r="AJ308" s="42"/>
      <c r="AK308" s="42"/>
      <c r="AL308" s="31"/>
      <c r="AM308" s="31"/>
      <c r="AN308" s="43"/>
      <c r="AO308" s="31"/>
      <c r="AP308" s="44"/>
      <c r="AQ308" s="44"/>
    </row>
    <row r="309" spans="1:43">
      <c r="A309" s="18"/>
      <c r="B309" s="45"/>
      <c r="C309" s="31"/>
      <c r="D309" s="22"/>
      <c r="E309" s="19"/>
      <c r="F309" s="31"/>
      <c r="G309" s="74"/>
      <c r="H309" s="46"/>
      <c r="I309" s="46"/>
      <c r="J309" s="46"/>
      <c r="K309" s="46"/>
      <c r="L309" s="46"/>
      <c r="M309" s="31"/>
      <c r="N309" s="31"/>
      <c r="O309" s="31"/>
      <c r="P309" s="31"/>
      <c r="Q309" s="31"/>
      <c r="R309" s="22"/>
      <c r="S309" s="29"/>
      <c r="T309" s="31"/>
      <c r="U309" s="31"/>
      <c r="V309" s="31"/>
      <c r="W309" s="31"/>
      <c r="X309" s="31"/>
      <c r="Y309" s="31"/>
      <c r="Z309" s="31"/>
      <c r="AA309" s="31"/>
      <c r="AB309" s="31"/>
      <c r="AC309" s="31"/>
      <c r="AD309" s="31"/>
      <c r="AE309" s="31"/>
      <c r="AF309" s="31"/>
      <c r="AG309" s="31"/>
      <c r="AH309" s="31"/>
      <c r="AI309" s="42"/>
      <c r="AJ309" s="42"/>
      <c r="AK309" s="42"/>
      <c r="AL309" s="31"/>
      <c r="AM309" s="31"/>
      <c r="AN309" s="43"/>
      <c r="AO309" s="31"/>
      <c r="AP309" s="44"/>
      <c r="AQ309" s="44"/>
    </row>
    <row r="310" spans="1:43">
      <c r="A310" s="18"/>
      <c r="B310" s="45"/>
      <c r="C310" s="31"/>
      <c r="D310" s="22"/>
      <c r="E310" s="19"/>
      <c r="F310" s="31"/>
      <c r="G310" s="74"/>
      <c r="H310" s="46"/>
      <c r="I310" s="46"/>
      <c r="J310" s="46"/>
      <c r="K310" s="46"/>
      <c r="L310" s="46"/>
      <c r="M310" s="31"/>
      <c r="N310" s="31"/>
      <c r="O310" s="31"/>
      <c r="P310" s="31"/>
      <c r="Q310" s="31"/>
      <c r="R310" s="22"/>
      <c r="S310" s="29"/>
      <c r="T310" s="31"/>
      <c r="U310" s="31"/>
      <c r="V310" s="31"/>
      <c r="W310" s="31"/>
      <c r="X310" s="31"/>
      <c r="Y310" s="31"/>
      <c r="Z310" s="31"/>
      <c r="AA310" s="31"/>
      <c r="AB310" s="31"/>
      <c r="AC310" s="31"/>
      <c r="AD310" s="31"/>
      <c r="AE310" s="31"/>
      <c r="AF310" s="31"/>
      <c r="AG310" s="31"/>
      <c r="AH310" s="31"/>
      <c r="AI310" s="42"/>
      <c r="AJ310" s="42"/>
      <c r="AK310" s="42"/>
      <c r="AL310" s="31"/>
      <c r="AM310" s="31"/>
      <c r="AN310" s="43"/>
      <c r="AO310" s="31"/>
      <c r="AP310" s="44"/>
      <c r="AQ310" s="44"/>
    </row>
    <row r="311" spans="1:43">
      <c r="A311" s="18"/>
      <c r="B311" s="45"/>
      <c r="C311" s="31"/>
      <c r="D311" s="22"/>
      <c r="E311" s="19"/>
      <c r="F311" s="31"/>
      <c r="G311" s="74"/>
      <c r="H311" s="46"/>
      <c r="I311" s="46"/>
      <c r="J311" s="46"/>
      <c r="K311" s="46"/>
      <c r="L311" s="46"/>
      <c r="M311" s="31"/>
      <c r="N311" s="31"/>
      <c r="O311" s="31"/>
      <c r="P311" s="31"/>
      <c r="Q311" s="31"/>
      <c r="R311" s="22"/>
      <c r="S311" s="29"/>
      <c r="T311" s="31"/>
      <c r="U311" s="31"/>
      <c r="V311" s="31"/>
      <c r="W311" s="31"/>
      <c r="X311" s="31"/>
      <c r="Y311" s="31"/>
      <c r="Z311" s="31"/>
      <c r="AA311" s="31"/>
      <c r="AB311" s="31"/>
      <c r="AC311" s="31"/>
      <c r="AD311" s="31"/>
      <c r="AE311" s="31"/>
      <c r="AF311" s="31"/>
      <c r="AG311" s="31"/>
      <c r="AH311" s="31"/>
      <c r="AI311" s="42"/>
      <c r="AJ311" s="42"/>
      <c r="AK311" s="42"/>
      <c r="AL311" s="31"/>
      <c r="AM311" s="31"/>
      <c r="AN311" s="43"/>
      <c r="AO311" s="31"/>
      <c r="AP311" s="44"/>
      <c r="AQ311" s="44"/>
    </row>
    <row r="312" spans="1:43">
      <c r="A312" s="18"/>
      <c r="B312" s="45"/>
      <c r="C312" s="31"/>
      <c r="D312" s="22"/>
      <c r="E312" s="19"/>
      <c r="F312" s="31"/>
      <c r="G312" s="74"/>
      <c r="H312" s="46"/>
      <c r="I312" s="46"/>
      <c r="J312" s="46"/>
      <c r="K312" s="46"/>
      <c r="L312" s="46"/>
      <c r="M312" s="31"/>
      <c r="N312" s="31"/>
      <c r="O312" s="31"/>
      <c r="P312" s="31"/>
      <c r="Q312" s="31"/>
      <c r="R312" s="22"/>
      <c r="S312" s="29"/>
      <c r="T312" s="31"/>
      <c r="U312" s="31"/>
      <c r="V312" s="31"/>
      <c r="W312" s="31"/>
      <c r="X312" s="31"/>
      <c r="Y312" s="31"/>
      <c r="Z312" s="31"/>
      <c r="AA312" s="31"/>
      <c r="AB312" s="31"/>
      <c r="AC312" s="31"/>
      <c r="AD312" s="31"/>
      <c r="AE312" s="31"/>
      <c r="AF312" s="31"/>
      <c r="AG312" s="31"/>
      <c r="AH312" s="31"/>
      <c r="AI312" s="42"/>
      <c r="AJ312" s="42"/>
      <c r="AK312" s="42"/>
      <c r="AL312" s="31"/>
      <c r="AM312" s="31"/>
      <c r="AN312" s="43"/>
      <c r="AO312" s="31"/>
      <c r="AP312" s="44"/>
      <c r="AQ312" s="44"/>
    </row>
    <row r="313" spans="1:43">
      <c r="A313" s="18"/>
      <c r="B313" s="45"/>
      <c r="C313" s="31"/>
      <c r="D313" s="22"/>
      <c r="E313" s="19"/>
      <c r="F313" s="31"/>
      <c r="G313" s="74"/>
      <c r="H313" s="46"/>
      <c r="I313" s="46"/>
      <c r="J313" s="46"/>
      <c r="K313" s="46"/>
      <c r="L313" s="46"/>
      <c r="M313" s="31"/>
      <c r="N313" s="31"/>
      <c r="O313" s="31"/>
      <c r="P313" s="31"/>
      <c r="Q313" s="31"/>
      <c r="R313" s="22"/>
      <c r="S313" s="29"/>
      <c r="T313" s="31"/>
      <c r="U313" s="31"/>
      <c r="V313" s="31"/>
      <c r="W313" s="31"/>
      <c r="X313" s="31"/>
      <c r="Y313" s="31"/>
      <c r="Z313" s="31"/>
      <c r="AA313" s="31"/>
      <c r="AB313" s="31"/>
      <c r="AC313" s="31"/>
      <c r="AD313" s="31"/>
      <c r="AE313" s="31"/>
      <c r="AF313" s="31"/>
      <c r="AG313" s="31"/>
      <c r="AH313" s="31"/>
      <c r="AI313" s="42"/>
      <c r="AJ313" s="42"/>
      <c r="AK313" s="42"/>
      <c r="AL313" s="31"/>
      <c r="AM313" s="31"/>
      <c r="AN313" s="43"/>
      <c r="AO313" s="31"/>
      <c r="AP313" s="44"/>
      <c r="AQ313" s="44"/>
    </row>
    <row r="314" spans="1:43">
      <c r="A314" s="18"/>
      <c r="B314" s="45"/>
      <c r="C314" s="31"/>
      <c r="D314" s="22"/>
      <c r="E314" s="19"/>
      <c r="F314" s="31"/>
      <c r="G314" s="74"/>
      <c r="H314" s="46"/>
      <c r="I314" s="46"/>
      <c r="J314" s="46"/>
      <c r="K314" s="46"/>
      <c r="L314" s="46"/>
      <c r="M314" s="31"/>
      <c r="N314" s="31"/>
      <c r="O314" s="31"/>
      <c r="P314" s="31"/>
      <c r="Q314" s="31"/>
      <c r="R314" s="22"/>
      <c r="S314" s="29"/>
      <c r="T314" s="31"/>
      <c r="U314" s="31"/>
      <c r="V314" s="31"/>
      <c r="W314" s="31"/>
      <c r="X314" s="31"/>
      <c r="Y314" s="31"/>
      <c r="Z314" s="31"/>
      <c r="AA314" s="31"/>
      <c r="AB314" s="31"/>
      <c r="AC314" s="31"/>
      <c r="AD314" s="31"/>
      <c r="AE314" s="31"/>
      <c r="AF314" s="31"/>
      <c r="AG314" s="31"/>
      <c r="AH314" s="31"/>
      <c r="AI314" s="42"/>
      <c r="AJ314" s="42"/>
      <c r="AK314" s="42"/>
      <c r="AL314" s="31"/>
      <c r="AM314" s="31"/>
      <c r="AN314" s="43"/>
      <c r="AO314" s="31"/>
      <c r="AP314" s="44"/>
      <c r="AQ314" s="44"/>
    </row>
    <row r="315" spans="1:43">
      <c r="A315" s="18"/>
      <c r="B315" s="45"/>
      <c r="C315" s="31"/>
      <c r="D315" s="22"/>
      <c r="E315" s="19"/>
      <c r="F315" s="31"/>
      <c r="G315" s="74"/>
      <c r="H315" s="46"/>
      <c r="I315" s="46"/>
      <c r="J315" s="46"/>
      <c r="K315" s="46"/>
      <c r="L315" s="46"/>
      <c r="M315" s="31"/>
      <c r="N315" s="31"/>
      <c r="O315" s="31"/>
      <c r="P315" s="31"/>
      <c r="Q315" s="31"/>
      <c r="R315" s="22"/>
      <c r="S315" s="29"/>
      <c r="T315" s="31"/>
      <c r="U315" s="31"/>
      <c r="V315" s="31"/>
      <c r="W315" s="31"/>
      <c r="X315" s="31"/>
      <c r="Y315" s="31"/>
      <c r="Z315" s="31"/>
      <c r="AA315" s="31"/>
      <c r="AB315" s="31"/>
      <c r="AC315" s="31"/>
      <c r="AD315" s="31"/>
      <c r="AE315" s="31"/>
      <c r="AF315" s="31"/>
      <c r="AG315" s="31"/>
      <c r="AH315" s="31"/>
      <c r="AI315" s="42"/>
      <c r="AJ315" s="42"/>
      <c r="AK315" s="42"/>
      <c r="AL315" s="31"/>
      <c r="AM315" s="31"/>
      <c r="AN315" s="43"/>
      <c r="AO315" s="31"/>
      <c r="AP315" s="44"/>
      <c r="AQ315" s="44"/>
    </row>
    <row r="316" spans="1:43">
      <c r="A316" s="18"/>
      <c r="B316" s="45"/>
      <c r="C316" s="31"/>
      <c r="D316" s="22"/>
      <c r="E316" s="19"/>
      <c r="F316" s="31"/>
      <c r="G316" s="74"/>
      <c r="H316" s="46"/>
      <c r="I316" s="46"/>
      <c r="J316" s="46"/>
      <c r="K316" s="46"/>
      <c r="L316" s="46"/>
      <c r="M316" s="31"/>
      <c r="N316" s="31"/>
      <c r="O316" s="31"/>
      <c r="P316" s="31"/>
      <c r="Q316" s="31"/>
      <c r="R316" s="22"/>
      <c r="S316" s="29"/>
      <c r="T316" s="31"/>
      <c r="U316" s="31"/>
      <c r="V316" s="31"/>
      <c r="W316" s="31"/>
      <c r="X316" s="31"/>
      <c r="Y316" s="31"/>
      <c r="Z316" s="31"/>
      <c r="AA316" s="31"/>
      <c r="AB316" s="31"/>
      <c r="AC316" s="31"/>
      <c r="AD316" s="31"/>
      <c r="AE316" s="31"/>
      <c r="AF316" s="31"/>
      <c r="AG316" s="31"/>
      <c r="AH316" s="31"/>
      <c r="AI316" s="42"/>
      <c r="AJ316" s="42"/>
      <c r="AK316" s="42"/>
      <c r="AL316" s="31"/>
      <c r="AM316" s="31"/>
      <c r="AN316" s="43"/>
      <c r="AO316" s="31"/>
      <c r="AP316" s="44"/>
      <c r="AQ316" s="44"/>
    </row>
    <row r="317" spans="1:43">
      <c r="A317" s="18"/>
      <c r="B317" s="45"/>
      <c r="C317" s="31"/>
      <c r="D317" s="22"/>
      <c r="E317" s="19"/>
      <c r="F317" s="31"/>
      <c r="G317" s="74"/>
      <c r="H317" s="46"/>
      <c r="I317" s="46"/>
      <c r="J317" s="46"/>
      <c r="K317" s="46"/>
      <c r="L317" s="46"/>
      <c r="M317" s="31"/>
      <c r="N317" s="31"/>
      <c r="O317" s="31"/>
      <c r="P317" s="31"/>
      <c r="Q317" s="31"/>
      <c r="R317" s="22"/>
      <c r="S317" s="29"/>
      <c r="T317" s="31"/>
      <c r="U317" s="31"/>
      <c r="V317" s="31"/>
      <c r="W317" s="31"/>
      <c r="X317" s="31"/>
      <c r="Y317" s="31"/>
      <c r="Z317" s="31"/>
      <c r="AA317" s="31"/>
      <c r="AB317" s="31"/>
      <c r="AC317" s="31"/>
      <c r="AD317" s="31"/>
      <c r="AE317" s="31"/>
      <c r="AF317" s="31"/>
      <c r="AG317" s="31"/>
      <c r="AH317" s="31"/>
      <c r="AI317" s="42"/>
      <c r="AJ317" s="42"/>
      <c r="AK317" s="42"/>
      <c r="AL317" s="31"/>
      <c r="AM317" s="31"/>
      <c r="AN317" s="43"/>
      <c r="AO317" s="31"/>
      <c r="AP317" s="44"/>
      <c r="AQ317" s="44"/>
    </row>
    <row r="318" spans="1:43">
      <c r="A318" s="124"/>
      <c r="B318" s="124"/>
      <c r="C318" s="124"/>
      <c r="D318" s="124"/>
      <c r="E318" s="124"/>
      <c r="F318" s="124"/>
      <c r="G318" s="124"/>
      <c r="H318" s="46"/>
      <c r="I318" s="46"/>
      <c r="J318" s="46"/>
      <c r="K318" s="46"/>
      <c r="L318" s="46"/>
      <c r="M318" s="124"/>
      <c r="N318" s="124"/>
      <c r="O318" s="124"/>
      <c r="P318" s="124"/>
      <c r="Q318" s="124"/>
      <c r="R318" s="124"/>
      <c r="S318" s="124"/>
      <c r="T318" s="124"/>
      <c r="U318" s="124"/>
      <c r="V318" s="124"/>
      <c r="W318" s="124"/>
      <c r="X318" s="124"/>
      <c r="Y318" s="124"/>
      <c r="Z318" s="124"/>
      <c r="AA318" s="31"/>
      <c r="AB318" s="34"/>
      <c r="AC318" s="31"/>
      <c r="AD318" s="31"/>
      <c r="AE318" s="31"/>
      <c r="AF318" s="125"/>
      <c r="AG318" s="124"/>
      <c r="AH318" s="124"/>
      <c r="AI318" s="124"/>
      <c r="AJ318" s="126"/>
      <c r="AK318" s="126"/>
      <c r="AL318" s="126"/>
      <c r="AM318" s="124"/>
      <c r="AN318" s="124"/>
      <c r="AO318" s="127"/>
      <c r="AP318" s="124"/>
      <c r="AQ318" s="37"/>
    </row>
    <row r="319" spans="1:43">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c r="AB319" s="22"/>
      <c r="AC319" s="17"/>
      <c r="AD319" s="17"/>
      <c r="AE319" s="17"/>
      <c r="AF319" s="17"/>
      <c r="AG319" s="38"/>
      <c r="AH319" s="38"/>
      <c r="AI319" s="38"/>
      <c r="AJ319" s="39"/>
      <c r="AK319" s="39"/>
      <c r="AL319" s="39"/>
      <c r="AM319" s="38"/>
      <c r="AN319" s="38"/>
      <c r="AO319" s="40"/>
      <c r="AP319" s="38"/>
      <c r="AQ319" s="41"/>
    </row>
    <row r="320" spans="1:43">
      <c r="A320" s="33"/>
      <c r="B320" s="33"/>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c r="AB320" s="34"/>
      <c r="AC320" s="17"/>
      <c r="AD320" s="17"/>
      <c r="AE320" s="17"/>
      <c r="AF320" s="17"/>
      <c r="AG320" s="33"/>
      <c r="AH320" s="33"/>
      <c r="AI320" s="33"/>
      <c r="AJ320" s="35"/>
      <c r="AK320" s="35"/>
      <c r="AL320" s="35"/>
      <c r="AM320" s="33"/>
      <c r="AN320" s="33"/>
      <c r="AO320" s="36"/>
      <c r="AP320" s="33"/>
      <c r="AQ320" s="37"/>
    </row>
    <row r="321" spans="1:43">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c r="AB321" s="22"/>
      <c r="AC321" s="17"/>
      <c r="AD321" s="17"/>
      <c r="AE321" s="17"/>
      <c r="AF321" s="17"/>
      <c r="AG321" s="38"/>
      <c r="AH321" s="38"/>
      <c r="AI321" s="38"/>
      <c r="AJ321" s="39"/>
      <c r="AK321" s="39"/>
      <c r="AL321" s="39"/>
      <c r="AM321" s="38"/>
      <c r="AN321" s="38"/>
      <c r="AO321" s="40"/>
      <c r="AP321" s="38"/>
      <c r="AQ321" s="41"/>
    </row>
    <row r="322" spans="1:43">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c r="AB322" s="34"/>
      <c r="AC322" s="17"/>
      <c r="AD322" s="17"/>
      <c r="AE322" s="17"/>
      <c r="AF322" s="17"/>
      <c r="AG322" s="33"/>
      <c r="AH322" s="33"/>
      <c r="AI322" s="33"/>
      <c r="AJ322" s="35"/>
      <c r="AK322" s="35"/>
      <c r="AL322" s="35"/>
      <c r="AM322" s="33"/>
      <c r="AN322" s="33"/>
      <c r="AO322" s="36"/>
      <c r="AP322" s="33"/>
      <c r="AQ322" s="37"/>
    </row>
    <row r="323" spans="1:43">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c r="AB323" s="22"/>
      <c r="AC323" s="17"/>
      <c r="AD323" s="17"/>
      <c r="AE323" s="17"/>
      <c r="AF323" s="17"/>
      <c r="AG323" s="38"/>
      <c r="AH323" s="38"/>
      <c r="AI323" s="38"/>
      <c r="AJ323" s="39"/>
      <c r="AK323" s="39"/>
      <c r="AL323" s="39"/>
      <c r="AM323" s="38"/>
      <c r="AN323" s="38"/>
      <c r="AO323" s="40"/>
      <c r="AP323" s="38"/>
      <c r="AQ323" s="41"/>
    </row>
    <row r="324" spans="1:43">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c r="AB324" s="34"/>
      <c r="AC324" s="17"/>
      <c r="AD324" s="17"/>
      <c r="AE324" s="17"/>
      <c r="AF324" s="17"/>
      <c r="AG324" s="33"/>
      <c r="AH324" s="33"/>
      <c r="AI324" s="33"/>
      <c r="AJ324" s="35"/>
      <c r="AK324" s="35"/>
      <c r="AL324" s="35"/>
      <c r="AM324" s="33"/>
      <c r="AN324" s="33"/>
      <c r="AO324" s="36"/>
      <c r="AP324" s="33"/>
      <c r="AQ324" s="37"/>
    </row>
    <row r="325" spans="1:43">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c r="AB325" s="22"/>
      <c r="AC325" s="17"/>
      <c r="AD325" s="17"/>
      <c r="AE325" s="17"/>
      <c r="AF325" s="17"/>
      <c r="AG325" s="38"/>
      <c r="AH325" s="38"/>
      <c r="AI325" s="38"/>
      <c r="AJ325" s="39"/>
      <c r="AK325" s="39"/>
      <c r="AL325" s="39"/>
      <c r="AM325" s="38"/>
      <c r="AN325" s="38"/>
      <c r="AO325" s="40"/>
      <c r="AP325" s="38"/>
      <c r="AQ325" s="41"/>
    </row>
    <row r="326" spans="1:43">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c r="AB326" s="34"/>
      <c r="AC326" s="17"/>
      <c r="AD326" s="17"/>
      <c r="AE326" s="17"/>
      <c r="AF326" s="17"/>
      <c r="AG326" s="33"/>
      <c r="AH326" s="33"/>
      <c r="AI326" s="33"/>
      <c r="AJ326" s="35"/>
      <c r="AK326" s="35"/>
      <c r="AL326" s="35"/>
      <c r="AM326" s="33"/>
      <c r="AN326" s="33"/>
      <c r="AO326" s="36"/>
      <c r="AP326" s="33"/>
      <c r="AQ326" s="37"/>
    </row>
    <row r="327" spans="1:43">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c r="AB327" s="22"/>
      <c r="AC327" s="17"/>
      <c r="AD327" s="17"/>
      <c r="AE327" s="17"/>
      <c r="AF327" s="17"/>
      <c r="AG327" s="38"/>
      <c r="AH327" s="38"/>
      <c r="AI327" s="38"/>
      <c r="AJ327" s="39"/>
      <c r="AK327" s="39"/>
      <c r="AL327" s="39"/>
      <c r="AM327" s="38"/>
      <c r="AN327" s="38"/>
      <c r="AO327" s="40"/>
      <c r="AP327" s="38"/>
      <c r="AQ327" s="41"/>
    </row>
    <row r="328" spans="1:43">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c r="AB328" s="34"/>
      <c r="AC328" s="17"/>
      <c r="AD328" s="17"/>
      <c r="AE328" s="17"/>
      <c r="AF328" s="17"/>
      <c r="AG328" s="33"/>
      <c r="AH328" s="33"/>
      <c r="AI328" s="33"/>
      <c r="AJ328" s="35"/>
      <c r="AK328" s="35"/>
      <c r="AL328" s="35"/>
      <c r="AM328" s="33"/>
      <c r="AN328" s="33"/>
      <c r="AO328" s="36"/>
      <c r="AP328" s="33"/>
      <c r="AQ328" s="37"/>
    </row>
    <row r="329" spans="1:43">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c r="AB329" s="22"/>
      <c r="AC329" s="17"/>
      <c r="AD329" s="17"/>
      <c r="AE329" s="17"/>
      <c r="AF329" s="17"/>
      <c r="AG329" s="38"/>
      <c r="AH329" s="38"/>
      <c r="AI329" s="38"/>
      <c r="AJ329" s="39"/>
      <c r="AK329" s="39"/>
      <c r="AL329" s="39"/>
      <c r="AM329" s="38"/>
      <c r="AN329" s="38"/>
      <c r="AO329" s="40"/>
      <c r="AP329" s="38"/>
      <c r="AQ329" s="41"/>
    </row>
    <row r="330" spans="1:43">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c r="AB330" s="34"/>
      <c r="AC330" s="17"/>
      <c r="AD330" s="17"/>
      <c r="AE330" s="17"/>
      <c r="AF330" s="17"/>
      <c r="AG330" s="33"/>
      <c r="AH330" s="33"/>
      <c r="AI330" s="33"/>
      <c r="AJ330" s="35"/>
      <c r="AK330" s="35"/>
      <c r="AL330" s="35"/>
      <c r="AM330" s="33"/>
      <c r="AN330" s="33"/>
      <c r="AO330" s="36"/>
      <c r="AP330" s="33"/>
      <c r="AQ330" s="37"/>
    </row>
    <row r="331" spans="1:43">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c r="AB331" s="22"/>
      <c r="AC331" s="17"/>
      <c r="AD331" s="17"/>
      <c r="AE331" s="17"/>
      <c r="AF331" s="17"/>
      <c r="AG331" s="38"/>
      <c r="AH331" s="38"/>
      <c r="AI331" s="38"/>
      <c r="AJ331" s="39"/>
      <c r="AK331" s="39"/>
      <c r="AL331" s="39"/>
      <c r="AM331" s="38"/>
      <c r="AN331" s="38"/>
      <c r="AO331" s="40"/>
      <c r="AP331" s="38"/>
      <c r="AQ331" s="41"/>
    </row>
    <row r="332" spans="1:43">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c r="AB332" s="34"/>
      <c r="AC332" s="17"/>
      <c r="AD332" s="17"/>
      <c r="AE332" s="17"/>
      <c r="AF332" s="17"/>
      <c r="AG332" s="33"/>
      <c r="AH332" s="33"/>
      <c r="AI332" s="33"/>
      <c r="AJ332" s="35"/>
      <c r="AK332" s="35"/>
      <c r="AL332" s="35"/>
      <c r="AM332" s="33"/>
      <c r="AN332" s="33"/>
      <c r="AO332" s="36"/>
      <c r="AP332" s="33"/>
      <c r="AQ332" s="37"/>
    </row>
    <row r="333" spans="1:43">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c r="AB333" s="22"/>
      <c r="AC333" s="17"/>
      <c r="AD333" s="17"/>
      <c r="AE333" s="17"/>
      <c r="AF333" s="17"/>
      <c r="AG333" s="38"/>
      <c r="AH333" s="38"/>
      <c r="AI333" s="38"/>
      <c r="AJ333" s="39"/>
      <c r="AK333" s="39"/>
      <c r="AL333" s="39"/>
      <c r="AM333" s="38"/>
      <c r="AN333" s="38"/>
      <c r="AO333" s="40"/>
      <c r="AP333" s="38"/>
      <c r="AQ333" s="41"/>
    </row>
    <row r="334" spans="1:43">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c r="AB334" s="34"/>
      <c r="AC334" s="17"/>
      <c r="AD334" s="17"/>
      <c r="AE334" s="17"/>
      <c r="AF334" s="17"/>
      <c r="AG334" s="33"/>
      <c r="AH334" s="33"/>
      <c r="AI334" s="33"/>
      <c r="AJ334" s="35"/>
      <c r="AK334" s="35"/>
      <c r="AL334" s="35"/>
      <c r="AM334" s="33"/>
      <c r="AN334" s="33"/>
      <c r="AO334" s="36"/>
      <c r="AP334" s="33"/>
      <c r="AQ334" s="37"/>
    </row>
    <row r="335" spans="1:43">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B335" s="22"/>
      <c r="AC335" s="17"/>
      <c r="AD335" s="17"/>
      <c r="AE335" s="17"/>
      <c r="AF335" s="17"/>
      <c r="AG335" s="38"/>
      <c r="AH335" s="38"/>
      <c r="AI335" s="38"/>
      <c r="AJ335" s="39"/>
      <c r="AK335" s="39"/>
      <c r="AL335" s="39"/>
      <c r="AM335" s="38"/>
      <c r="AN335" s="38"/>
      <c r="AO335" s="40"/>
      <c r="AP335" s="38"/>
      <c r="AQ335" s="41"/>
    </row>
    <row r="336" spans="1:43">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c r="AB336" s="34"/>
      <c r="AC336" s="17"/>
      <c r="AD336" s="17"/>
      <c r="AE336" s="17"/>
      <c r="AF336" s="17"/>
      <c r="AG336" s="33"/>
      <c r="AH336" s="33"/>
      <c r="AI336" s="33"/>
      <c r="AJ336" s="35"/>
      <c r="AK336" s="35"/>
      <c r="AL336" s="35"/>
      <c r="AM336" s="33"/>
      <c r="AN336" s="33"/>
      <c r="AO336" s="36"/>
      <c r="AP336" s="33"/>
      <c r="AQ336" s="37"/>
    </row>
    <row r="337" spans="1:43">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c r="AB337" s="22"/>
      <c r="AC337" s="17"/>
      <c r="AD337" s="17"/>
      <c r="AE337" s="17"/>
      <c r="AF337" s="17"/>
      <c r="AG337" s="38"/>
      <c r="AH337" s="38"/>
      <c r="AI337" s="38"/>
      <c r="AJ337" s="39"/>
      <c r="AK337" s="39"/>
      <c r="AL337" s="39"/>
      <c r="AM337" s="38"/>
      <c r="AN337" s="38"/>
      <c r="AO337" s="40"/>
      <c r="AP337" s="38"/>
      <c r="AQ337" s="41"/>
    </row>
    <row r="338" spans="1:43">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c r="AB338" s="34"/>
      <c r="AC338" s="17"/>
      <c r="AD338" s="17"/>
      <c r="AE338" s="17"/>
      <c r="AF338" s="17"/>
      <c r="AG338" s="33"/>
      <c r="AH338" s="33"/>
      <c r="AI338" s="33"/>
      <c r="AJ338" s="35"/>
      <c r="AK338" s="35"/>
      <c r="AL338" s="35"/>
      <c r="AM338" s="33"/>
      <c r="AN338" s="33"/>
      <c r="AO338" s="36"/>
      <c r="AP338" s="33"/>
      <c r="AQ338" s="37"/>
    </row>
    <row r="339" spans="1:43">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c r="AB339" s="22"/>
      <c r="AC339" s="17"/>
      <c r="AD339" s="17"/>
      <c r="AE339" s="17"/>
      <c r="AF339" s="17"/>
      <c r="AG339" s="38"/>
      <c r="AH339" s="38"/>
      <c r="AI339" s="38"/>
      <c r="AJ339" s="39"/>
      <c r="AK339" s="39"/>
      <c r="AL339" s="39"/>
      <c r="AM339" s="38"/>
      <c r="AN339" s="38"/>
      <c r="AO339" s="40"/>
      <c r="AP339" s="38"/>
      <c r="AQ339" s="41"/>
    </row>
    <row r="340" spans="1:43">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c r="AB340" s="34"/>
      <c r="AC340" s="17"/>
      <c r="AD340" s="17"/>
      <c r="AE340" s="17"/>
      <c r="AF340" s="17"/>
      <c r="AG340" s="33"/>
      <c r="AH340" s="33"/>
      <c r="AI340" s="33"/>
      <c r="AJ340" s="35"/>
      <c r="AK340" s="35"/>
      <c r="AL340" s="35"/>
      <c r="AM340" s="33"/>
      <c r="AN340" s="33"/>
      <c r="AO340" s="36"/>
      <c r="AP340" s="33"/>
      <c r="AQ340" s="37"/>
    </row>
    <row r="341" spans="1:43">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c r="AB341" s="22"/>
      <c r="AC341" s="17"/>
      <c r="AD341" s="17"/>
      <c r="AE341" s="17"/>
      <c r="AF341" s="17"/>
      <c r="AG341" s="38"/>
      <c r="AH341" s="38"/>
      <c r="AI341" s="38"/>
      <c r="AJ341" s="39"/>
      <c r="AK341" s="39"/>
      <c r="AL341" s="39"/>
      <c r="AM341" s="38"/>
      <c r="AN341" s="38"/>
      <c r="AO341" s="40"/>
      <c r="AP341" s="38"/>
      <c r="AQ341" s="41"/>
    </row>
    <row r="342" spans="1:43">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c r="AB342" s="34"/>
      <c r="AC342" s="17"/>
      <c r="AD342" s="17"/>
      <c r="AE342" s="17"/>
      <c r="AF342" s="17"/>
      <c r="AG342" s="33"/>
      <c r="AH342" s="33"/>
      <c r="AI342" s="33"/>
      <c r="AJ342" s="35"/>
      <c r="AK342" s="35"/>
      <c r="AL342" s="35"/>
      <c r="AM342" s="33"/>
      <c r="AN342" s="33"/>
      <c r="AO342" s="36"/>
      <c r="AP342" s="33"/>
      <c r="AQ342" s="37"/>
    </row>
    <row r="343" spans="1:43">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c r="AB343" s="22"/>
      <c r="AC343" s="17"/>
      <c r="AD343" s="17"/>
      <c r="AE343" s="17"/>
      <c r="AF343" s="17"/>
      <c r="AG343" s="38"/>
      <c r="AH343" s="38"/>
      <c r="AI343" s="38"/>
      <c r="AJ343" s="39"/>
      <c r="AK343" s="39"/>
      <c r="AL343" s="39"/>
      <c r="AM343" s="38"/>
      <c r="AN343" s="38"/>
      <c r="AO343" s="40"/>
      <c r="AP343" s="38"/>
      <c r="AQ343" s="41"/>
    </row>
    <row r="344" spans="1:43">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c r="AB344" s="34"/>
      <c r="AC344" s="17"/>
      <c r="AD344" s="17"/>
      <c r="AE344" s="17"/>
      <c r="AF344" s="17"/>
      <c r="AG344" s="33"/>
      <c r="AH344" s="33"/>
      <c r="AI344" s="33"/>
      <c r="AJ344" s="35"/>
      <c r="AK344" s="35"/>
      <c r="AL344" s="35"/>
      <c r="AM344" s="33"/>
      <c r="AN344" s="33"/>
      <c r="AO344" s="36"/>
      <c r="AP344" s="33"/>
      <c r="AQ344" s="37"/>
    </row>
    <row r="345" spans="1:43">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c r="AB345" s="22"/>
      <c r="AC345" s="17"/>
      <c r="AD345" s="17"/>
      <c r="AE345" s="17"/>
      <c r="AF345" s="17"/>
      <c r="AG345" s="38"/>
      <c r="AH345" s="38"/>
      <c r="AI345" s="38"/>
      <c r="AJ345" s="39"/>
      <c r="AK345" s="39"/>
      <c r="AL345" s="39"/>
      <c r="AM345" s="38"/>
      <c r="AN345" s="38"/>
      <c r="AO345" s="40"/>
      <c r="AP345" s="38"/>
      <c r="AQ345" s="41"/>
    </row>
    <row r="346" spans="1:43">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c r="AB346" s="34"/>
      <c r="AC346" s="17"/>
      <c r="AD346" s="17"/>
      <c r="AE346" s="17"/>
      <c r="AF346" s="17"/>
      <c r="AG346" s="33"/>
      <c r="AH346" s="33"/>
      <c r="AI346" s="33"/>
      <c r="AJ346" s="35"/>
      <c r="AK346" s="35"/>
      <c r="AL346" s="35"/>
      <c r="AM346" s="33"/>
      <c r="AN346" s="33"/>
      <c r="AO346" s="36"/>
      <c r="AP346" s="33"/>
      <c r="AQ346" s="37"/>
    </row>
    <row r="347" spans="1:43">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c r="AB347" s="22"/>
      <c r="AC347" s="17"/>
      <c r="AD347" s="17"/>
      <c r="AE347" s="17"/>
      <c r="AF347" s="17"/>
      <c r="AG347" s="38"/>
      <c r="AH347" s="38"/>
      <c r="AI347" s="38"/>
      <c r="AJ347" s="39"/>
      <c r="AK347" s="39"/>
      <c r="AL347" s="39"/>
      <c r="AM347" s="38"/>
      <c r="AN347" s="38"/>
      <c r="AO347" s="40"/>
      <c r="AP347" s="38"/>
      <c r="AQ347" s="41"/>
    </row>
    <row r="348" spans="1:43">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c r="AB348" s="34"/>
      <c r="AC348" s="17"/>
      <c r="AD348" s="17"/>
      <c r="AE348" s="17"/>
      <c r="AF348" s="17"/>
      <c r="AG348" s="33"/>
      <c r="AH348" s="33"/>
      <c r="AI348" s="33"/>
      <c r="AJ348" s="35"/>
      <c r="AK348" s="35"/>
      <c r="AL348" s="35"/>
      <c r="AM348" s="33"/>
      <c r="AN348" s="33"/>
      <c r="AO348" s="36"/>
      <c r="AP348" s="33"/>
      <c r="AQ348" s="37"/>
    </row>
    <row r="349" spans="1:43">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c r="AB349" s="22"/>
      <c r="AC349" s="17"/>
      <c r="AD349" s="17"/>
      <c r="AE349" s="17"/>
      <c r="AF349" s="17"/>
      <c r="AG349" s="38"/>
      <c r="AH349" s="38"/>
      <c r="AI349" s="38"/>
      <c r="AJ349" s="39"/>
      <c r="AK349" s="39"/>
      <c r="AL349" s="39"/>
      <c r="AM349" s="38"/>
      <c r="AN349" s="38"/>
      <c r="AO349" s="40"/>
      <c r="AP349" s="38"/>
      <c r="AQ349" s="41"/>
    </row>
    <row r="350" spans="1:43">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c r="AB350" s="34"/>
      <c r="AC350" s="17"/>
      <c r="AD350" s="17"/>
      <c r="AE350" s="17"/>
      <c r="AF350" s="17"/>
      <c r="AG350" s="33"/>
      <c r="AH350" s="33"/>
      <c r="AI350" s="33"/>
      <c r="AJ350" s="35"/>
      <c r="AK350" s="35"/>
      <c r="AL350" s="35"/>
      <c r="AM350" s="33"/>
      <c r="AN350" s="33"/>
      <c r="AO350" s="36"/>
      <c r="AP350" s="33"/>
      <c r="AQ350" s="37"/>
    </row>
    <row r="351" spans="1:43">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B351" s="22"/>
      <c r="AC351" s="17"/>
      <c r="AD351" s="17"/>
      <c r="AE351" s="17"/>
      <c r="AF351" s="17"/>
      <c r="AG351" s="38"/>
      <c r="AH351" s="38"/>
      <c r="AI351" s="38"/>
      <c r="AJ351" s="39"/>
      <c r="AK351" s="39"/>
      <c r="AL351" s="39"/>
      <c r="AM351" s="38"/>
      <c r="AN351" s="38"/>
      <c r="AO351" s="40"/>
      <c r="AP351" s="38"/>
      <c r="AQ351" s="41"/>
    </row>
    <row r="352" spans="1:43">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c r="AB352" s="34"/>
      <c r="AC352" s="17"/>
      <c r="AD352" s="17"/>
      <c r="AE352" s="17"/>
      <c r="AF352" s="17"/>
      <c r="AG352" s="33"/>
      <c r="AH352" s="33"/>
      <c r="AI352" s="33"/>
      <c r="AJ352" s="35"/>
      <c r="AK352" s="35"/>
      <c r="AL352" s="35"/>
      <c r="AM352" s="33"/>
      <c r="AN352" s="33"/>
      <c r="AO352" s="36"/>
      <c r="AP352" s="33"/>
      <c r="AQ352" s="37"/>
    </row>
    <row r="353" spans="1:43">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B353" s="22"/>
      <c r="AC353" s="17"/>
      <c r="AD353" s="17"/>
      <c r="AE353" s="17"/>
      <c r="AF353" s="17"/>
      <c r="AG353" s="38"/>
      <c r="AH353" s="38"/>
      <c r="AI353" s="38"/>
      <c r="AJ353" s="39"/>
      <c r="AK353" s="39"/>
      <c r="AL353" s="39"/>
      <c r="AM353" s="38"/>
      <c r="AN353" s="38"/>
      <c r="AO353" s="40"/>
      <c r="AP353" s="38"/>
      <c r="AQ353" s="41"/>
    </row>
    <row r="354" spans="1:43">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c r="AB354" s="34"/>
      <c r="AC354" s="17"/>
      <c r="AD354" s="17"/>
      <c r="AE354" s="17"/>
      <c r="AF354" s="17"/>
      <c r="AG354" s="33"/>
      <c r="AH354" s="33"/>
      <c r="AI354" s="33"/>
      <c r="AJ354" s="35"/>
      <c r="AK354" s="35"/>
      <c r="AL354" s="35"/>
      <c r="AM354" s="33"/>
      <c r="AN354" s="33"/>
      <c r="AO354" s="36"/>
      <c r="AP354" s="33"/>
      <c r="AQ354" s="37"/>
    </row>
    <row r="355" spans="1:43">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B355" s="22"/>
      <c r="AC355" s="17"/>
      <c r="AD355" s="17"/>
      <c r="AE355" s="17"/>
      <c r="AF355" s="17"/>
      <c r="AG355" s="38"/>
      <c r="AH355" s="38"/>
      <c r="AI355" s="38"/>
      <c r="AJ355" s="39"/>
      <c r="AK355" s="39"/>
      <c r="AL355" s="39"/>
      <c r="AM355" s="38"/>
      <c r="AN355" s="38"/>
      <c r="AO355" s="40"/>
      <c r="AP355" s="38"/>
      <c r="AQ355" s="41"/>
    </row>
    <row r="356" spans="1:43">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c r="AB356" s="34"/>
      <c r="AC356" s="17"/>
      <c r="AD356" s="17"/>
      <c r="AE356" s="17"/>
      <c r="AF356" s="17"/>
      <c r="AG356" s="33"/>
      <c r="AH356" s="33"/>
      <c r="AI356" s="33"/>
      <c r="AJ356" s="35"/>
      <c r="AK356" s="35"/>
      <c r="AL356" s="35"/>
      <c r="AM356" s="33"/>
      <c r="AN356" s="33"/>
      <c r="AO356" s="36"/>
      <c r="AP356" s="33"/>
      <c r="AQ356" s="37"/>
    </row>
    <row r="357" spans="1:43">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c r="AB357" s="22"/>
      <c r="AC357" s="17"/>
      <c r="AD357" s="17"/>
      <c r="AE357" s="17"/>
      <c r="AF357" s="17"/>
      <c r="AG357" s="38"/>
      <c r="AH357" s="38"/>
      <c r="AI357" s="38"/>
      <c r="AJ357" s="39"/>
      <c r="AK357" s="39"/>
      <c r="AL357" s="39"/>
      <c r="AM357" s="38"/>
      <c r="AN357" s="38"/>
      <c r="AO357" s="40"/>
      <c r="AP357" s="38"/>
      <c r="AQ357" s="41"/>
    </row>
    <row r="358" spans="1:43">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c r="AB358" s="34"/>
      <c r="AC358" s="17"/>
      <c r="AD358" s="17"/>
      <c r="AE358" s="17"/>
      <c r="AF358" s="17"/>
      <c r="AG358" s="33"/>
      <c r="AH358" s="33"/>
      <c r="AI358" s="33"/>
      <c r="AJ358" s="35"/>
      <c r="AK358" s="35"/>
      <c r="AL358" s="35"/>
      <c r="AM358" s="33"/>
      <c r="AN358" s="33"/>
      <c r="AO358" s="36"/>
      <c r="AP358" s="33"/>
      <c r="AQ358" s="37"/>
    </row>
    <row r="359" spans="1:43">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B359" s="22"/>
      <c r="AC359" s="17"/>
      <c r="AD359" s="17"/>
      <c r="AE359" s="17"/>
      <c r="AF359" s="17"/>
      <c r="AG359" s="38"/>
      <c r="AH359" s="38"/>
      <c r="AI359" s="38"/>
      <c r="AJ359" s="39"/>
      <c r="AK359" s="39"/>
      <c r="AL359" s="39"/>
      <c r="AM359" s="38"/>
      <c r="AN359" s="38"/>
      <c r="AO359" s="40"/>
      <c r="AP359" s="38"/>
      <c r="AQ359" s="41"/>
    </row>
    <row r="360" spans="1:43">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c r="AB360" s="34"/>
      <c r="AC360" s="17"/>
      <c r="AD360" s="17"/>
      <c r="AE360" s="17"/>
      <c r="AF360" s="17"/>
      <c r="AG360" s="33"/>
      <c r="AH360" s="33"/>
      <c r="AI360" s="33"/>
      <c r="AJ360" s="35"/>
      <c r="AK360" s="35"/>
      <c r="AL360" s="35"/>
      <c r="AM360" s="33"/>
      <c r="AN360" s="33"/>
      <c r="AO360" s="36"/>
      <c r="AP360" s="33"/>
      <c r="AQ360" s="37"/>
    </row>
    <row r="361" spans="1:43">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c r="AB361" s="22"/>
      <c r="AC361" s="17"/>
      <c r="AD361" s="17"/>
      <c r="AE361" s="17"/>
      <c r="AF361" s="17"/>
      <c r="AG361" s="38"/>
      <c r="AH361" s="38"/>
      <c r="AI361" s="38"/>
      <c r="AJ361" s="39"/>
      <c r="AK361" s="39"/>
      <c r="AL361" s="39"/>
      <c r="AM361" s="38"/>
      <c r="AN361" s="38"/>
      <c r="AO361" s="40"/>
      <c r="AP361" s="38"/>
      <c r="AQ361" s="41"/>
    </row>
    <row r="362" spans="1:43">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c r="AB362" s="34"/>
      <c r="AC362" s="17"/>
      <c r="AD362" s="17"/>
      <c r="AE362" s="17"/>
      <c r="AF362" s="17"/>
      <c r="AG362" s="33"/>
      <c r="AH362" s="33"/>
      <c r="AI362" s="33"/>
      <c r="AJ362" s="35"/>
      <c r="AK362" s="35"/>
      <c r="AL362" s="35"/>
      <c r="AM362" s="33"/>
      <c r="AN362" s="33"/>
      <c r="AO362" s="36"/>
      <c r="AP362" s="33"/>
      <c r="AQ362" s="37"/>
    </row>
    <row r="363" spans="1:43">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c r="AB363" s="22"/>
      <c r="AC363" s="17"/>
      <c r="AD363" s="17"/>
      <c r="AE363" s="17"/>
      <c r="AF363" s="17"/>
      <c r="AG363" s="38"/>
      <c r="AH363" s="38"/>
      <c r="AI363" s="38"/>
      <c r="AJ363" s="39"/>
      <c r="AK363" s="39"/>
      <c r="AL363" s="39"/>
      <c r="AM363" s="38"/>
      <c r="AN363" s="38"/>
      <c r="AO363" s="40"/>
      <c r="AP363" s="38"/>
      <c r="AQ363" s="41"/>
    </row>
    <row r="364" spans="1:43">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c r="AB364" s="34"/>
      <c r="AC364" s="17"/>
      <c r="AD364" s="17"/>
      <c r="AE364" s="17"/>
      <c r="AF364" s="17"/>
      <c r="AG364" s="33"/>
      <c r="AH364" s="33"/>
      <c r="AI364" s="33"/>
      <c r="AJ364" s="35"/>
      <c r="AK364" s="35"/>
      <c r="AL364" s="35"/>
      <c r="AM364" s="33"/>
      <c r="AN364" s="33"/>
      <c r="AO364" s="36"/>
      <c r="AP364" s="33"/>
      <c r="AQ364" s="37"/>
    </row>
    <row r="365" spans="1:43">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c r="AB365" s="22"/>
      <c r="AC365" s="17"/>
      <c r="AD365" s="17"/>
      <c r="AE365" s="17"/>
      <c r="AF365" s="17"/>
      <c r="AG365" s="38"/>
      <c r="AH365" s="38"/>
      <c r="AI365" s="38"/>
      <c r="AJ365" s="39"/>
      <c r="AK365" s="39"/>
      <c r="AL365" s="39"/>
      <c r="AM365" s="38"/>
      <c r="AN365" s="38"/>
      <c r="AO365" s="40"/>
      <c r="AP365" s="38"/>
      <c r="AQ365" s="41"/>
    </row>
    <row r="366" spans="1:43">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c r="AB366" s="34"/>
      <c r="AC366" s="17"/>
      <c r="AD366" s="17"/>
      <c r="AE366" s="17"/>
      <c r="AF366" s="17"/>
      <c r="AG366" s="33"/>
      <c r="AH366" s="33"/>
      <c r="AI366" s="33"/>
      <c r="AJ366" s="35"/>
      <c r="AK366" s="35"/>
      <c r="AL366" s="35"/>
      <c r="AM366" s="33"/>
      <c r="AN366" s="33"/>
      <c r="AO366" s="36"/>
      <c r="AP366" s="33"/>
      <c r="AQ366" s="37"/>
    </row>
    <row r="367" spans="1:43">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B367" s="22"/>
      <c r="AC367" s="17"/>
      <c r="AD367" s="17"/>
      <c r="AE367" s="17"/>
      <c r="AF367" s="17"/>
      <c r="AG367" s="38"/>
      <c r="AH367" s="38"/>
      <c r="AI367" s="38"/>
      <c r="AJ367" s="39"/>
      <c r="AK367" s="39"/>
      <c r="AL367" s="39"/>
      <c r="AM367" s="38"/>
      <c r="AN367" s="38"/>
      <c r="AO367" s="40"/>
      <c r="AP367" s="38"/>
      <c r="AQ367" s="41"/>
    </row>
    <row r="368" spans="1:43">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c r="AB368" s="34"/>
      <c r="AC368" s="17"/>
      <c r="AD368" s="17"/>
      <c r="AE368" s="17"/>
      <c r="AF368" s="17"/>
      <c r="AG368" s="33"/>
      <c r="AH368" s="33"/>
      <c r="AI368" s="33"/>
      <c r="AJ368" s="35"/>
      <c r="AK368" s="35"/>
      <c r="AL368" s="35"/>
      <c r="AM368" s="33"/>
      <c r="AN368" s="33"/>
      <c r="AO368" s="36"/>
      <c r="AP368" s="33"/>
      <c r="AQ368" s="37"/>
    </row>
    <row r="369" spans="1:43">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c r="AB369" s="22"/>
      <c r="AC369" s="17"/>
      <c r="AD369" s="17"/>
      <c r="AE369" s="17"/>
      <c r="AF369" s="17"/>
      <c r="AG369" s="38"/>
      <c r="AH369" s="38"/>
      <c r="AI369" s="38"/>
      <c r="AJ369" s="39"/>
      <c r="AK369" s="39"/>
      <c r="AL369" s="39"/>
      <c r="AM369" s="38"/>
      <c r="AN369" s="38"/>
      <c r="AO369" s="40"/>
      <c r="AP369" s="38"/>
      <c r="AQ369" s="41"/>
    </row>
    <row r="370" spans="1:43">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c r="AB370" s="34"/>
      <c r="AC370" s="17"/>
      <c r="AD370" s="17"/>
      <c r="AE370" s="17"/>
      <c r="AF370" s="17"/>
      <c r="AG370" s="33"/>
      <c r="AH370" s="33"/>
      <c r="AI370" s="33"/>
      <c r="AJ370" s="35"/>
      <c r="AK370" s="35"/>
      <c r="AL370" s="35"/>
      <c r="AM370" s="33"/>
      <c r="AN370" s="33"/>
      <c r="AO370" s="36"/>
      <c r="AP370" s="33"/>
      <c r="AQ370" s="37"/>
    </row>
    <row r="371" spans="1:43">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c r="AB371" s="22"/>
      <c r="AC371" s="17"/>
      <c r="AD371" s="17"/>
      <c r="AE371" s="17"/>
      <c r="AF371" s="17"/>
      <c r="AG371" s="38"/>
      <c r="AH371" s="38"/>
      <c r="AI371" s="38"/>
      <c r="AJ371" s="39"/>
      <c r="AK371" s="39"/>
      <c r="AL371" s="39"/>
      <c r="AM371" s="38"/>
      <c r="AN371" s="38"/>
      <c r="AO371" s="40"/>
      <c r="AP371" s="38"/>
      <c r="AQ371" s="41"/>
    </row>
    <row r="372" spans="1:43">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c r="AB372" s="34"/>
      <c r="AC372" s="17"/>
      <c r="AD372" s="17"/>
      <c r="AE372" s="17"/>
      <c r="AF372" s="17"/>
      <c r="AG372" s="33"/>
      <c r="AH372" s="33"/>
      <c r="AI372" s="33"/>
      <c r="AJ372" s="35"/>
      <c r="AK372" s="35"/>
      <c r="AL372" s="35"/>
      <c r="AM372" s="33"/>
      <c r="AN372" s="33"/>
      <c r="AO372" s="36"/>
      <c r="AP372" s="33"/>
      <c r="AQ372" s="37"/>
    </row>
    <row r="373" spans="1:43">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B373" s="22"/>
      <c r="AC373" s="17"/>
      <c r="AD373" s="17"/>
      <c r="AE373" s="17"/>
      <c r="AF373" s="17"/>
      <c r="AG373" s="38"/>
      <c r="AH373" s="38"/>
      <c r="AI373" s="38"/>
      <c r="AJ373" s="39"/>
      <c r="AK373" s="39"/>
      <c r="AL373" s="39"/>
      <c r="AM373" s="38"/>
      <c r="AN373" s="38"/>
      <c r="AO373" s="40"/>
      <c r="AP373" s="38"/>
      <c r="AQ373" s="41"/>
    </row>
    <row r="374" spans="1:43">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c r="AB374" s="34"/>
      <c r="AC374" s="17"/>
      <c r="AD374" s="17"/>
      <c r="AE374" s="17"/>
      <c r="AF374" s="17"/>
      <c r="AG374" s="33"/>
      <c r="AH374" s="33"/>
      <c r="AI374" s="33"/>
      <c r="AJ374" s="35"/>
      <c r="AK374" s="35"/>
      <c r="AL374" s="35"/>
      <c r="AM374" s="33"/>
      <c r="AN374" s="33"/>
      <c r="AO374" s="36"/>
      <c r="AP374" s="33"/>
      <c r="AQ374" s="37"/>
    </row>
    <row r="375" spans="1:43">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B375" s="22"/>
      <c r="AC375" s="17"/>
      <c r="AD375" s="17"/>
      <c r="AE375" s="17"/>
      <c r="AF375" s="17"/>
      <c r="AG375" s="38"/>
      <c r="AH375" s="38"/>
      <c r="AI375" s="38"/>
      <c r="AJ375" s="39"/>
      <c r="AK375" s="39"/>
      <c r="AL375" s="39"/>
      <c r="AM375" s="38"/>
      <c r="AN375" s="38"/>
      <c r="AO375" s="40"/>
      <c r="AP375" s="38"/>
      <c r="AQ375" s="41"/>
    </row>
    <row r="376" spans="1:43">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c r="AB376" s="34"/>
      <c r="AC376" s="17"/>
      <c r="AD376" s="17"/>
      <c r="AE376" s="17"/>
      <c r="AF376" s="17"/>
      <c r="AG376" s="33"/>
      <c r="AH376" s="33"/>
      <c r="AI376" s="33"/>
      <c r="AJ376" s="35"/>
      <c r="AK376" s="35"/>
      <c r="AL376" s="35"/>
      <c r="AM376" s="33"/>
      <c r="AN376" s="33"/>
      <c r="AO376" s="36"/>
      <c r="AP376" s="33"/>
      <c r="AQ376" s="37"/>
    </row>
    <row r="377" spans="1:43">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B377" s="22"/>
      <c r="AC377" s="17"/>
      <c r="AD377" s="17"/>
      <c r="AE377" s="17"/>
      <c r="AF377" s="17"/>
      <c r="AG377" s="38"/>
      <c r="AH377" s="38"/>
      <c r="AI377" s="38"/>
      <c r="AJ377" s="39"/>
      <c r="AK377" s="39"/>
      <c r="AL377" s="39"/>
      <c r="AM377" s="38"/>
      <c r="AN377" s="38"/>
      <c r="AO377" s="40"/>
      <c r="AP377" s="38"/>
      <c r="AQ377" s="41"/>
    </row>
    <row r="378" spans="1:43">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c r="AB378" s="34"/>
      <c r="AC378" s="17"/>
      <c r="AD378" s="17"/>
      <c r="AE378" s="17"/>
      <c r="AF378" s="17"/>
      <c r="AG378" s="33"/>
      <c r="AH378" s="33"/>
      <c r="AI378" s="33"/>
      <c r="AJ378" s="35"/>
      <c r="AK378" s="35"/>
      <c r="AL378" s="35"/>
      <c r="AM378" s="33"/>
      <c r="AN378" s="33"/>
      <c r="AO378" s="36"/>
      <c r="AP378" s="33"/>
      <c r="AQ378" s="37"/>
    </row>
    <row r="379" spans="1:43">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B379" s="22"/>
      <c r="AC379" s="17"/>
      <c r="AD379" s="17"/>
      <c r="AE379" s="17"/>
      <c r="AF379" s="17"/>
      <c r="AG379" s="38"/>
      <c r="AH379" s="38"/>
      <c r="AI379" s="38"/>
      <c r="AJ379" s="39"/>
      <c r="AK379" s="39"/>
      <c r="AL379" s="39"/>
      <c r="AM379" s="38"/>
      <c r="AN379" s="38"/>
      <c r="AO379" s="40"/>
      <c r="AP379" s="38"/>
      <c r="AQ379" s="41"/>
    </row>
    <row r="380" spans="1:43">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c r="AB380" s="34"/>
      <c r="AC380" s="17"/>
      <c r="AD380" s="17"/>
      <c r="AE380" s="17"/>
      <c r="AF380" s="17"/>
      <c r="AG380" s="33"/>
      <c r="AH380" s="33"/>
      <c r="AI380" s="33"/>
      <c r="AJ380" s="35"/>
      <c r="AK380" s="35"/>
      <c r="AL380" s="35"/>
      <c r="AM380" s="33"/>
      <c r="AN380" s="33"/>
      <c r="AO380" s="36"/>
      <c r="AP380" s="33"/>
      <c r="AQ380" s="37"/>
    </row>
    <row r="381" spans="1:43">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B381" s="22"/>
      <c r="AC381" s="17"/>
      <c r="AD381" s="17"/>
      <c r="AE381" s="17"/>
      <c r="AF381" s="17"/>
      <c r="AG381" s="38"/>
      <c r="AH381" s="38"/>
      <c r="AI381" s="38"/>
      <c r="AJ381" s="39"/>
      <c r="AK381" s="39"/>
      <c r="AL381" s="39"/>
      <c r="AM381" s="38"/>
      <c r="AN381" s="38"/>
      <c r="AO381" s="40"/>
      <c r="AP381" s="38"/>
      <c r="AQ381" s="41"/>
    </row>
    <row r="382" spans="1:43">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c r="AB382" s="34"/>
      <c r="AC382" s="17"/>
      <c r="AD382" s="17"/>
      <c r="AE382" s="17"/>
      <c r="AF382" s="17"/>
      <c r="AG382" s="33"/>
      <c r="AH382" s="33"/>
      <c r="AI382" s="33"/>
      <c r="AJ382" s="35"/>
      <c r="AK382" s="35"/>
      <c r="AL382" s="35"/>
      <c r="AM382" s="33"/>
      <c r="AN382" s="33"/>
      <c r="AO382" s="36"/>
      <c r="AP382" s="33"/>
      <c r="AQ382" s="37"/>
    </row>
    <row r="383" spans="1:43">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B383" s="22"/>
      <c r="AC383" s="17"/>
      <c r="AD383" s="17"/>
      <c r="AE383" s="17"/>
      <c r="AF383" s="17"/>
      <c r="AG383" s="38"/>
      <c r="AH383" s="38"/>
      <c r="AI383" s="38"/>
      <c r="AJ383" s="39"/>
      <c r="AK383" s="39"/>
      <c r="AL383" s="39"/>
      <c r="AM383" s="38"/>
      <c r="AN383" s="38"/>
      <c r="AO383" s="40"/>
      <c r="AP383" s="38"/>
      <c r="AQ383" s="41"/>
    </row>
    <row r="384" spans="1:43">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c r="AB384" s="34"/>
      <c r="AC384" s="17"/>
      <c r="AD384" s="17"/>
      <c r="AE384" s="17"/>
      <c r="AF384" s="17"/>
      <c r="AG384" s="33"/>
      <c r="AH384" s="33"/>
      <c r="AI384" s="33"/>
      <c r="AJ384" s="35"/>
      <c r="AK384" s="35"/>
      <c r="AL384" s="35"/>
      <c r="AM384" s="33"/>
      <c r="AN384" s="33"/>
      <c r="AO384" s="36"/>
      <c r="AP384" s="33"/>
      <c r="AQ384" s="37"/>
    </row>
    <row r="385" spans="1:43">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B385" s="22"/>
      <c r="AC385" s="17"/>
      <c r="AD385" s="17"/>
      <c r="AE385" s="17"/>
      <c r="AF385" s="17"/>
      <c r="AG385" s="38"/>
      <c r="AH385" s="38"/>
      <c r="AI385" s="38"/>
      <c r="AJ385" s="39"/>
      <c r="AK385" s="39"/>
      <c r="AL385" s="39"/>
      <c r="AM385" s="38"/>
      <c r="AN385" s="38"/>
      <c r="AO385" s="40"/>
      <c r="AP385" s="38"/>
      <c r="AQ385" s="41"/>
    </row>
    <row r="386" spans="1:43">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c r="AB386" s="34"/>
      <c r="AC386" s="17"/>
      <c r="AD386" s="17"/>
      <c r="AE386" s="17"/>
      <c r="AF386" s="17"/>
      <c r="AG386" s="33"/>
      <c r="AH386" s="33"/>
      <c r="AI386" s="33"/>
      <c r="AJ386" s="35"/>
      <c r="AK386" s="35"/>
      <c r="AL386" s="35"/>
      <c r="AM386" s="33"/>
      <c r="AN386" s="33"/>
      <c r="AO386" s="36"/>
      <c r="AP386" s="33"/>
      <c r="AQ386" s="37"/>
    </row>
    <row r="387" spans="1:43">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c r="AB387" s="22"/>
      <c r="AC387" s="17"/>
      <c r="AD387" s="17"/>
      <c r="AE387" s="17"/>
      <c r="AF387" s="17"/>
      <c r="AG387" s="38"/>
      <c r="AH387" s="38"/>
      <c r="AI387" s="38"/>
      <c r="AJ387" s="39"/>
      <c r="AK387" s="39"/>
      <c r="AL387" s="39"/>
      <c r="AM387" s="38"/>
      <c r="AN387" s="38"/>
      <c r="AO387" s="40"/>
      <c r="AP387" s="38"/>
      <c r="AQ387" s="41"/>
    </row>
    <row r="388" spans="1:43">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c r="AB388" s="34"/>
      <c r="AC388" s="17"/>
      <c r="AD388" s="17"/>
      <c r="AE388" s="17"/>
      <c r="AF388" s="17"/>
      <c r="AG388" s="33"/>
      <c r="AH388" s="33"/>
      <c r="AI388" s="33"/>
      <c r="AJ388" s="35"/>
      <c r="AK388" s="35"/>
      <c r="AL388" s="35"/>
      <c r="AM388" s="33"/>
      <c r="AN388" s="33"/>
      <c r="AO388" s="36"/>
      <c r="AP388" s="33"/>
      <c r="AQ388" s="37"/>
    </row>
    <row r="389" spans="1:43">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c r="AB389" s="22"/>
      <c r="AC389" s="17"/>
      <c r="AD389" s="17"/>
      <c r="AE389" s="17"/>
      <c r="AF389" s="17"/>
      <c r="AG389" s="38"/>
      <c r="AH389" s="38"/>
      <c r="AI389" s="38"/>
      <c r="AJ389" s="39"/>
      <c r="AK389" s="39"/>
      <c r="AL389" s="39"/>
      <c r="AM389" s="38"/>
      <c r="AN389" s="38"/>
      <c r="AO389" s="40"/>
      <c r="AP389" s="38"/>
      <c r="AQ389" s="41"/>
    </row>
    <row r="390" spans="1:43">
      <c r="AC390" s="17"/>
      <c r="AD390" s="17"/>
      <c r="AE390" s="17"/>
      <c r="AF390" s="17"/>
      <c r="AJ390" s="47"/>
      <c r="AK390" s="47"/>
      <c r="AL390" s="47"/>
      <c r="AO390" s="48"/>
    </row>
    <row r="391" spans="1:43">
      <c r="AC391" s="17"/>
      <c r="AD391" s="17"/>
      <c r="AE391" s="17"/>
      <c r="AF391" s="17"/>
      <c r="AJ391" s="47"/>
      <c r="AK391" s="47"/>
      <c r="AL391" s="47"/>
      <c r="AO391" s="48"/>
    </row>
    <row r="392" spans="1:43">
      <c r="AC392" s="17"/>
      <c r="AD392" s="17"/>
      <c r="AE392" s="17"/>
      <c r="AF392" s="17"/>
      <c r="AJ392" s="47"/>
      <c r="AK392" s="47"/>
      <c r="AL392" s="47"/>
      <c r="AO392" s="48"/>
    </row>
    <row r="393" spans="1:43">
      <c r="AC393" s="17"/>
      <c r="AD393" s="17"/>
      <c r="AE393" s="17"/>
      <c r="AF393" s="17"/>
      <c r="AJ393" s="47"/>
      <c r="AK393" s="47"/>
      <c r="AL393" s="47"/>
      <c r="AO393" s="48"/>
    </row>
    <row r="394" spans="1:43">
      <c r="AC394" s="17"/>
      <c r="AD394" s="17"/>
      <c r="AE394" s="17"/>
      <c r="AF394" s="17"/>
      <c r="AJ394" s="47"/>
      <c r="AK394" s="47"/>
      <c r="AL394" s="47"/>
      <c r="AO394" s="48"/>
    </row>
    <row r="395" spans="1:43">
      <c r="AC395" s="17"/>
      <c r="AD395" s="17"/>
      <c r="AE395" s="17"/>
      <c r="AF395" s="17"/>
      <c r="AJ395" s="47"/>
      <c r="AK395" s="47"/>
      <c r="AL395" s="47"/>
      <c r="AO395" s="48"/>
    </row>
    <row r="396" spans="1:43">
      <c r="AC396" s="17"/>
      <c r="AD396" s="17"/>
      <c r="AE396" s="17"/>
      <c r="AF396" s="17"/>
      <c r="AJ396" s="47"/>
      <c r="AK396" s="47"/>
      <c r="AL396" s="47"/>
      <c r="AO396" s="48"/>
    </row>
    <row r="397" spans="1:43">
      <c r="AC397" s="17"/>
      <c r="AD397" s="17"/>
      <c r="AE397" s="17"/>
      <c r="AF397" s="17"/>
      <c r="AJ397" s="47"/>
      <c r="AK397" s="47"/>
      <c r="AL397" s="47"/>
      <c r="AO397" s="48"/>
    </row>
    <row r="398" spans="1:43">
      <c r="AC398" s="17"/>
      <c r="AD398" s="17"/>
      <c r="AE398" s="17"/>
      <c r="AF398" s="17"/>
      <c r="AJ398" s="47"/>
      <c r="AK398" s="47"/>
      <c r="AL398" s="47"/>
      <c r="AO398" s="48"/>
    </row>
    <row r="399" spans="1:43">
      <c r="AC399" s="17"/>
      <c r="AD399" s="17"/>
      <c r="AE399" s="17"/>
      <c r="AF399" s="17"/>
      <c r="AJ399" s="47"/>
      <c r="AK399" s="47"/>
      <c r="AL399" s="47"/>
      <c r="AO399" s="48"/>
    </row>
    <row r="400" spans="1:43">
      <c r="AC400" s="17"/>
      <c r="AD400" s="17"/>
      <c r="AE400" s="17"/>
      <c r="AF400" s="17"/>
      <c r="AJ400" s="47"/>
      <c r="AK400" s="47"/>
      <c r="AL400" s="47"/>
      <c r="AO400" s="48"/>
    </row>
    <row r="401" spans="29:41">
      <c r="AC401" s="17"/>
      <c r="AD401" s="17"/>
      <c r="AE401" s="17"/>
      <c r="AF401" s="17"/>
      <c r="AJ401" s="47"/>
      <c r="AK401" s="47"/>
      <c r="AL401" s="47"/>
      <c r="AO401" s="48"/>
    </row>
    <row r="402" spans="29:41">
      <c r="AC402" s="17"/>
      <c r="AD402" s="17"/>
      <c r="AE402" s="17"/>
      <c r="AF402" s="17"/>
      <c r="AJ402" s="47"/>
      <c r="AK402" s="47"/>
      <c r="AL402" s="47"/>
      <c r="AO402" s="48"/>
    </row>
    <row r="403" spans="29:41">
      <c r="AC403" s="17"/>
      <c r="AD403" s="17"/>
      <c r="AE403" s="17"/>
      <c r="AF403" s="17"/>
      <c r="AJ403" s="47"/>
      <c r="AK403" s="47"/>
      <c r="AL403" s="47"/>
      <c r="AO403" s="48"/>
    </row>
    <row r="404" spans="29:41">
      <c r="AC404" s="17"/>
      <c r="AD404" s="17"/>
      <c r="AE404" s="17"/>
      <c r="AF404" s="17"/>
      <c r="AJ404" s="47"/>
      <c r="AK404" s="47"/>
      <c r="AL404" s="47"/>
      <c r="AO404" s="48"/>
    </row>
    <row r="405" spans="29:41">
      <c r="AC405" s="17"/>
      <c r="AD405" s="17"/>
      <c r="AE405" s="17"/>
      <c r="AF405" s="17"/>
      <c r="AJ405" s="47"/>
      <c r="AK405" s="47"/>
      <c r="AL405" s="47"/>
      <c r="AO405" s="48"/>
    </row>
    <row r="406" spans="29:41">
      <c r="AC406" s="17"/>
      <c r="AD406" s="17"/>
      <c r="AE406" s="17"/>
      <c r="AF406" s="17"/>
      <c r="AJ406" s="47"/>
      <c r="AK406" s="47"/>
      <c r="AL406" s="47"/>
      <c r="AO406" s="48"/>
    </row>
    <row r="407" spans="29:41">
      <c r="AC407" s="17"/>
      <c r="AD407" s="17"/>
      <c r="AE407" s="17"/>
      <c r="AF407" s="17"/>
      <c r="AJ407" s="47"/>
      <c r="AK407" s="47"/>
      <c r="AL407" s="47"/>
      <c r="AO407" s="48"/>
    </row>
    <row r="408" spans="29:41">
      <c r="AC408" s="17"/>
      <c r="AD408" s="17"/>
      <c r="AE408" s="17"/>
      <c r="AF408" s="17"/>
      <c r="AJ408" s="47"/>
      <c r="AK408" s="47"/>
      <c r="AL408" s="47"/>
      <c r="AO408" s="48"/>
    </row>
    <row r="409" spans="29:41">
      <c r="AC409" s="17"/>
      <c r="AD409" s="17"/>
      <c r="AE409" s="17"/>
      <c r="AF409" s="17"/>
      <c r="AJ409" s="47"/>
      <c r="AK409" s="47"/>
      <c r="AL409" s="47"/>
      <c r="AO409" s="48"/>
    </row>
    <row r="410" spans="29:41">
      <c r="AC410" s="17"/>
      <c r="AD410" s="17"/>
      <c r="AE410" s="17"/>
      <c r="AF410" s="17"/>
      <c r="AJ410" s="47"/>
      <c r="AK410" s="47"/>
      <c r="AL410" s="47"/>
      <c r="AO410" s="48"/>
    </row>
    <row r="411" spans="29:41">
      <c r="AC411" s="17"/>
      <c r="AD411" s="17"/>
      <c r="AE411" s="17"/>
      <c r="AF411" s="17"/>
      <c r="AJ411" s="47"/>
      <c r="AK411" s="47"/>
      <c r="AL411" s="47"/>
      <c r="AO411" s="48"/>
    </row>
    <row r="412" spans="29:41">
      <c r="AC412" s="17"/>
      <c r="AD412" s="17"/>
      <c r="AE412" s="17"/>
      <c r="AF412" s="17"/>
      <c r="AJ412" s="47"/>
      <c r="AK412" s="47"/>
      <c r="AL412" s="47"/>
      <c r="AO412" s="48"/>
    </row>
    <row r="413" spans="29:41">
      <c r="AC413" s="17"/>
      <c r="AD413" s="17"/>
      <c r="AE413" s="17"/>
      <c r="AF413" s="17"/>
      <c r="AJ413" s="47"/>
      <c r="AK413" s="47"/>
      <c r="AL413" s="47"/>
      <c r="AO413" s="48"/>
    </row>
    <row r="414" spans="29:41">
      <c r="AC414" s="17"/>
      <c r="AD414" s="17"/>
      <c r="AE414" s="17"/>
      <c r="AF414" s="17"/>
      <c r="AJ414" s="47"/>
      <c r="AK414" s="47"/>
      <c r="AL414" s="47"/>
      <c r="AO414" s="48"/>
    </row>
    <row r="415" spans="29:41">
      <c r="AC415" s="17"/>
      <c r="AD415" s="17"/>
      <c r="AE415" s="17"/>
      <c r="AF415" s="17"/>
      <c r="AJ415" s="47"/>
      <c r="AK415" s="47"/>
      <c r="AL415" s="47"/>
      <c r="AO415" s="48"/>
    </row>
    <row r="416" spans="29:41">
      <c r="AC416" s="17"/>
      <c r="AD416" s="17"/>
      <c r="AE416" s="17"/>
      <c r="AF416" s="17"/>
      <c r="AJ416" s="47"/>
      <c r="AK416" s="47"/>
      <c r="AL416" s="47"/>
      <c r="AO416" s="48"/>
    </row>
    <row r="417" spans="29:41">
      <c r="AC417" s="17"/>
      <c r="AD417" s="17"/>
      <c r="AE417" s="17"/>
      <c r="AF417" s="17"/>
      <c r="AJ417" s="47"/>
      <c r="AK417" s="47"/>
      <c r="AL417" s="47"/>
      <c r="AO417" s="48"/>
    </row>
    <row r="418" spans="29:41">
      <c r="AC418" s="17"/>
      <c r="AD418" s="17"/>
      <c r="AE418" s="17"/>
      <c r="AF418" s="17"/>
      <c r="AJ418" s="47"/>
      <c r="AK418" s="47"/>
      <c r="AL418" s="47"/>
      <c r="AO418" s="48"/>
    </row>
    <row r="419" spans="29:41">
      <c r="AC419" s="17"/>
      <c r="AD419" s="17"/>
      <c r="AE419" s="17"/>
      <c r="AF419" s="17"/>
      <c r="AJ419" s="47"/>
      <c r="AK419" s="47"/>
      <c r="AL419" s="47"/>
      <c r="AO419" s="48"/>
    </row>
    <row r="420" spans="29:41">
      <c r="AC420" s="17"/>
      <c r="AD420" s="17"/>
      <c r="AE420" s="17"/>
      <c r="AF420" s="17"/>
      <c r="AJ420" s="47"/>
      <c r="AK420" s="47"/>
      <c r="AL420" s="47"/>
      <c r="AO420" s="48"/>
    </row>
    <row r="421" spans="29:41">
      <c r="AC421" s="17"/>
      <c r="AD421" s="17"/>
      <c r="AE421" s="17"/>
      <c r="AF421" s="17"/>
      <c r="AJ421" s="47"/>
      <c r="AK421" s="47"/>
      <c r="AL421" s="47"/>
      <c r="AO421" s="48"/>
    </row>
    <row r="422" spans="29:41">
      <c r="AC422" s="17"/>
      <c r="AD422" s="17"/>
      <c r="AE422" s="17"/>
      <c r="AF422" s="17"/>
      <c r="AJ422" s="47"/>
      <c r="AK422" s="47"/>
      <c r="AL422" s="47"/>
      <c r="AO422" s="48"/>
    </row>
    <row r="423" spans="29:41">
      <c r="AC423" s="17"/>
      <c r="AD423" s="17"/>
      <c r="AE423" s="17"/>
      <c r="AF423" s="17"/>
      <c r="AJ423" s="47"/>
      <c r="AK423" s="47"/>
      <c r="AL423" s="47"/>
      <c r="AO423" s="48"/>
    </row>
    <row r="424" spans="29:41">
      <c r="AC424" s="17"/>
      <c r="AD424" s="17"/>
      <c r="AE424" s="17"/>
      <c r="AF424" s="17"/>
      <c r="AJ424" s="47"/>
      <c r="AK424" s="47"/>
      <c r="AL424" s="47"/>
      <c r="AO424" s="48"/>
    </row>
    <row r="425" spans="29:41">
      <c r="AC425" s="17"/>
      <c r="AD425" s="17"/>
      <c r="AE425" s="17"/>
      <c r="AF425" s="17"/>
      <c r="AJ425" s="47"/>
      <c r="AK425" s="47"/>
      <c r="AL425" s="47"/>
      <c r="AO425" s="48"/>
    </row>
    <row r="426" spans="29:41">
      <c r="AC426" s="17"/>
      <c r="AD426" s="17"/>
      <c r="AE426" s="17"/>
      <c r="AF426" s="17"/>
      <c r="AJ426" s="47"/>
      <c r="AK426" s="47"/>
      <c r="AL426" s="47"/>
      <c r="AO426" s="48"/>
    </row>
    <row r="427" spans="29:41">
      <c r="AC427" s="17"/>
      <c r="AD427" s="17"/>
      <c r="AE427" s="17"/>
      <c r="AF427" s="17"/>
      <c r="AJ427" s="47"/>
      <c r="AK427" s="47"/>
      <c r="AL427" s="47"/>
      <c r="AO427" s="48"/>
    </row>
    <row r="428" spans="29:41">
      <c r="AC428" s="17"/>
      <c r="AD428" s="17"/>
      <c r="AE428" s="17"/>
      <c r="AF428" s="17"/>
      <c r="AJ428" s="47"/>
      <c r="AK428" s="47"/>
      <c r="AL428" s="47"/>
      <c r="AO428" s="48"/>
    </row>
    <row r="429" spans="29:41">
      <c r="AC429" s="17"/>
      <c r="AD429" s="17"/>
      <c r="AE429" s="17"/>
      <c r="AF429" s="17"/>
      <c r="AJ429" s="47"/>
      <c r="AK429" s="47"/>
      <c r="AL429" s="47"/>
      <c r="AO429" s="48"/>
    </row>
    <row r="430" spans="29:41">
      <c r="AC430" s="17"/>
      <c r="AD430" s="17"/>
      <c r="AE430" s="17"/>
      <c r="AF430" s="17"/>
      <c r="AJ430" s="47"/>
      <c r="AK430" s="47"/>
      <c r="AL430" s="47"/>
      <c r="AO430" s="48"/>
    </row>
    <row r="431" spans="29:41">
      <c r="AC431" s="17"/>
      <c r="AD431" s="17"/>
      <c r="AE431" s="17"/>
      <c r="AF431" s="17"/>
      <c r="AJ431" s="47"/>
      <c r="AK431" s="47"/>
      <c r="AL431" s="47"/>
      <c r="AO431" s="48"/>
    </row>
    <row r="432" spans="29:41">
      <c r="AC432" s="17"/>
      <c r="AD432" s="17"/>
      <c r="AE432" s="17"/>
      <c r="AF432" s="17"/>
      <c r="AJ432" s="47"/>
      <c r="AK432" s="47"/>
      <c r="AL432" s="47"/>
      <c r="AO432" s="48"/>
    </row>
    <row r="433" spans="29:41">
      <c r="AC433" s="17"/>
      <c r="AD433" s="17"/>
      <c r="AE433" s="17"/>
      <c r="AF433" s="17"/>
      <c r="AJ433" s="47"/>
      <c r="AK433" s="47"/>
      <c r="AL433" s="47"/>
      <c r="AO433" s="48"/>
    </row>
    <row r="434" spans="29:41">
      <c r="AC434" s="17"/>
      <c r="AD434" s="17"/>
      <c r="AE434" s="17"/>
      <c r="AF434" s="17"/>
      <c r="AJ434" s="47"/>
      <c r="AK434" s="47"/>
      <c r="AL434" s="47"/>
      <c r="AO434" s="48"/>
    </row>
    <row r="435" spans="29:41">
      <c r="AC435" s="17"/>
      <c r="AD435" s="17"/>
      <c r="AE435" s="17"/>
      <c r="AF435" s="17"/>
      <c r="AJ435" s="47"/>
      <c r="AK435" s="47"/>
      <c r="AL435" s="47"/>
      <c r="AO435" s="48"/>
    </row>
    <row r="436" spans="29:41">
      <c r="AC436" s="17"/>
      <c r="AD436" s="17"/>
      <c r="AE436" s="17"/>
      <c r="AF436" s="17"/>
      <c r="AJ436" s="47"/>
      <c r="AK436" s="47"/>
      <c r="AL436" s="47"/>
      <c r="AO436" s="48"/>
    </row>
    <row r="437" spans="29:41">
      <c r="AC437" s="17"/>
      <c r="AD437" s="17"/>
      <c r="AE437" s="17"/>
      <c r="AF437" s="17"/>
      <c r="AJ437" s="47"/>
      <c r="AK437" s="47"/>
      <c r="AL437" s="47"/>
      <c r="AO437" s="48"/>
    </row>
    <row r="438" spans="29:41">
      <c r="AC438" s="17"/>
      <c r="AD438" s="17"/>
      <c r="AE438" s="17"/>
      <c r="AF438" s="17"/>
      <c r="AJ438" s="47"/>
      <c r="AK438" s="47"/>
      <c r="AL438" s="47"/>
      <c r="AO438" s="48"/>
    </row>
    <row r="439" spans="29:41">
      <c r="AC439" s="17"/>
      <c r="AD439" s="17"/>
      <c r="AE439" s="17"/>
      <c r="AF439" s="17"/>
      <c r="AJ439" s="47"/>
      <c r="AK439" s="47"/>
      <c r="AL439" s="47"/>
      <c r="AO439" s="48"/>
    </row>
    <row r="440" spans="29:41">
      <c r="AC440" s="17"/>
      <c r="AD440" s="17"/>
      <c r="AE440" s="17"/>
      <c r="AF440" s="17"/>
      <c r="AJ440" s="47"/>
      <c r="AK440" s="47"/>
      <c r="AL440" s="47"/>
      <c r="AO440" s="48"/>
    </row>
    <row r="441" spans="29:41">
      <c r="AC441" s="17"/>
      <c r="AD441" s="17"/>
      <c r="AE441" s="17"/>
      <c r="AF441" s="17"/>
      <c r="AJ441" s="47"/>
      <c r="AK441" s="47"/>
      <c r="AL441" s="47"/>
      <c r="AO441" s="48"/>
    </row>
    <row r="442" spans="29:41">
      <c r="AC442" s="17"/>
      <c r="AD442" s="17"/>
      <c r="AE442" s="17"/>
      <c r="AF442" s="17"/>
      <c r="AJ442" s="47"/>
      <c r="AK442" s="47"/>
      <c r="AL442" s="47"/>
      <c r="AO442" s="48"/>
    </row>
    <row r="443" spans="29:41">
      <c r="AC443" s="17"/>
      <c r="AD443" s="17"/>
      <c r="AE443" s="17"/>
      <c r="AF443" s="17"/>
      <c r="AJ443" s="47"/>
      <c r="AK443" s="47"/>
      <c r="AL443" s="47"/>
      <c r="AO443" s="48"/>
    </row>
    <row r="444" spans="29:41">
      <c r="AC444" s="17"/>
      <c r="AD444" s="17"/>
      <c r="AE444" s="17"/>
      <c r="AF444" s="17"/>
      <c r="AJ444" s="47"/>
      <c r="AK444" s="47"/>
      <c r="AL444" s="47"/>
      <c r="AO444" s="48"/>
    </row>
    <row r="445" spans="29:41">
      <c r="AC445" s="17"/>
      <c r="AD445" s="17"/>
      <c r="AE445" s="17"/>
      <c r="AF445" s="17"/>
      <c r="AJ445" s="47"/>
      <c r="AK445" s="47"/>
      <c r="AL445" s="47"/>
      <c r="AO445" s="48"/>
    </row>
    <row r="446" spans="29:41">
      <c r="AC446" s="17"/>
      <c r="AD446" s="17"/>
      <c r="AE446" s="17"/>
      <c r="AF446" s="17"/>
      <c r="AJ446" s="47"/>
      <c r="AK446" s="47"/>
      <c r="AL446" s="47"/>
      <c r="AO446" s="48"/>
    </row>
    <row r="447" spans="29:41">
      <c r="AC447" s="17"/>
      <c r="AD447" s="17"/>
      <c r="AE447" s="17"/>
      <c r="AF447" s="17"/>
      <c r="AJ447" s="47"/>
      <c r="AK447" s="47"/>
      <c r="AL447" s="47"/>
      <c r="AO447" s="48"/>
    </row>
    <row r="448" spans="29:41">
      <c r="AC448" s="17"/>
      <c r="AD448" s="17"/>
      <c r="AE448" s="17"/>
      <c r="AF448" s="17"/>
      <c r="AJ448" s="47"/>
      <c r="AK448" s="47"/>
      <c r="AL448" s="47"/>
      <c r="AO448" s="48"/>
    </row>
    <row r="449" spans="29:41">
      <c r="AC449" s="17"/>
      <c r="AD449" s="17"/>
      <c r="AE449" s="17"/>
      <c r="AF449" s="17"/>
      <c r="AJ449" s="47"/>
      <c r="AK449" s="47"/>
      <c r="AL449" s="47"/>
      <c r="AO449" s="48"/>
    </row>
    <row r="450" spans="29:41">
      <c r="AC450" s="17"/>
      <c r="AD450" s="17"/>
      <c r="AE450" s="17"/>
      <c r="AF450" s="17"/>
      <c r="AJ450" s="47"/>
      <c r="AK450" s="47"/>
      <c r="AL450" s="47"/>
      <c r="AO450" s="48"/>
    </row>
    <row r="451" spans="29:41">
      <c r="AC451" s="17"/>
      <c r="AD451" s="17"/>
      <c r="AE451" s="17"/>
      <c r="AF451" s="17"/>
      <c r="AJ451" s="47"/>
      <c r="AK451" s="47"/>
      <c r="AL451" s="47"/>
      <c r="AO451" s="48"/>
    </row>
    <row r="452" spans="29:41">
      <c r="AC452" s="17"/>
      <c r="AD452" s="17"/>
      <c r="AE452" s="17"/>
      <c r="AF452" s="17"/>
      <c r="AJ452" s="47"/>
      <c r="AK452" s="47"/>
      <c r="AL452" s="47"/>
      <c r="AO452" s="48"/>
    </row>
    <row r="453" spans="29:41">
      <c r="AC453" s="17"/>
      <c r="AD453" s="17"/>
      <c r="AE453" s="17"/>
      <c r="AF453" s="17"/>
      <c r="AJ453" s="47"/>
      <c r="AK453" s="47"/>
      <c r="AL453" s="47"/>
      <c r="AO453" s="48"/>
    </row>
    <row r="454" spans="29:41">
      <c r="AC454" s="17"/>
      <c r="AD454" s="17"/>
      <c r="AE454" s="17"/>
      <c r="AF454" s="17"/>
      <c r="AJ454" s="47"/>
      <c r="AK454" s="47"/>
      <c r="AL454" s="47"/>
      <c r="AO454" s="48"/>
    </row>
    <row r="455" spans="29:41">
      <c r="AC455" s="17"/>
      <c r="AD455" s="17"/>
      <c r="AE455" s="17"/>
      <c r="AF455" s="17"/>
      <c r="AJ455" s="47"/>
      <c r="AK455" s="47"/>
      <c r="AL455" s="47"/>
      <c r="AO455" s="48"/>
    </row>
    <row r="456" spans="29:41">
      <c r="AC456" s="17"/>
      <c r="AD456" s="17"/>
      <c r="AE456" s="17"/>
      <c r="AF456" s="17"/>
      <c r="AJ456" s="47"/>
      <c r="AK456" s="47"/>
      <c r="AL456" s="47"/>
      <c r="AO456" s="48"/>
    </row>
    <row r="457" spans="29:41">
      <c r="AC457" s="17"/>
      <c r="AD457" s="17"/>
      <c r="AE457" s="17"/>
      <c r="AF457" s="17"/>
      <c r="AJ457" s="47"/>
      <c r="AK457" s="47"/>
      <c r="AL457" s="47"/>
      <c r="AO457" s="48"/>
    </row>
    <row r="458" spans="29:41">
      <c r="AC458" s="17"/>
      <c r="AD458" s="17"/>
      <c r="AE458" s="17"/>
      <c r="AF458" s="17"/>
      <c r="AJ458" s="47"/>
      <c r="AK458" s="47"/>
      <c r="AL458" s="47"/>
      <c r="AO458" s="48"/>
    </row>
    <row r="459" spans="29:41">
      <c r="AC459" s="17"/>
      <c r="AD459" s="17"/>
      <c r="AE459" s="17"/>
      <c r="AF459" s="17"/>
      <c r="AJ459" s="47"/>
      <c r="AK459" s="47"/>
      <c r="AL459" s="47"/>
      <c r="AO459" s="48"/>
    </row>
    <row r="460" spans="29:41">
      <c r="AC460" s="17"/>
      <c r="AD460" s="17"/>
      <c r="AE460" s="17"/>
      <c r="AF460" s="17"/>
      <c r="AJ460" s="47"/>
      <c r="AK460" s="47"/>
      <c r="AL460" s="47"/>
      <c r="AO460" s="48"/>
    </row>
    <row r="461" spans="29:41">
      <c r="AC461" s="17"/>
      <c r="AD461" s="17"/>
      <c r="AE461" s="17"/>
      <c r="AF461" s="17"/>
      <c r="AJ461" s="47"/>
      <c r="AK461" s="47"/>
      <c r="AL461" s="47"/>
      <c r="AO461" s="48"/>
    </row>
    <row r="462" spans="29:41">
      <c r="AC462" s="17"/>
      <c r="AD462" s="17"/>
      <c r="AE462" s="17"/>
      <c r="AF462" s="17"/>
      <c r="AJ462" s="47"/>
      <c r="AK462" s="47"/>
      <c r="AL462" s="47"/>
      <c r="AO462" s="48"/>
    </row>
    <row r="463" spans="29:41">
      <c r="AC463" s="17"/>
      <c r="AD463" s="17"/>
      <c r="AE463" s="17"/>
      <c r="AF463" s="17"/>
      <c r="AJ463" s="47"/>
      <c r="AK463" s="47"/>
      <c r="AL463" s="47"/>
      <c r="AO463" s="48"/>
    </row>
    <row r="464" spans="29:41">
      <c r="AC464" s="17"/>
      <c r="AD464" s="17"/>
      <c r="AE464" s="17"/>
      <c r="AF464" s="17"/>
      <c r="AJ464" s="47"/>
      <c r="AK464" s="47"/>
      <c r="AL464" s="47"/>
      <c r="AO464" s="48"/>
    </row>
    <row r="465" spans="29:41">
      <c r="AC465" s="17"/>
      <c r="AD465" s="17"/>
      <c r="AE465" s="17"/>
      <c r="AF465" s="17"/>
      <c r="AJ465" s="47"/>
      <c r="AK465" s="47"/>
      <c r="AL465" s="47"/>
      <c r="AO465" s="48"/>
    </row>
    <row r="466" spans="29:41">
      <c r="AC466" s="17"/>
      <c r="AD466" s="17"/>
      <c r="AE466" s="17"/>
      <c r="AF466" s="17"/>
      <c r="AJ466" s="47"/>
      <c r="AK466" s="47"/>
      <c r="AL466" s="47"/>
      <c r="AO466" s="48"/>
    </row>
    <row r="467" spans="29:41">
      <c r="AC467" s="17"/>
      <c r="AD467" s="17"/>
      <c r="AE467" s="17"/>
      <c r="AF467" s="17"/>
      <c r="AJ467" s="47"/>
      <c r="AK467" s="47"/>
      <c r="AL467" s="47"/>
      <c r="AO467" s="48"/>
    </row>
    <row r="468" spans="29:41">
      <c r="AC468" s="17"/>
      <c r="AD468" s="17"/>
      <c r="AE468" s="17"/>
      <c r="AF468" s="17"/>
      <c r="AJ468" s="47"/>
      <c r="AK468" s="47"/>
      <c r="AL468" s="47"/>
      <c r="AO468" s="48"/>
    </row>
    <row r="469" spans="29:41">
      <c r="AC469" s="17"/>
      <c r="AD469" s="17"/>
      <c r="AE469" s="17"/>
      <c r="AF469" s="17"/>
      <c r="AJ469" s="47"/>
      <c r="AK469" s="47"/>
      <c r="AL469" s="47"/>
      <c r="AO469" s="48"/>
    </row>
    <row r="470" spans="29:41">
      <c r="AC470" s="17"/>
      <c r="AD470" s="17"/>
      <c r="AE470" s="17"/>
      <c r="AF470" s="17"/>
      <c r="AJ470" s="47"/>
      <c r="AK470" s="47"/>
      <c r="AL470" s="47"/>
      <c r="AO470" s="48"/>
    </row>
    <row r="471" spans="29:41">
      <c r="AC471" s="17"/>
      <c r="AD471" s="17"/>
      <c r="AE471" s="17"/>
      <c r="AF471" s="17"/>
      <c r="AJ471" s="47"/>
      <c r="AK471" s="47"/>
      <c r="AL471" s="47"/>
      <c r="AO471" s="48"/>
    </row>
    <row r="472" spans="29:41">
      <c r="AC472" s="17"/>
      <c r="AD472" s="17"/>
      <c r="AE472" s="17"/>
      <c r="AF472" s="17"/>
      <c r="AJ472" s="47"/>
      <c r="AK472" s="47"/>
      <c r="AL472" s="47"/>
      <c r="AO472" s="48"/>
    </row>
    <row r="473" spans="29:41">
      <c r="AC473" s="17"/>
      <c r="AD473" s="17"/>
      <c r="AE473" s="17"/>
      <c r="AF473" s="17"/>
      <c r="AJ473" s="47"/>
      <c r="AK473" s="47"/>
      <c r="AL473" s="47"/>
      <c r="AO473" s="48"/>
    </row>
    <row r="474" spans="29:41">
      <c r="AC474" s="17"/>
      <c r="AD474" s="17"/>
      <c r="AE474" s="17"/>
      <c r="AF474" s="17"/>
      <c r="AJ474" s="47"/>
      <c r="AK474" s="47"/>
      <c r="AL474" s="47"/>
      <c r="AO474" s="48"/>
    </row>
    <row r="475" spans="29:41">
      <c r="AC475" s="17"/>
      <c r="AD475" s="17"/>
      <c r="AE475" s="17"/>
      <c r="AF475" s="17"/>
      <c r="AJ475" s="47"/>
      <c r="AK475" s="47"/>
      <c r="AL475" s="47"/>
      <c r="AO475" s="48"/>
    </row>
    <row r="476" spans="29:41">
      <c r="AC476" s="17"/>
      <c r="AD476" s="17"/>
      <c r="AE476" s="17"/>
      <c r="AF476" s="17"/>
      <c r="AJ476" s="47"/>
      <c r="AK476" s="47"/>
      <c r="AL476" s="47"/>
      <c r="AO476" s="48"/>
    </row>
    <row r="477" spans="29:41">
      <c r="AC477" s="17"/>
      <c r="AD477" s="17"/>
      <c r="AE477" s="17"/>
      <c r="AF477" s="17"/>
      <c r="AJ477" s="47"/>
      <c r="AK477" s="47"/>
      <c r="AL477" s="47"/>
      <c r="AO477" s="48"/>
    </row>
    <row r="478" spans="29:41">
      <c r="AC478" s="17"/>
      <c r="AD478" s="17"/>
      <c r="AE478" s="17"/>
      <c r="AF478" s="17"/>
      <c r="AJ478" s="47"/>
      <c r="AK478" s="47"/>
      <c r="AL478" s="47"/>
      <c r="AO478" s="48"/>
    </row>
    <row r="479" spans="29:41">
      <c r="AC479" s="17"/>
      <c r="AD479" s="17"/>
      <c r="AE479" s="17"/>
      <c r="AF479" s="17"/>
      <c r="AJ479" s="47"/>
      <c r="AK479" s="47"/>
      <c r="AL479" s="47"/>
      <c r="AO479" s="48"/>
    </row>
    <row r="480" spans="29:41">
      <c r="AC480" s="17"/>
      <c r="AD480" s="17"/>
      <c r="AE480" s="17"/>
      <c r="AF480" s="17"/>
      <c r="AJ480" s="47"/>
      <c r="AK480" s="47"/>
      <c r="AL480" s="47"/>
      <c r="AO480" s="48"/>
    </row>
    <row r="481" spans="29:41">
      <c r="AC481" s="17"/>
      <c r="AD481" s="17"/>
      <c r="AE481" s="17"/>
      <c r="AF481" s="17"/>
      <c r="AJ481" s="47"/>
      <c r="AK481" s="47"/>
      <c r="AL481" s="47"/>
      <c r="AO481" s="48"/>
    </row>
    <row r="482" spans="29:41">
      <c r="AC482" s="17"/>
      <c r="AD482" s="17"/>
      <c r="AE482" s="17"/>
      <c r="AF482" s="17"/>
      <c r="AJ482" s="47"/>
      <c r="AK482" s="47"/>
      <c r="AL482" s="47"/>
      <c r="AO482" s="48"/>
    </row>
    <row r="483" spans="29:41">
      <c r="AC483" s="17"/>
      <c r="AD483" s="17"/>
      <c r="AE483" s="17"/>
      <c r="AF483" s="17"/>
      <c r="AJ483" s="47"/>
      <c r="AK483" s="47"/>
      <c r="AL483" s="47"/>
      <c r="AO483" s="48"/>
    </row>
    <row r="484" spans="29:41">
      <c r="AC484" s="17"/>
      <c r="AD484" s="17"/>
      <c r="AE484" s="17"/>
      <c r="AF484" s="17"/>
      <c r="AJ484" s="47"/>
      <c r="AK484" s="47"/>
      <c r="AL484" s="47"/>
      <c r="AO484" s="48"/>
    </row>
    <row r="485" spans="29:41">
      <c r="AC485" s="17"/>
      <c r="AD485" s="17"/>
      <c r="AE485" s="17"/>
      <c r="AF485" s="17"/>
      <c r="AJ485" s="47"/>
      <c r="AK485" s="47"/>
      <c r="AL485" s="47"/>
      <c r="AO485" s="48"/>
    </row>
    <row r="486" spans="29:41">
      <c r="AC486" s="17"/>
      <c r="AD486" s="17"/>
      <c r="AE486" s="17"/>
      <c r="AF486" s="17"/>
      <c r="AJ486" s="47"/>
      <c r="AK486" s="47"/>
      <c r="AL486" s="47"/>
      <c r="AO486" s="48"/>
    </row>
    <row r="487" spans="29:41">
      <c r="AC487" s="17"/>
      <c r="AD487" s="17"/>
      <c r="AE487" s="17"/>
      <c r="AF487" s="17"/>
      <c r="AJ487" s="47"/>
      <c r="AK487" s="47"/>
      <c r="AL487" s="47"/>
      <c r="AO487" s="48"/>
    </row>
    <row r="488" spans="29:41">
      <c r="AC488" s="17"/>
      <c r="AD488" s="17"/>
      <c r="AE488" s="17"/>
      <c r="AF488" s="17"/>
      <c r="AJ488" s="47"/>
      <c r="AK488" s="47"/>
      <c r="AL488" s="47"/>
      <c r="AO488" s="48"/>
    </row>
    <row r="489" spans="29:41">
      <c r="AC489" s="17"/>
      <c r="AD489" s="17"/>
      <c r="AE489" s="17"/>
      <c r="AF489" s="17"/>
      <c r="AJ489" s="47"/>
      <c r="AK489" s="47"/>
      <c r="AL489" s="47"/>
      <c r="AO489" s="48"/>
    </row>
    <row r="490" spans="29:41">
      <c r="AC490" s="17"/>
      <c r="AD490" s="17"/>
      <c r="AE490" s="17"/>
      <c r="AF490" s="17"/>
      <c r="AJ490" s="47"/>
      <c r="AK490" s="47"/>
      <c r="AL490" s="47"/>
      <c r="AO490" s="48"/>
    </row>
    <row r="491" spans="29:41">
      <c r="AC491" s="17"/>
      <c r="AD491" s="17"/>
      <c r="AE491" s="17"/>
      <c r="AF491" s="17"/>
      <c r="AJ491" s="47"/>
      <c r="AK491" s="47"/>
      <c r="AL491" s="47"/>
      <c r="AO491" s="48"/>
    </row>
    <row r="492" spans="29:41">
      <c r="AC492" s="17"/>
      <c r="AD492" s="17"/>
      <c r="AE492" s="17"/>
      <c r="AF492" s="17"/>
      <c r="AJ492" s="47"/>
      <c r="AK492" s="47"/>
      <c r="AL492" s="47"/>
      <c r="AO492" s="48"/>
    </row>
    <row r="493" spans="29:41">
      <c r="AC493" s="17"/>
      <c r="AD493" s="17"/>
      <c r="AE493" s="17"/>
      <c r="AF493" s="17"/>
      <c r="AJ493" s="47"/>
      <c r="AK493" s="47"/>
      <c r="AL493" s="47"/>
      <c r="AO493" s="48"/>
    </row>
    <row r="494" spans="29:41">
      <c r="AC494" s="17"/>
      <c r="AD494" s="17"/>
      <c r="AE494" s="17"/>
      <c r="AF494" s="17"/>
      <c r="AJ494" s="47"/>
      <c r="AK494" s="47"/>
      <c r="AL494" s="47"/>
      <c r="AO494" s="48"/>
    </row>
    <row r="495" spans="29:41">
      <c r="AC495" s="17"/>
      <c r="AD495" s="17"/>
      <c r="AE495" s="17"/>
      <c r="AF495" s="17"/>
      <c r="AJ495" s="47"/>
      <c r="AK495" s="47"/>
      <c r="AL495" s="47"/>
      <c r="AO495" s="48"/>
    </row>
    <row r="496" spans="29:41">
      <c r="AC496" s="17"/>
      <c r="AD496" s="17"/>
      <c r="AE496" s="17"/>
      <c r="AF496" s="17"/>
      <c r="AJ496" s="47"/>
      <c r="AK496" s="47"/>
      <c r="AL496" s="47"/>
      <c r="AO496" s="48"/>
    </row>
    <row r="497" spans="29:41">
      <c r="AC497" s="17"/>
      <c r="AD497" s="17"/>
      <c r="AE497" s="17"/>
      <c r="AF497" s="17"/>
      <c r="AJ497" s="47"/>
      <c r="AK497" s="47"/>
      <c r="AL497" s="47"/>
      <c r="AO497" s="48"/>
    </row>
    <row r="498" spans="29:41">
      <c r="AC498" s="17"/>
      <c r="AD498" s="17"/>
      <c r="AE498" s="17"/>
      <c r="AF498" s="17"/>
      <c r="AJ498" s="47"/>
      <c r="AK498" s="47"/>
      <c r="AL498" s="47"/>
      <c r="AO498" s="48"/>
    </row>
    <row r="499" spans="29:41">
      <c r="AC499" s="17"/>
      <c r="AD499" s="17"/>
      <c r="AE499" s="17"/>
      <c r="AF499" s="17"/>
      <c r="AJ499" s="47"/>
      <c r="AK499" s="47"/>
      <c r="AL499" s="47"/>
      <c r="AO499" s="48"/>
    </row>
    <row r="500" spans="29:41">
      <c r="AC500" s="17"/>
      <c r="AD500" s="17"/>
      <c r="AE500" s="17"/>
      <c r="AF500" s="17"/>
      <c r="AJ500" s="47"/>
      <c r="AK500" s="47"/>
      <c r="AL500" s="47"/>
      <c r="AO500" s="48"/>
    </row>
    <row r="501" spans="29:41">
      <c r="AC501" s="17"/>
      <c r="AD501" s="17"/>
      <c r="AE501" s="17"/>
      <c r="AF501" s="17"/>
      <c r="AJ501" s="47"/>
      <c r="AK501" s="47"/>
      <c r="AL501" s="47"/>
      <c r="AO501" s="48"/>
    </row>
    <row r="502" spans="29:41">
      <c r="AC502" s="17"/>
      <c r="AD502" s="17"/>
      <c r="AE502" s="17"/>
      <c r="AF502" s="17"/>
      <c r="AJ502" s="47"/>
      <c r="AK502" s="47"/>
      <c r="AL502" s="47"/>
      <c r="AO502" s="48"/>
    </row>
    <row r="503" spans="29:41">
      <c r="AC503" s="17"/>
      <c r="AD503" s="17"/>
      <c r="AE503" s="17"/>
      <c r="AF503" s="17"/>
      <c r="AJ503" s="47"/>
      <c r="AK503" s="47"/>
      <c r="AL503" s="47"/>
      <c r="AO503" s="48"/>
    </row>
    <row r="504" spans="29:41">
      <c r="AC504" s="17"/>
      <c r="AD504" s="17"/>
      <c r="AE504" s="17"/>
      <c r="AF504" s="17"/>
      <c r="AJ504" s="47"/>
      <c r="AK504" s="47"/>
      <c r="AL504" s="47"/>
      <c r="AO504" s="48"/>
    </row>
    <row r="505" spans="29:41">
      <c r="AC505" s="17"/>
      <c r="AD505" s="17"/>
      <c r="AE505" s="17"/>
      <c r="AF505" s="17"/>
      <c r="AJ505" s="47"/>
      <c r="AK505" s="47"/>
      <c r="AL505" s="47"/>
      <c r="AO505" s="48"/>
    </row>
    <row r="506" spans="29:41">
      <c r="AC506" s="17"/>
      <c r="AD506" s="17"/>
      <c r="AE506" s="17"/>
      <c r="AF506" s="17"/>
      <c r="AJ506" s="47"/>
      <c r="AK506" s="47"/>
      <c r="AL506" s="47"/>
      <c r="AO506" s="48"/>
    </row>
    <row r="507" spans="29:41">
      <c r="AC507" s="17"/>
      <c r="AD507" s="17"/>
      <c r="AE507" s="17"/>
      <c r="AF507" s="17"/>
      <c r="AJ507" s="47"/>
      <c r="AK507" s="47"/>
      <c r="AL507" s="47"/>
      <c r="AO507" s="48"/>
    </row>
    <row r="508" spans="29:41">
      <c r="AC508" s="17"/>
      <c r="AD508" s="17"/>
      <c r="AE508" s="17"/>
      <c r="AF508" s="17"/>
      <c r="AJ508" s="47"/>
      <c r="AK508" s="47"/>
      <c r="AL508" s="47"/>
      <c r="AO508" s="48"/>
    </row>
    <row r="509" spans="29:41">
      <c r="AC509" s="17"/>
      <c r="AD509" s="17"/>
      <c r="AE509" s="17"/>
      <c r="AF509" s="17"/>
      <c r="AJ509" s="47"/>
      <c r="AK509" s="47"/>
      <c r="AL509" s="47"/>
      <c r="AO509" s="48"/>
    </row>
    <row r="510" spans="29:41">
      <c r="AC510" s="17"/>
      <c r="AD510" s="17"/>
      <c r="AE510" s="17"/>
      <c r="AF510" s="17"/>
      <c r="AJ510" s="47"/>
      <c r="AK510" s="47"/>
      <c r="AL510" s="47"/>
      <c r="AO510" s="48"/>
    </row>
    <row r="511" spans="29:41">
      <c r="AC511" s="17"/>
      <c r="AD511" s="17"/>
      <c r="AE511" s="17"/>
      <c r="AF511" s="17"/>
      <c r="AJ511" s="47"/>
      <c r="AK511" s="47"/>
      <c r="AL511" s="47"/>
      <c r="AO511" s="48"/>
    </row>
    <row r="512" spans="29:41">
      <c r="AC512" s="17"/>
      <c r="AD512" s="17"/>
      <c r="AE512" s="17"/>
      <c r="AF512" s="17"/>
      <c r="AJ512" s="47"/>
      <c r="AK512" s="47"/>
      <c r="AL512" s="47"/>
      <c r="AO512" s="48"/>
    </row>
    <row r="513" spans="29:41">
      <c r="AC513" s="17"/>
      <c r="AD513" s="17"/>
      <c r="AE513" s="17"/>
      <c r="AF513" s="17"/>
      <c r="AJ513" s="47"/>
      <c r="AK513" s="47"/>
      <c r="AL513" s="47"/>
      <c r="AO513" s="48"/>
    </row>
    <row r="514" spans="29:41">
      <c r="AC514" s="17"/>
      <c r="AD514" s="17"/>
      <c r="AE514" s="17"/>
      <c r="AF514" s="17"/>
      <c r="AJ514" s="47"/>
      <c r="AK514" s="47"/>
      <c r="AL514" s="47"/>
      <c r="AO514" s="48"/>
    </row>
    <row r="515" spans="29:41">
      <c r="AC515" s="17"/>
      <c r="AD515" s="17"/>
      <c r="AE515" s="17"/>
      <c r="AF515" s="17"/>
      <c r="AJ515" s="47"/>
      <c r="AK515" s="47"/>
      <c r="AL515" s="47"/>
      <c r="AO515" s="48"/>
    </row>
    <row r="516" spans="29:41">
      <c r="AC516" s="17"/>
      <c r="AD516" s="17"/>
      <c r="AE516" s="17"/>
      <c r="AF516" s="17"/>
      <c r="AJ516" s="47"/>
      <c r="AK516" s="47"/>
      <c r="AL516" s="47"/>
      <c r="AO516" s="48"/>
    </row>
    <row r="517" spans="29:41">
      <c r="AC517" s="17"/>
      <c r="AD517" s="17"/>
      <c r="AE517" s="17"/>
      <c r="AF517" s="17"/>
      <c r="AJ517" s="47"/>
      <c r="AK517" s="47"/>
      <c r="AL517" s="47"/>
      <c r="AO517" s="48"/>
    </row>
    <row r="518" spans="29:41">
      <c r="AC518" s="17"/>
      <c r="AD518" s="17"/>
      <c r="AE518" s="17"/>
      <c r="AF518" s="17"/>
      <c r="AJ518" s="47"/>
      <c r="AK518" s="47"/>
      <c r="AL518" s="47"/>
      <c r="AO518" s="48"/>
    </row>
    <row r="519" spans="29:41">
      <c r="AC519" s="17"/>
      <c r="AD519" s="17"/>
      <c r="AE519" s="17"/>
      <c r="AF519" s="17"/>
      <c r="AJ519" s="47"/>
      <c r="AK519" s="47"/>
      <c r="AL519" s="47"/>
      <c r="AO519" s="48"/>
    </row>
    <row r="520" spans="29:41">
      <c r="AC520" s="17"/>
      <c r="AD520" s="17"/>
      <c r="AE520" s="17"/>
      <c r="AF520" s="17"/>
      <c r="AJ520" s="47"/>
      <c r="AK520" s="47"/>
      <c r="AL520" s="47"/>
      <c r="AO520" s="48"/>
    </row>
    <row r="521" spans="29:41">
      <c r="AC521" s="17"/>
      <c r="AD521" s="17"/>
      <c r="AE521" s="17"/>
      <c r="AF521" s="17"/>
      <c r="AJ521" s="47"/>
      <c r="AK521" s="47"/>
      <c r="AL521" s="47"/>
      <c r="AO521" s="48"/>
    </row>
    <row r="522" spans="29:41">
      <c r="AC522" s="17"/>
      <c r="AD522" s="17"/>
      <c r="AE522" s="17"/>
      <c r="AF522" s="17"/>
      <c r="AJ522" s="47"/>
      <c r="AK522" s="47"/>
      <c r="AL522" s="47"/>
      <c r="AO522" s="48"/>
    </row>
    <row r="523" spans="29:41">
      <c r="AC523" s="17"/>
      <c r="AD523" s="17"/>
      <c r="AE523" s="17"/>
      <c r="AF523" s="17"/>
      <c r="AJ523" s="47"/>
      <c r="AK523" s="47"/>
      <c r="AL523" s="47"/>
      <c r="AO523" s="48"/>
    </row>
    <row r="524" spans="29:41">
      <c r="AC524" s="17"/>
      <c r="AD524" s="17"/>
      <c r="AE524" s="17"/>
      <c r="AF524" s="17"/>
      <c r="AJ524" s="47"/>
      <c r="AK524" s="47"/>
      <c r="AL524" s="47"/>
      <c r="AO524" s="48"/>
    </row>
    <row r="525" spans="29:41">
      <c r="AC525" s="17"/>
      <c r="AD525" s="17"/>
      <c r="AE525" s="17"/>
      <c r="AF525" s="17"/>
      <c r="AJ525" s="47"/>
      <c r="AK525" s="47"/>
      <c r="AL525" s="47"/>
      <c r="AO525" s="48"/>
    </row>
    <row r="526" spans="29:41">
      <c r="AC526" s="17"/>
      <c r="AD526" s="17"/>
      <c r="AE526" s="17"/>
      <c r="AF526" s="17"/>
      <c r="AJ526" s="47"/>
      <c r="AK526" s="47"/>
      <c r="AL526" s="47"/>
      <c r="AO526" s="48"/>
    </row>
    <row r="527" spans="29:41">
      <c r="AC527" s="17"/>
      <c r="AD527" s="17"/>
      <c r="AE527" s="17"/>
      <c r="AF527" s="17"/>
      <c r="AJ527" s="47"/>
      <c r="AK527" s="47"/>
      <c r="AL527" s="47"/>
      <c r="AO527" s="48"/>
    </row>
    <row r="528" spans="29:41">
      <c r="AC528" s="17"/>
      <c r="AD528" s="17"/>
      <c r="AE528" s="17"/>
      <c r="AF528" s="17"/>
      <c r="AJ528" s="47"/>
      <c r="AK528" s="47"/>
      <c r="AL528" s="47"/>
      <c r="AO528" s="48"/>
    </row>
    <row r="529" spans="29:41">
      <c r="AC529" s="17"/>
      <c r="AD529" s="17"/>
      <c r="AE529" s="17"/>
      <c r="AF529" s="17"/>
      <c r="AJ529" s="47"/>
      <c r="AK529" s="47"/>
      <c r="AL529" s="47"/>
      <c r="AO529" s="48"/>
    </row>
    <row r="530" spans="29:41">
      <c r="AC530" s="17"/>
      <c r="AD530" s="17"/>
      <c r="AE530" s="17"/>
      <c r="AF530" s="17"/>
      <c r="AJ530" s="47"/>
      <c r="AK530" s="47"/>
      <c r="AL530" s="47"/>
      <c r="AO530" s="48"/>
    </row>
    <row r="531" spans="29:41">
      <c r="AC531" s="17"/>
      <c r="AD531" s="17"/>
      <c r="AE531" s="17"/>
      <c r="AF531" s="17"/>
      <c r="AJ531" s="47"/>
      <c r="AK531" s="47"/>
      <c r="AL531" s="47"/>
      <c r="AO531" s="48"/>
    </row>
    <row r="532" spans="29:41">
      <c r="AC532" s="17"/>
      <c r="AD532" s="17"/>
      <c r="AE532" s="17"/>
      <c r="AF532" s="17"/>
      <c r="AJ532" s="47"/>
      <c r="AK532" s="47"/>
      <c r="AL532" s="47"/>
      <c r="AO532" s="48"/>
    </row>
    <row r="533" spans="29:41">
      <c r="AC533" s="17"/>
      <c r="AD533" s="17"/>
      <c r="AE533" s="17"/>
      <c r="AF533" s="17"/>
      <c r="AJ533" s="47"/>
      <c r="AK533" s="47"/>
      <c r="AL533" s="47"/>
      <c r="AO533" s="48"/>
    </row>
    <row r="534" spans="29:41">
      <c r="AC534" s="17"/>
      <c r="AD534" s="17"/>
      <c r="AE534" s="17"/>
      <c r="AF534" s="17"/>
      <c r="AJ534" s="47"/>
      <c r="AK534" s="47"/>
      <c r="AL534" s="47"/>
      <c r="AO534" s="48"/>
    </row>
    <row r="535" spans="29:41">
      <c r="AC535" s="17"/>
      <c r="AD535" s="17"/>
      <c r="AE535" s="17"/>
      <c r="AF535" s="17"/>
      <c r="AJ535" s="47"/>
      <c r="AK535" s="47"/>
      <c r="AL535" s="47"/>
      <c r="AO535" s="48"/>
    </row>
    <row r="536" spans="29:41">
      <c r="AC536" s="17"/>
      <c r="AD536" s="17"/>
      <c r="AE536" s="17"/>
      <c r="AF536" s="17"/>
      <c r="AJ536" s="47"/>
      <c r="AK536" s="47"/>
      <c r="AL536" s="47"/>
      <c r="AO536" s="48"/>
    </row>
    <row r="537" spans="29:41">
      <c r="AC537" s="17"/>
      <c r="AD537" s="17"/>
      <c r="AE537" s="17"/>
      <c r="AF537" s="17"/>
      <c r="AJ537" s="47"/>
      <c r="AK537" s="47"/>
      <c r="AL537" s="47"/>
      <c r="AO537" s="48"/>
    </row>
    <row r="538" spans="29:41">
      <c r="AC538" s="17"/>
      <c r="AD538" s="17"/>
      <c r="AE538" s="17"/>
      <c r="AF538" s="17"/>
      <c r="AJ538" s="47"/>
      <c r="AK538" s="47"/>
      <c r="AL538" s="47"/>
      <c r="AO538" s="48"/>
    </row>
    <row r="539" spans="29:41">
      <c r="AC539" s="17"/>
      <c r="AD539" s="17"/>
      <c r="AE539" s="17"/>
      <c r="AF539" s="17"/>
      <c r="AJ539" s="47"/>
      <c r="AK539" s="47"/>
      <c r="AL539" s="47"/>
      <c r="AO539" s="48"/>
    </row>
    <row r="540" spans="29:41">
      <c r="AC540" s="17"/>
      <c r="AD540" s="17"/>
      <c r="AE540" s="17"/>
      <c r="AF540" s="17"/>
      <c r="AJ540" s="47"/>
      <c r="AK540" s="47"/>
      <c r="AL540" s="47"/>
      <c r="AO540" s="48"/>
    </row>
    <row r="541" spans="29:41">
      <c r="AC541" s="17"/>
      <c r="AD541" s="17"/>
      <c r="AE541" s="17"/>
      <c r="AF541" s="17"/>
      <c r="AJ541" s="47"/>
      <c r="AK541" s="47"/>
      <c r="AL541" s="47"/>
      <c r="AO541" s="48"/>
    </row>
    <row r="542" spans="29:41">
      <c r="AC542" s="17"/>
      <c r="AD542" s="17"/>
      <c r="AE542" s="17"/>
      <c r="AF542" s="17"/>
      <c r="AJ542" s="47"/>
      <c r="AK542" s="47"/>
      <c r="AL542" s="47"/>
      <c r="AO542" s="48"/>
    </row>
    <row r="543" spans="29:41">
      <c r="AC543" s="17"/>
      <c r="AD543" s="17"/>
      <c r="AE543" s="17"/>
      <c r="AF543" s="17"/>
      <c r="AJ543" s="47"/>
      <c r="AK543" s="47"/>
      <c r="AL543" s="47"/>
      <c r="AO543" s="48"/>
    </row>
    <row r="544" spans="29:41">
      <c r="AC544" s="17"/>
      <c r="AD544" s="17"/>
      <c r="AE544" s="17"/>
      <c r="AF544" s="17"/>
      <c r="AJ544" s="47"/>
      <c r="AK544" s="47"/>
      <c r="AL544" s="47"/>
      <c r="AO544" s="48"/>
    </row>
    <row r="545" spans="29:41">
      <c r="AC545" s="17"/>
      <c r="AD545" s="17"/>
      <c r="AE545" s="17"/>
      <c r="AF545" s="17"/>
      <c r="AJ545" s="47"/>
      <c r="AK545" s="47"/>
      <c r="AL545" s="47"/>
      <c r="AO545" s="48"/>
    </row>
    <row r="546" spans="29:41">
      <c r="AC546" s="17"/>
      <c r="AD546" s="17"/>
      <c r="AE546" s="17"/>
      <c r="AF546" s="17"/>
      <c r="AJ546" s="47"/>
      <c r="AK546" s="47"/>
      <c r="AL546" s="47"/>
      <c r="AO546" s="48"/>
    </row>
    <row r="547" spans="29:41">
      <c r="AC547" s="17"/>
      <c r="AD547" s="17"/>
      <c r="AE547" s="17"/>
      <c r="AF547" s="17"/>
      <c r="AJ547" s="47"/>
      <c r="AK547" s="47"/>
      <c r="AL547" s="47"/>
      <c r="AO547" s="48"/>
    </row>
    <row r="548" spans="29:41">
      <c r="AC548" s="17"/>
      <c r="AD548" s="17"/>
      <c r="AE548" s="17"/>
      <c r="AF548" s="17"/>
      <c r="AJ548" s="47"/>
      <c r="AK548" s="47"/>
      <c r="AL548" s="47"/>
      <c r="AO548" s="48"/>
    </row>
    <row r="549" spans="29:41">
      <c r="AC549" s="17"/>
      <c r="AD549" s="17"/>
      <c r="AE549" s="17"/>
      <c r="AF549" s="17"/>
      <c r="AJ549" s="47"/>
      <c r="AK549" s="47"/>
      <c r="AL549" s="47"/>
      <c r="AO549" s="48"/>
    </row>
    <row r="550" spans="29:41">
      <c r="AC550" s="17"/>
      <c r="AD550" s="17"/>
      <c r="AE550" s="17"/>
      <c r="AF550" s="17"/>
      <c r="AJ550" s="47"/>
      <c r="AK550" s="47"/>
      <c r="AL550" s="47"/>
      <c r="AO550" s="48"/>
    </row>
    <row r="551" spans="29:41">
      <c r="AC551" s="17"/>
      <c r="AD551" s="17"/>
      <c r="AE551" s="17"/>
      <c r="AF551" s="17"/>
      <c r="AJ551" s="47"/>
      <c r="AK551" s="47"/>
      <c r="AL551" s="47"/>
      <c r="AO551" s="48"/>
    </row>
    <row r="552" spans="29:41">
      <c r="AC552" s="17"/>
      <c r="AD552" s="17"/>
      <c r="AE552" s="17"/>
      <c r="AF552" s="17"/>
      <c r="AJ552" s="47"/>
      <c r="AK552" s="47"/>
      <c r="AL552" s="47"/>
      <c r="AO552" s="48"/>
    </row>
    <row r="553" spans="29:41">
      <c r="AC553" s="17"/>
      <c r="AD553" s="17"/>
      <c r="AE553" s="17"/>
      <c r="AF553" s="17"/>
      <c r="AJ553" s="47"/>
      <c r="AK553" s="47"/>
      <c r="AL553" s="47"/>
      <c r="AO553" s="48"/>
    </row>
    <row r="554" spans="29:41">
      <c r="AC554" s="17"/>
      <c r="AD554" s="17"/>
      <c r="AE554" s="17"/>
      <c r="AF554" s="17"/>
      <c r="AJ554" s="47"/>
      <c r="AK554" s="47"/>
      <c r="AL554" s="47"/>
      <c r="AO554" s="48"/>
    </row>
    <row r="555" spans="29:41">
      <c r="AC555" s="17"/>
      <c r="AD555" s="17"/>
      <c r="AE555" s="17"/>
      <c r="AF555" s="17"/>
      <c r="AJ555" s="47"/>
      <c r="AK555" s="47"/>
      <c r="AL555" s="47"/>
      <c r="AO555" s="48"/>
    </row>
    <row r="556" spans="29:41">
      <c r="AC556" s="17"/>
      <c r="AD556" s="17"/>
      <c r="AE556" s="17"/>
      <c r="AF556" s="17"/>
      <c r="AJ556" s="47"/>
      <c r="AK556" s="47"/>
      <c r="AL556" s="47"/>
      <c r="AO556" s="48"/>
    </row>
    <row r="557" spans="29:41">
      <c r="AC557" s="17"/>
      <c r="AD557" s="17"/>
      <c r="AE557" s="17"/>
      <c r="AF557" s="17"/>
      <c r="AJ557" s="47"/>
      <c r="AK557" s="47"/>
      <c r="AL557" s="47"/>
      <c r="AO557" s="48"/>
    </row>
    <row r="558" spans="29:41">
      <c r="AC558" s="17"/>
      <c r="AD558" s="17"/>
      <c r="AE558" s="17"/>
      <c r="AF558" s="17"/>
      <c r="AJ558" s="47"/>
      <c r="AK558" s="47"/>
      <c r="AL558" s="47"/>
      <c r="AO558" s="48"/>
    </row>
    <row r="559" spans="29:41">
      <c r="AC559" s="17"/>
      <c r="AD559" s="17"/>
      <c r="AE559" s="17"/>
      <c r="AF559" s="17"/>
      <c r="AJ559" s="47"/>
      <c r="AK559" s="47"/>
      <c r="AL559" s="47"/>
      <c r="AO559" s="48"/>
    </row>
    <row r="560" spans="29:41">
      <c r="AC560" s="17"/>
      <c r="AD560" s="17"/>
      <c r="AE560" s="17"/>
      <c r="AF560" s="17"/>
      <c r="AJ560" s="47"/>
      <c r="AK560" s="47"/>
      <c r="AL560" s="47"/>
      <c r="AO560" s="48"/>
    </row>
    <row r="561" spans="29:41">
      <c r="AC561" s="17"/>
      <c r="AD561" s="17"/>
      <c r="AE561" s="17"/>
      <c r="AF561" s="17"/>
      <c r="AJ561" s="47"/>
      <c r="AK561" s="47"/>
      <c r="AL561" s="47"/>
      <c r="AO561" s="48"/>
    </row>
    <row r="562" spans="29:41">
      <c r="AC562" s="17"/>
      <c r="AD562" s="17"/>
      <c r="AE562" s="17"/>
      <c r="AF562" s="17"/>
      <c r="AJ562" s="47"/>
      <c r="AK562" s="47"/>
      <c r="AL562" s="47"/>
      <c r="AO562" s="48"/>
    </row>
    <row r="563" spans="29:41">
      <c r="AC563" s="17"/>
      <c r="AD563" s="17"/>
      <c r="AE563" s="17"/>
      <c r="AF563" s="17"/>
      <c r="AJ563" s="47"/>
      <c r="AK563" s="47"/>
      <c r="AL563" s="47"/>
      <c r="AO563" s="48"/>
    </row>
    <row r="564" spans="29:41">
      <c r="AC564" s="17"/>
      <c r="AD564" s="17"/>
      <c r="AE564" s="17"/>
      <c r="AF564" s="17"/>
      <c r="AJ564" s="47"/>
      <c r="AK564" s="47"/>
      <c r="AL564" s="47"/>
      <c r="AO564" s="48"/>
    </row>
    <row r="565" spans="29:41">
      <c r="AC565" s="17"/>
      <c r="AD565" s="17"/>
      <c r="AE565" s="17"/>
      <c r="AF565" s="17"/>
      <c r="AJ565" s="47"/>
      <c r="AK565" s="47"/>
      <c r="AL565" s="47"/>
      <c r="AO565" s="48"/>
    </row>
    <row r="566" spans="29:41">
      <c r="AC566" s="17"/>
      <c r="AD566" s="17"/>
      <c r="AE566" s="17"/>
      <c r="AF566" s="17"/>
      <c r="AJ566" s="47"/>
      <c r="AK566" s="47"/>
      <c r="AL566" s="47"/>
      <c r="AO566" s="48"/>
    </row>
    <row r="567" spans="29:41">
      <c r="AC567" s="17"/>
      <c r="AD567" s="17"/>
      <c r="AE567" s="17"/>
      <c r="AF567" s="17"/>
      <c r="AJ567" s="47"/>
      <c r="AK567" s="47"/>
      <c r="AL567" s="47"/>
      <c r="AO567" s="48"/>
    </row>
    <row r="568" spans="29:41">
      <c r="AC568" s="17"/>
      <c r="AD568" s="17"/>
      <c r="AE568" s="17"/>
      <c r="AF568" s="17"/>
      <c r="AJ568" s="47"/>
      <c r="AK568" s="47"/>
      <c r="AL568" s="47"/>
      <c r="AO568" s="48"/>
    </row>
    <row r="569" spans="29:41">
      <c r="AJ569" s="47"/>
      <c r="AK569" s="47"/>
      <c r="AL569" s="47"/>
      <c r="AO569" s="48"/>
    </row>
    <row r="570" spans="29:41">
      <c r="AJ570" s="47"/>
      <c r="AK570" s="47"/>
      <c r="AL570" s="47"/>
      <c r="AO570" s="48"/>
    </row>
    <row r="571" spans="29:41">
      <c r="AJ571" s="47"/>
      <c r="AK571" s="47"/>
      <c r="AL571" s="47"/>
      <c r="AO571" s="48"/>
    </row>
    <row r="572" spans="29:41">
      <c r="AJ572" s="47"/>
      <c r="AK572" s="47"/>
      <c r="AL572" s="47"/>
      <c r="AO572" s="48"/>
    </row>
    <row r="573" spans="29:41">
      <c r="AJ573" s="47"/>
      <c r="AK573" s="47"/>
      <c r="AL573" s="47"/>
      <c r="AO573" s="48"/>
    </row>
    <row r="574" spans="29:41">
      <c r="AJ574" s="47"/>
      <c r="AK574" s="47"/>
      <c r="AL574" s="47"/>
      <c r="AO574" s="48"/>
    </row>
    <row r="575" spans="29:41">
      <c r="AJ575" s="47"/>
      <c r="AK575" s="47"/>
      <c r="AL575" s="47"/>
      <c r="AO575" s="48"/>
    </row>
    <row r="576" spans="29:41">
      <c r="AJ576" s="47"/>
      <c r="AK576" s="47"/>
      <c r="AL576" s="47"/>
      <c r="AO576" s="48"/>
    </row>
    <row r="577" spans="36:41">
      <c r="AJ577" s="47"/>
      <c r="AK577" s="47"/>
      <c r="AL577" s="47"/>
      <c r="AO577" s="48"/>
    </row>
    <row r="578" spans="36:41">
      <c r="AJ578" s="47"/>
      <c r="AK578" s="47"/>
      <c r="AL578" s="47"/>
      <c r="AO578" s="48"/>
    </row>
    <row r="579" spans="36:41">
      <c r="AJ579" s="47"/>
      <c r="AK579" s="47"/>
      <c r="AL579" s="47"/>
      <c r="AO579" s="48"/>
    </row>
    <row r="580" spans="36:41">
      <c r="AJ580" s="47"/>
      <c r="AK580" s="47"/>
      <c r="AL580" s="47"/>
      <c r="AO580" s="48"/>
    </row>
    <row r="581" spans="36:41">
      <c r="AJ581" s="47"/>
      <c r="AK581" s="47"/>
      <c r="AL581" s="47"/>
      <c r="AO581" s="48"/>
    </row>
    <row r="582" spans="36:41">
      <c r="AJ582" s="47"/>
      <c r="AK582" s="47"/>
      <c r="AL582" s="47"/>
      <c r="AO582" s="48"/>
    </row>
    <row r="583" spans="36:41">
      <c r="AJ583" s="47"/>
      <c r="AK583" s="47"/>
      <c r="AL583" s="47"/>
      <c r="AO583" s="48"/>
    </row>
    <row r="584" spans="36:41">
      <c r="AJ584" s="47"/>
      <c r="AK584" s="47"/>
      <c r="AL584" s="47"/>
      <c r="AO584" s="48"/>
    </row>
    <row r="585" spans="36:41">
      <c r="AJ585" s="47"/>
      <c r="AK585" s="47"/>
      <c r="AL585" s="47"/>
      <c r="AO585" s="48"/>
    </row>
    <row r="586" spans="36:41">
      <c r="AJ586" s="47"/>
      <c r="AK586" s="47"/>
      <c r="AL586" s="47"/>
      <c r="AO586" s="48"/>
    </row>
    <row r="587" spans="36:41">
      <c r="AJ587" s="47"/>
      <c r="AK587" s="47"/>
      <c r="AL587" s="47"/>
      <c r="AO587" s="48"/>
    </row>
    <row r="588" spans="36:41">
      <c r="AJ588" s="47"/>
      <c r="AK588" s="47"/>
      <c r="AL588" s="47"/>
      <c r="AO588" s="48"/>
    </row>
    <row r="589" spans="36:41">
      <c r="AJ589" s="47"/>
      <c r="AK589" s="47"/>
      <c r="AL589" s="47"/>
      <c r="AO589" s="48"/>
    </row>
    <row r="590" spans="36:41">
      <c r="AJ590" s="47"/>
      <c r="AK590" s="47"/>
      <c r="AL590" s="47"/>
      <c r="AO590" s="48"/>
    </row>
    <row r="591" spans="36:41">
      <c r="AJ591" s="47"/>
      <c r="AK591" s="47"/>
      <c r="AL591" s="47"/>
      <c r="AO591" s="48"/>
    </row>
    <row r="592" spans="36:41">
      <c r="AJ592" s="47"/>
      <c r="AK592" s="47"/>
      <c r="AL592" s="47"/>
      <c r="AO592" s="48"/>
    </row>
    <row r="593" spans="36:41">
      <c r="AJ593" s="47"/>
      <c r="AK593" s="47"/>
      <c r="AL593" s="47"/>
      <c r="AO593" s="48"/>
    </row>
    <row r="594" spans="36:41">
      <c r="AJ594" s="47"/>
      <c r="AK594" s="47"/>
      <c r="AL594" s="47"/>
      <c r="AO594" s="48"/>
    </row>
    <row r="595" spans="36:41">
      <c r="AJ595" s="47"/>
      <c r="AK595" s="47"/>
      <c r="AL595" s="47"/>
      <c r="AO595" s="48"/>
    </row>
    <row r="596" spans="36:41">
      <c r="AJ596" s="47"/>
      <c r="AK596" s="47"/>
      <c r="AL596" s="47"/>
      <c r="AO596" s="48"/>
    </row>
    <row r="597" spans="36:41">
      <c r="AJ597" s="47"/>
      <c r="AK597" s="47"/>
      <c r="AL597" s="47"/>
      <c r="AO597" s="48"/>
    </row>
    <row r="598" spans="36:41">
      <c r="AJ598" s="47"/>
      <c r="AK598" s="47"/>
      <c r="AL598" s="47"/>
      <c r="AO598" s="48"/>
    </row>
    <row r="599" spans="36:41">
      <c r="AJ599" s="47"/>
      <c r="AK599" s="47"/>
      <c r="AL599" s="47"/>
      <c r="AO599" s="48"/>
    </row>
    <row r="600" spans="36:41">
      <c r="AJ600" s="47"/>
      <c r="AK600" s="47"/>
      <c r="AL600" s="47"/>
      <c r="AO600" s="48"/>
    </row>
    <row r="601" spans="36:41">
      <c r="AJ601" s="47"/>
      <c r="AK601" s="47"/>
      <c r="AL601" s="47"/>
      <c r="AO601" s="48"/>
    </row>
    <row r="602" spans="36:41">
      <c r="AJ602" s="47"/>
      <c r="AK602" s="47"/>
      <c r="AL602" s="47"/>
      <c r="AO602" s="48"/>
    </row>
    <row r="603" spans="36:41">
      <c r="AJ603" s="47"/>
      <c r="AK603" s="47"/>
      <c r="AL603" s="47"/>
      <c r="AO603" s="48"/>
    </row>
    <row r="604" spans="36:41">
      <c r="AJ604" s="47"/>
      <c r="AK604" s="47"/>
      <c r="AL604" s="47"/>
      <c r="AO604" s="48"/>
    </row>
    <row r="605" spans="36:41">
      <c r="AJ605" s="47"/>
      <c r="AK605" s="47"/>
      <c r="AL605" s="47"/>
      <c r="AO605" s="48"/>
    </row>
    <row r="606" spans="36:41">
      <c r="AJ606" s="47"/>
      <c r="AK606" s="47"/>
      <c r="AL606" s="47"/>
      <c r="AO606" s="48"/>
    </row>
    <row r="607" spans="36:41">
      <c r="AJ607" s="47"/>
      <c r="AK607" s="47"/>
      <c r="AL607" s="47"/>
      <c r="AO607" s="48"/>
    </row>
    <row r="608" spans="36:41">
      <c r="AJ608" s="47"/>
      <c r="AK608" s="47"/>
      <c r="AL608" s="47"/>
      <c r="AO608" s="48"/>
    </row>
    <row r="609" spans="36:41">
      <c r="AJ609" s="47"/>
      <c r="AK609" s="47"/>
      <c r="AL609" s="47"/>
      <c r="AO609" s="48"/>
    </row>
    <row r="610" spans="36:41">
      <c r="AJ610" s="47"/>
      <c r="AK610" s="47"/>
      <c r="AL610" s="47"/>
      <c r="AO610" s="48"/>
    </row>
    <row r="611" spans="36:41">
      <c r="AJ611" s="47"/>
      <c r="AK611" s="47"/>
      <c r="AL611" s="47"/>
      <c r="AO611" s="48"/>
    </row>
    <row r="612" spans="36:41">
      <c r="AJ612" s="47"/>
      <c r="AK612" s="47"/>
      <c r="AL612" s="47"/>
      <c r="AO612" s="48"/>
    </row>
    <row r="613" spans="36:41">
      <c r="AJ613" s="47"/>
      <c r="AK613" s="47"/>
      <c r="AL613" s="47"/>
      <c r="AO613" s="48"/>
    </row>
    <row r="614" spans="36:41">
      <c r="AJ614" s="47"/>
      <c r="AK614" s="47"/>
      <c r="AL614" s="47"/>
      <c r="AO614" s="48"/>
    </row>
    <row r="615" spans="36:41">
      <c r="AJ615" s="47"/>
      <c r="AK615" s="47"/>
      <c r="AL615" s="47"/>
      <c r="AO615" s="48"/>
    </row>
    <row r="616" spans="36:41">
      <c r="AJ616" s="47"/>
      <c r="AK616" s="47"/>
      <c r="AL616" s="47"/>
      <c r="AO616" s="48"/>
    </row>
    <row r="617" spans="36:41">
      <c r="AJ617" s="47"/>
      <c r="AK617" s="47"/>
      <c r="AL617" s="47"/>
      <c r="AO617" s="48"/>
    </row>
    <row r="618" spans="36:41">
      <c r="AJ618" s="47"/>
      <c r="AK618" s="47"/>
      <c r="AL618" s="47"/>
      <c r="AO618" s="48"/>
    </row>
    <row r="619" spans="36:41">
      <c r="AJ619" s="47"/>
      <c r="AK619" s="47"/>
      <c r="AL619" s="47"/>
      <c r="AO619" s="48"/>
    </row>
    <row r="620" spans="36:41">
      <c r="AJ620" s="47"/>
      <c r="AK620" s="47"/>
      <c r="AL620" s="47"/>
      <c r="AO620" s="48"/>
    </row>
    <row r="621" spans="36:41">
      <c r="AJ621" s="47"/>
      <c r="AK621" s="47"/>
      <c r="AL621" s="47"/>
      <c r="AO621" s="48"/>
    </row>
    <row r="622" spans="36:41">
      <c r="AJ622" s="47"/>
      <c r="AK622" s="47"/>
      <c r="AL622" s="47"/>
      <c r="AO622" s="48"/>
    </row>
    <row r="623" spans="36:41">
      <c r="AJ623" s="47"/>
      <c r="AK623" s="47"/>
      <c r="AL623" s="47"/>
      <c r="AO623" s="48"/>
    </row>
    <row r="624" spans="36:41">
      <c r="AJ624" s="47"/>
      <c r="AK624" s="47"/>
      <c r="AL624" s="47"/>
      <c r="AO624" s="48"/>
    </row>
    <row r="625" spans="36:41">
      <c r="AJ625" s="47"/>
      <c r="AK625" s="47"/>
      <c r="AL625" s="47"/>
      <c r="AO625" s="48"/>
    </row>
    <row r="626" spans="36:41">
      <c r="AJ626" s="47"/>
      <c r="AK626" s="47"/>
      <c r="AL626" s="47"/>
      <c r="AO626" s="48"/>
    </row>
    <row r="627" spans="36:41">
      <c r="AJ627" s="47"/>
      <c r="AK627" s="47"/>
      <c r="AL627" s="47"/>
      <c r="AO627" s="48"/>
    </row>
    <row r="628" spans="36:41">
      <c r="AJ628" s="47"/>
      <c r="AK628" s="47"/>
      <c r="AL628" s="47"/>
      <c r="AO628" s="48"/>
    </row>
    <row r="629" spans="36:41">
      <c r="AJ629" s="47"/>
      <c r="AK629" s="47"/>
      <c r="AL629" s="47"/>
      <c r="AO629" s="48"/>
    </row>
    <row r="630" spans="36:41">
      <c r="AJ630" s="47"/>
      <c r="AK630" s="47"/>
      <c r="AL630" s="47"/>
      <c r="AO630" s="48"/>
    </row>
    <row r="631" spans="36:41">
      <c r="AJ631" s="47"/>
      <c r="AK631" s="47"/>
      <c r="AL631" s="47"/>
      <c r="AO631" s="48"/>
    </row>
    <row r="632" spans="36:41">
      <c r="AJ632" s="47"/>
      <c r="AK632" s="47"/>
      <c r="AL632" s="47"/>
      <c r="AO632" s="48"/>
    </row>
    <row r="633" spans="36:41">
      <c r="AJ633" s="47"/>
      <c r="AK633" s="47"/>
      <c r="AL633" s="47"/>
      <c r="AO633" s="48"/>
    </row>
    <row r="634" spans="36:41">
      <c r="AJ634" s="47"/>
      <c r="AK634" s="47"/>
      <c r="AL634" s="47"/>
      <c r="AO634" s="48"/>
    </row>
    <row r="635" spans="36:41">
      <c r="AJ635" s="47"/>
      <c r="AK635" s="47"/>
      <c r="AL635" s="47"/>
      <c r="AO635" s="48"/>
    </row>
    <row r="636" spans="36:41">
      <c r="AJ636" s="47"/>
      <c r="AK636" s="47"/>
      <c r="AL636" s="47"/>
      <c r="AO636" s="48"/>
    </row>
    <row r="637" spans="36:41">
      <c r="AJ637" s="47"/>
      <c r="AK637" s="47"/>
      <c r="AL637" s="47"/>
      <c r="AO637" s="48"/>
    </row>
    <row r="638" spans="36:41">
      <c r="AJ638" s="47"/>
      <c r="AK638" s="47"/>
      <c r="AL638" s="47"/>
      <c r="AO638" s="48"/>
    </row>
    <row r="639" spans="36:41">
      <c r="AJ639" s="47"/>
      <c r="AK639" s="47"/>
      <c r="AL639" s="47"/>
      <c r="AO639" s="48"/>
    </row>
    <row r="640" spans="36:41">
      <c r="AJ640" s="47"/>
      <c r="AK640" s="47"/>
      <c r="AL640" s="47"/>
      <c r="AO640" s="48"/>
    </row>
  </sheetData>
  <phoneticPr fontId="6" type="noConversion"/>
  <conditionalFormatting sqref="AK2:AK318">
    <cfRule type="expression" dxfId="31" priority="37">
      <formula>AND($AK2&lt;&gt;"",$AK2&lt;TODAY())</formula>
    </cfRule>
    <cfRule type="expression" dxfId="30" priority="38">
      <formula>AND($AK2&gt;=TODAY(),$AK2&lt;=TODAY()+7)</formula>
    </cfRule>
  </conditionalFormatting>
  <conditionalFormatting sqref="AK102:AK317">
    <cfRule type="expression" dxfId="29" priority="33">
      <formula>AND($M102&lt;&gt;"",$M102&lt;TODAY())</formula>
    </cfRule>
    <cfRule type="expression" dxfId="28" priority="34">
      <formula>AND($M102&gt;=TODAY(),$M102&lt;=TODAY()+7)</formula>
    </cfRule>
  </conditionalFormatting>
  <conditionalFormatting sqref="AL318:AL389">
    <cfRule type="expression" dxfId="27" priority="11">
      <formula>AND($G318&lt;&gt;"",$G318&lt;TODAY())</formula>
    </cfRule>
    <cfRule type="expression" dxfId="26" priority="12">
      <formula>AND($G318&gt;=TODAY(),$G318&lt;=TODAY()+7)</formula>
    </cfRule>
  </conditionalFormatting>
  <conditionalFormatting sqref="AL318:AL640">
    <cfRule type="expression" dxfId="25" priority="13">
      <formula>AND($AL318&lt;&gt;"",$AL318&lt;TODAY())</formula>
    </cfRule>
    <cfRule type="expression" dxfId="24" priority="14">
      <formula>AND($AL318&gt;=TODAY(),$AL318&lt;=TODAY()+7)</formula>
    </cfRule>
  </conditionalFormatting>
  <conditionalFormatting sqref="AO318:AO640 AN2:AN318">
    <cfRule type="colorScale" priority="28">
      <colorScale>
        <cfvo type="min"/>
        <cfvo type="percentile" val="50"/>
        <cfvo type="max"/>
        <color rgb="FFFECACA"/>
        <color rgb="FFFEF3C7"/>
        <color rgb="FFDCFCE7"/>
      </colorScale>
    </cfRule>
  </conditionalFormatting>
  <conditionalFormatting sqref="AY178:AY201">
    <cfRule type="expression" dxfId="23" priority="4">
      <formula>AND($AL318&lt;&gt;"",$AL318&lt;TODAY())</formula>
    </cfRule>
    <cfRule type="expression" dxfId="22" priority="5">
      <formula>AND($AL318&gt;=TODAY(),$AL318&lt;=TODAY()+7)</formula>
    </cfRule>
  </conditionalFormatting>
  <conditionalFormatting sqref="BB178:BB201 AO318:AO389 AN102:AN317">
    <cfRule type="colorScale" priority="30">
      <colorScale>
        <cfvo type="min"/>
        <cfvo type="percentile" val="50"/>
        <cfvo type="max"/>
        <color rgb="FFFECACA"/>
        <color rgb="FFFEF3C7"/>
        <color rgb="FFDCFCE7"/>
      </colorScale>
    </cfRule>
  </conditionalFormatting>
  <hyperlinks>
    <hyperlink ref="H2" r:id="rId1" xr:uid="{4D6A983A-A130-4EC9-96CC-3ABCEBCF61AB}"/>
    <hyperlink ref="G2" r:id="rId2" xr:uid="{FE265C6E-44D5-40D5-A6B2-1523127363C9}"/>
    <hyperlink ref="AC2" r:id="rId3" xr:uid="{5EE37D52-9B73-4101-9F4B-C30011D4A71A}"/>
    <hyperlink ref="AE2" r:id="rId4" xr:uid="{D22F3767-7203-4779-9168-73F8AC290FF5}"/>
    <hyperlink ref="M2" r:id="rId5" xr:uid="{9F852898-E68C-41D4-8078-68CDEEBA410E}"/>
    <hyperlink ref="G3" r:id="rId6" xr:uid="{6E789306-A3B7-44BF-8654-82A14F376E87}"/>
    <hyperlink ref="M3" r:id="rId7" xr:uid="{5662E988-E761-4C42-86A7-ABA2D15FEBB2}"/>
    <hyperlink ref="P2" r:id="rId8" xr:uid="{D60EBC64-2986-4469-BD2E-8D3AD44F01FB}"/>
    <hyperlink ref="H3" r:id="rId9" xr:uid="{5C553388-51AC-4A6B-8248-17C3852E9383}"/>
    <hyperlink ref="W3" r:id="rId10" xr:uid="{22380598-709E-445C-829C-579FB95DDD02}"/>
    <hyperlink ref="P3" r:id="rId11" xr:uid="{EA311E27-E08A-42F7-9B5D-6EB913873A3C}"/>
    <hyperlink ref="G4" r:id="rId12" xr:uid="{AFEA677C-DF28-459C-BFD9-355B2DC6332A}"/>
    <hyperlink ref="M4" r:id="rId13" xr:uid="{77FBEEAD-CEE9-423E-82C3-6109781B11F5}"/>
    <hyperlink ref="H4" r:id="rId14" location="BoardofTrustees" xr:uid="{A5FCEA31-095E-4173-9D52-0872AA688AB7}"/>
    <hyperlink ref="X4" r:id="rId15" display="tel:+13607528334" xr:uid="{73DF47C8-CEBE-4DD4-9B60-BBF1FFC6236F}"/>
    <hyperlink ref="AC3" r:id="rId16" location="StrategicPlan" xr:uid="{88203DE9-847C-4FB9-ACC1-F02A089CAC16}"/>
    <hyperlink ref="P4" r:id="rId17" xr:uid="{21961862-232A-4CCD-9028-F52E1E47C6A0}"/>
    <hyperlink ref="G5" r:id="rId18" xr:uid="{C799722C-AFC3-47F3-92A0-5647C3789F71}"/>
    <hyperlink ref="M5" r:id="rId19" xr:uid="{0D63CD1B-056F-4B76-A3E1-586C0C02CBB2}"/>
    <hyperlink ref="H5" r:id="rId20" xr:uid="{43F8D33F-B237-4FD0-BF48-920FBBACD5EF}"/>
    <hyperlink ref="X5" r:id="rId21" display="tel: (509) 793-2001" xr:uid="{E5EA45B9-E385-4D09-8392-79E5B1630C36}"/>
    <hyperlink ref="P5" r:id="rId22" xr:uid="{2B9B7D2D-40F3-4C30-B853-32B831BE6987}"/>
    <hyperlink ref="AC5" r:id="rId23" xr:uid="{BD6197D0-3EAA-4FE5-BB07-4F244AEFE4A5}"/>
    <hyperlink ref="AE4" r:id="rId24" location="StrategicPlan" xr:uid="{A871BCBD-0E29-4966-B23E-FFDD2A4C7AC5}"/>
    <hyperlink ref="G6" r:id="rId25" xr:uid="{6ED1185D-5EB6-467C-8827-22BEB819F209}"/>
    <hyperlink ref="H6" r:id="rId26" xr:uid="{E7794EBB-A1DC-4033-A626-F558837CEBDC}"/>
    <hyperlink ref="P6" r:id="rId27" xr:uid="{D359361A-ADE9-4E19-8DE9-1374D412A06C}"/>
    <hyperlink ref="X6" r:id="rId28" display="tel:(425) 352-8810" xr:uid="{22B1EA6A-874E-4B1F-9FBF-5FB41FB9C3E2}"/>
    <hyperlink ref="AC6" r:id="rId29" xr:uid="{F99BD8ED-A601-424E-B7F9-79BC12F35EB0}"/>
    <hyperlink ref="G7" r:id="rId30" xr:uid="{3B145CD3-E747-4AEB-80BD-AED506B8F052}"/>
    <hyperlink ref="M6" r:id="rId31" xr:uid="{A7FDA15A-B0CE-4964-B0BF-EBC0D5484BF8}"/>
    <hyperlink ref="H7" r:id="rId32" xr:uid="{5F03EF78-4710-43B3-8DA9-F2CCABB52175}"/>
    <hyperlink ref="M7" r:id="rId33" xr:uid="{1D9FB1EF-6E8A-4FDF-BD40-B2FC5D4836CA}"/>
    <hyperlink ref="P7" r:id="rId34" xr:uid="{CA0F1F8F-1B08-4377-9BB1-84452A5E537A}"/>
    <hyperlink ref="AC7" r:id="rId35" xr:uid="{A2E16F2B-8796-41D1-BF17-EEB3742ADFB8}"/>
    <hyperlink ref="G8" r:id="rId36" xr:uid="{826272F7-1874-4F50-A0F7-EBF5A09AF5D7}"/>
    <hyperlink ref="H8" r:id="rId37" xr:uid="{960218CF-79EB-4E91-8BAB-F39FFEAAA200}"/>
    <hyperlink ref="P8" r:id="rId38" xr:uid="{95563D81-CD69-41BA-9F3B-1F1528CF1285}"/>
    <hyperlink ref="M8" r:id="rId39" xr:uid="{A245829C-4D02-404F-92D1-E2AC2D24C7BF}"/>
    <hyperlink ref="AC8" r:id="rId40" xr:uid="{E56F1773-6C20-4668-A8BE-8228963D015A}"/>
    <hyperlink ref="G9" r:id="rId41" xr:uid="{1B2AB977-C214-4CED-93FB-37DD8DD65334}"/>
    <hyperlink ref="H9" r:id="rId42" xr:uid="{7132865C-F9D7-4394-8062-6916CBF6D63A}"/>
    <hyperlink ref="M9" r:id="rId43" xr:uid="{5A8B1CA3-02C7-40E5-A1F4-AC7ED652AE83}"/>
    <hyperlink ref="AC9" r:id="rId44" xr:uid="{45343072-E6A1-4C4F-A068-1F027A22BA8F}"/>
    <hyperlink ref="P9" r:id="rId45" xr:uid="{5113AC6C-1100-49C9-853E-2D24C257B10D}"/>
    <hyperlink ref="W9" r:id="rId46" xr:uid="{21A126A1-2287-4401-97C6-C7A24B82125A}"/>
    <hyperlink ref="G10" r:id="rId47" xr:uid="{2EDB35B0-BFEE-4E53-96EF-8C07301B30BE}"/>
    <hyperlink ref="M10" r:id="rId48" xr:uid="{7E3BF261-17DD-420A-B4C2-F8C58B7811A3}"/>
    <hyperlink ref="P10" r:id="rId49" xr:uid="{EF5844FA-F37B-40F5-A482-FFD450F2B14B}"/>
    <hyperlink ref="AC10" r:id="rId50" xr:uid="{596DF0D4-9AA3-4DB4-8957-C75BD74D36DF}"/>
    <hyperlink ref="H10" r:id="rId51" xr:uid="{E9B506DD-C8F2-492C-A349-3DD6554CC066}"/>
    <hyperlink ref="Q10" r:id="rId52" xr:uid="{5EC8C42B-9A50-4118-B3F8-F0CD3DB8A20D}"/>
    <hyperlink ref="T10" r:id="rId53" xr:uid="{77B59B71-D0E5-4DDA-913C-7FB475CABC7E}"/>
    <hyperlink ref="W10" r:id="rId54" xr:uid="{033FC866-AF3F-43ED-A62A-897C79AF764E}"/>
    <hyperlink ref="G11" r:id="rId55" xr:uid="{73F7CBE8-E22D-4212-851C-E00C57597D0F}"/>
    <hyperlink ref="M11" r:id="rId56" xr:uid="{11BB717C-7264-4D2C-B1EF-947EB1197CA0}"/>
    <hyperlink ref="H11" r:id="rId57" xr:uid="{4981E0FD-E3F7-4326-9644-2F41EA637A2A}"/>
    <hyperlink ref="AC11" r:id="rId58" xr:uid="{44C09C76-CAE5-4428-BC0B-9976D1146079}"/>
    <hyperlink ref="P11" r:id="rId59" xr:uid="{7E31653E-43A2-4140-B976-F6CDEE27FCA6}"/>
    <hyperlink ref="G12" r:id="rId60" xr:uid="{41B7D422-84E7-40F1-9237-5ED7458CE882}"/>
    <hyperlink ref="AP11" r:id="rId61" xr:uid="{C88D8F76-EC06-4B7F-B1B8-2AC9DC07E0E4}"/>
    <hyperlink ref="H12" r:id="rId62" xr:uid="{5D8F1D2D-1727-4E4C-AA7F-1F1E237EFA95}"/>
    <hyperlink ref="P12" r:id="rId63" xr:uid="{A2EF65D8-1964-4CFF-85DD-494D9634FB2A}"/>
    <hyperlink ref="AC12" r:id="rId64" xr:uid="{C9ED94D2-0ED8-4F74-89A1-A4102C3003DB}"/>
    <hyperlink ref="G13" r:id="rId65" xr:uid="{E40655E1-7A8E-437C-B2F2-C2351FC16E71}"/>
    <hyperlink ref="M12" r:id="rId66" xr:uid="{5990CD47-D91B-471A-A9EE-33A36B7C7B28}"/>
    <hyperlink ref="H13" r:id="rId67" xr:uid="{0CFDE41A-F548-4969-A42F-765A08EC437A}"/>
    <hyperlink ref="M13" r:id="rId68" xr:uid="{00DC3938-6071-4EEE-8AE6-867037A0B823}"/>
    <hyperlink ref="P13" r:id="rId69" xr:uid="{2CF2E115-09E1-42F3-9808-98A84561E1BC}"/>
    <hyperlink ref="AC13" r:id="rId70" xr:uid="{3E01EE3B-EDEE-48F7-A744-D3F384EA847E}"/>
    <hyperlink ref="G14" r:id="rId71" xr:uid="{9CBF4D01-91F8-442C-8BE3-163944155F6F}"/>
    <hyperlink ref="H14" r:id="rId72" xr:uid="{1D9693B1-50E6-4BB1-BE42-8D1DA3245216}"/>
    <hyperlink ref="P14" r:id="rId73" xr:uid="{5CB4FEEF-71F9-48DA-916B-EAD103865BED}"/>
    <hyperlink ref="AC14" r:id="rId74" xr:uid="{3CBEA7DA-E3A7-43D6-AF83-30EEF82F4D0F}"/>
    <hyperlink ref="G15" r:id="rId75" xr:uid="{EE4EDD9E-7AD3-48DB-9E04-DCD17D790F45}"/>
    <hyperlink ref="X15" r:id="rId76" display="tel:+1-(206)592-4943" xr:uid="{9A2B70E4-2D35-444A-A811-643944472D17}"/>
    <hyperlink ref="P15" r:id="rId77" xr:uid="{C7ABF38A-31EA-4692-9392-2CF2AA64C295}"/>
    <hyperlink ref="M15" r:id="rId78" xr:uid="{5554753C-5AC5-46D1-BBF9-6AF6392B8F5A}"/>
    <hyperlink ref="G16" r:id="rId79" xr:uid="{3F6E8778-B914-4CD6-B83C-7F03E5C6B17E}"/>
    <hyperlink ref="M16" r:id="rId80" xr:uid="{406EF361-08B4-4F83-BCA9-79882AE459CE}"/>
    <hyperlink ref="H16" r:id="rId81" xr:uid="{9D814FAA-8C2B-43D2-9E6F-730DE8CAA0EC}"/>
    <hyperlink ref="G17" r:id="rId82" xr:uid="{FA7B5B8F-E0DC-4CF3-9718-BA9555A129A8}"/>
    <hyperlink ref="M17" r:id="rId83" xr:uid="{6F9EB859-0215-4A3B-872C-E722FCC74931}"/>
    <hyperlink ref="H17" r:id="rId84" xr:uid="{42108839-7C0E-4026-84B5-651AC94DEF43}"/>
    <hyperlink ref="P17" r:id="rId85" xr:uid="{D17DE72D-3DFC-472D-85A6-AF28C8783DBE}"/>
    <hyperlink ref="AC17" r:id="rId86" xr:uid="{4147AED9-5815-405E-9177-1AF4C63F1351}"/>
    <hyperlink ref="AC16" r:id="rId87" display="https://www.lwtech.edu/about-us/our-story/mission.aspx" xr:uid="{E1974D37-95E6-40FC-9053-CD1F9213C966}"/>
    <hyperlink ref="P16" r:id="rId88" xr:uid="{E976E509-78DA-4429-92B2-09A811DC6296}"/>
    <hyperlink ref="G18" r:id="rId89" xr:uid="{1D3C949F-90B4-4BF3-9530-6AFF9550C3DB}"/>
    <hyperlink ref="M18" r:id="rId90" xr:uid="{B660F31F-F9D9-402E-937F-13967BD113A0}"/>
    <hyperlink ref="AB17" r:id="rId91" xr:uid="{C56D7F9B-D2EE-4711-9943-F64851BAB415}"/>
    <hyperlink ref="I18" r:id="rId92" xr:uid="{BC2C0070-259B-4446-B86B-9DFF79B17216}"/>
    <hyperlink ref="L18" r:id="rId93" display="mailto:Rosie.Rimando@seattlecolleges.edu" xr:uid="{BEA291D2-287A-45C0-8F25-F6925AF60776}"/>
    <hyperlink ref="H18" r:id="rId94" xr:uid="{1169772D-D2F1-43F9-AA09-B690394DC081}"/>
    <hyperlink ref="P18" r:id="rId95" display="mailto:Rachel.Solemsaas@seattlecolleges.edu" xr:uid="{8A22D6BF-2B58-44D0-9638-9EE0BD258F77}"/>
    <hyperlink ref="I24" r:id="rId96" xr:uid="{AEED171F-A029-4E04-A493-FEC17F1BE5D6}"/>
    <hyperlink ref="L24" r:id="rId97" display="mailto:Rosie.Rimando@seattlecolleges.edu" xr:uid="{C6461213-93E5-48AA-A4E8-65981D2A3B63}"/>
    <hyperlink ref="H24" r:id="rId98" xr:uid="{BC4BAD9F-693E-4AC3-9058-0ADAB0B28641}"/>
    <hyperlink ref="I28" r:id="rId99" xr:uid="{B8CC3717-6E11-4D22-8171-01E8FBA46C4B}"/>
    <hyperlink ref="L28" r:id="rId100" display="mailto:Rosie.Rimando@seattlecolleges.edu" xr:uid="{0588202C-9AC1-41D4-9517-72FC506A7BE4}"/>
    <hyperlink ref="H28" r:id="rId101" xr:uid="{E9A5235D-6BB3-4928-9209-C8D758A04B44}"/>
    <hyperlink ref="G19" r:id="rId102" xr:uid="{755B1765-9061-4FF7-A7C3-64BAE4F60397}"/>
    <hyperlink ref="H19" r:id="rId103" xr:uid="{991F5D83-6722-4CCE-93BB-063F11414C18}"/>
    <hyperlink ref="M19" r:id="rId104" xr:uid="{E2560C01-0CE7-4A75-9276-486572BE96AD}"/>
    <hyperlink ref="X19" r:id="rId105" display="tel:360-475-7105" xr:uid="{FFAE1517-A213-461F-AFA1-6E22619AA3E9}"/>
    <hyperlink ref="P19" r:id="rId106" display="mailto:crecasner@olympic.edu" xr:uid="{E10C86F6-35A2-4E5A-8CDA-440AC68CA8AA}"/>
    <hyperlink ref="AC19" r:id="rId107" xr:uid="{098E84B9-80C7-4BB4-AE7A-6E4E3CDD6925}"/>
    <hyperlink ref="G20" r:id="rId108" xr:uid="{95B57B8D-8568-4BC0-9FE8-F1E641EBE104}"/>
    <hyperlink ref="P20" r:id="rId109" xr:uid="{24B524EE-18AF-4A80-86C7-3D260DCE20B7}"/>
    <hyperlink ref="G21" r:id="rId110" xr:uid="{CF13E9D1-73D6-4527-B290-2995401FA638}"/>
    <hyperlink ref="X21" r:id="rId111" display="tel:2538643104" xr:uid="{70F669D5-EB22-4255-9E23-068E347C4948}"/>
    <hyperlink ref="H21" r:id="rId112" xr:uid="{FA4165BF-C81F-4B9F-B91B-8FC5222D1475}"/>
    <hyperlink ref="AC21" r:id="rId113" xr:uid="{3A47233D-0627-4AF1-B02C-B82B29F84C55}"/>
    <hyperlink ref="P21" r:id="rId114" xr:uid="{0C3061ED-1372-4A2E-8CE1-6354577E8632}"/>
    <hyperlink ref="Z21" r:id="rId115" display="mailto:CBoiter@pierce.ctc.edu" xr:uid="{62CB895E-6924-4890-9DED-74CADDD5A2B6}"/>
    <hyperlink ref="L21" r:id="rId116" xr:uid="{C68403EB-4B40-4825-9F5F-D8649D7A90A8}"/>
    <hyperlink ref="H22" r:id="rId117" xr:uid="{FF597A99-4BBE-4DE0-B548-657F9DDB45D6}"/>
    <hyperlink ref="L22" r:id="rId118" xr:uid="{55D7EE5F-1FC9-483B-AE9A-EF1E2ACF4D3C}"/>
    <hyperlink ref="P22" r:id="rId119" xr:uid="{D8E28623-8125-4BFE-B72D-585ABDBCAFA3}"/>
    <hyperlink ref="AC22" r:id="rId120" xr:uid="{2DCEF388-8698-4044-9259-9B0E05A5B8FD}"/>
    <hyperlink ref="G23" r:id="rId121" xr:uid="{0D229D31-1A69-47F6-BB5B-4B2827F2D6C6}"/>
    <hyperlink ref="H23" r:id="rId122" xr:uid="{9461FDFA-CE79-4DDA-8BFA-B18A26AE4FFC}"/>
    <hyperlink ref="P23" r:id="rId123" xr:uid="{3BBC47E5-1F1E-4825-BDB3-73047B5C8875}"/>
    <hyperlink ref="Z23" r:id="rId124" xr:uid="{EF85DBD5-E65D-48E4-91F9-23B2B4C89D76}"/>
    <hyperlink ref="G24" r:id="rId125" xr:uid="{6D5D30CE-EF3B-4BFB-8516-AEAAE7F609EC}"/>
    <hyperlink ref="P24" r:id="rId126" xr:uid="{21138EE3-2C06-41C8-845C-F2028EA77F54}"/>
    <hyperlink ref="G25" r:id="rId127" xr:uid="{0AE57E8F-24B2-4073-8040-11D6D3243185}"/>
    <hyperlink ref="H25" r:id="rId128" xr:uid="{FF591D88-4F7F-4BC3-ACD6-AA3ADFAEA851}"/>
    <hyperlink ref="P25" r:id="rId129" xr:uid="{04F17B5B-84A8-48C7-A8F3-8B4921A2BC90}"/>
    <hyperlink ref="Z25" r:id="rId130" xr:uid="{A239B385-3F28-4134-901D-5F1BB5D26ED8}"/>
    <hyperlink ref="AP25" r:id="rId131" xr:uid="{01EBA807-81C0-47CB-B681-FE2917CBF9E6}"/>
    <hyperlink ref="G26" r:id="rId132" xr:uid="{FC3B54DE-6E44-4937-9E71-A7665ACA748C}"/>
    <hyperlink ref="Z26" r:id="rId133" display="mailto:pam.davis@skagit.edu?subject=" xr:uid="{DDB6271C-E720-4678-A943-0A8BC8E9F111}"/>
    <hyperlink ref="H26" r:id="rId134" xr:uid="{155F8A76-24AC-45D0-9EC0-AD933FDFA96A}"/>
    <hyperlink ref="P26" r:id="rId135" xr:uid="{D3A4FF8F-114B-4AEE-8F9D-77869BEE2CAF}"/>
    <hyperlink ref="AC26" r:id="rId136" xr:uid="{CCE10AA8-2C59-469F-90D7-E75E2642F208}"/>
    <hyperlink ref="G27" r:id="rId137" xr:uid="{A17CCC3E-F17D-4CD2-B401-B312920DF173}"/>
    <hyperlink ref="P27" r:id="rId138" xr:uid="{AFAFAE83-8957-471C-96C5-3B7DDA0FD913}"/>
    <hyperlink ref="Z27" r:id="rId139" xr:uid="{4BEE36FB-DB8E-43BF-8D94-1F955B67FB14}"/>
    <hyperlink ref="AC27" r:id="rId140" xr:uid="{4642B867-DC11-4710-9EDA-CF9DC5E8AA1D}"/>
    <hyperlink ref="G28" r:id="rId141" xr:uid="{36587FA4-88FC-4F65-ADC8-4DDE8533D5A0}"/>
    <hyperlink ref="P28" r:id="rId142" xr:uid="{63F47BCA-66A9-426E-8404-59E8523EA7DA}"/>
    <hyperlink ref="Z28" r:id="rId143" xr:uid="{A72626C8-7378-4DDB-A9C0-00CD8D706F65}"/>
    <hyperlink ref="G29" r:id="rId144" xr:uid="{3B3A2F4A-9C7D-4988-97B3-2926D6B76F8B}"/>
    <hyperlink ref="Z29" r:id="rId145" xr:uid="{A85807CE-25DB-4A46-9B96-63F737826A28}"/>
    <hyperlink ref="L29" r:id="rId146" xr:uid="{BB3824F9-715C-4E1A-A3FC-26CED14F8509}"/>
    <hyperlink ref="P29" r:id="rId147" display="mailto:Jenni.Martin@scc.spokane.edu" xr:uid="{56EC2044-B484-4558-AA56-7F95A6932D57}"/>
    <hyperlink ref="L30" r:id="rId148" xr:uid="{C95ABF13-E97A-41D0-B737-141408EBC56E}"/>
    <hyperlink ref="Z30" r:id="rId149" display="mailto:megan.gibson@sfcc.spokane.edu" xr:uid="{3FA3EF98-BC51-4A7F-8A96-23F1CFF990B3}"/>
    <hyperlink ref="P30" r:id="rId150" xr:uid="{19601B6C-A809-4BA6-8E37-8D2509F682E2}"/>
    <hyperlink ref="H29" r:id="rId151" xr:uid="{055CFBBA-AF01-4005-AE8A-85B59D4FCC62}"/>
    <hyperlink ref="H30" r:id="rId152" xr:uid="{1463FA9F-5E7C-4AD5-809C-5CC2A90B1D5B}"/>
    <hyperlink ref="G31" r:id="rId153" xr:uid="{C244BB94-AC61-4F1B-8BA1-2F5C224A24DC}"/>
    <hyperlink ref="H31" r:id="rId154" xr:uid="{0D93AE28-1D67-4DAB-938E-319E3DEC1722}"/>
    <hyperlink ref="P31" r:id="rId155" xr:uid="{10658983-7A32-4CB3-B4FD-23491C50E3F6}"/>
    <hyperlink ref="Z31" r:id="rId156" xr:uid="{22C6E327-B145-4871-B7A5-4BFDD77C1EA2}"/>
    <hyperlink ref="AC31" r:id="rId157" xr:uid="{F2E1D241-E9AB-4A41-A349-A689EF6E7816}"/>
    <hyperlink ref="G32" r:id="rId158" xr:uid="{193A3C7E-BE89-4195-9A4D-44CE0E86F05F}"/>
    <hyperlink ref="AC32" r:id="rId159" xr:uid="{A8390D97-4768-4EB7-904C-D7548B4571AA}"/>
    <hyperlink ref="P32" r:id="rId160" xr:uid="{5E65BFDA-A5D4-4DD1-B15F-F8D7B1085381}"/>
    <hyperlink ref="Z32" r:id="rId161" xr:uid="{9F1C7EBC-1353-4A47-A1E9-DA7F59B462F7}"/>
    <hyperlink ref="H32" r:id="rId162" xr:uid="{43AA34AC-28AA-4C38-9616-2E0068D50C51}"/>
    <hyperlink ref="G33" r:id="rId163" xr:uid="{CA373E27-2538-4A59-9674-0E1775AECDBA}"/>
    <hyperlink ref="Z33" r:id="rId164" xr:uid="{1171E573-3BAB-45E5-BC5E-0F59B9A7F283}"/>
    <hyperlink ref="P33" r:id="rId165" xr:uid="{97AF8FE1-8AD7-465F-8823-19047A74FA68}"/>
    <hyperlink ref="AC33" r:id="rId166" xr:uid="{708D3E7F-1ADE-4BA3-96F0-E77B9B8BB2FD}"/>
    <hyperlink ref="G34" r:id="rId167" xr:uid="{0338FCB1-5134-4AC0-AB9D-1089118D458E}"/>
    <hyperlink ref="Z34" r:id="rId168" xr:uid="{5A2DE508-E5AE-42A5-A2E3-3B5472EEBBEF}"/>
    <hyperlink ref="AC34" r:id="rId169" xr:uid="{44F557EF-0099-4BC3-907B-87C5248B099E}"/>
    <hyperlink ref="H34" r:id="rId170" xr:uid="{69D29A36-DA39-4134-8F62-0E3289FFCC88}"/>
    <hyperlink ref="P34" r:id="rId171" xr:uid="{97106F4B-1E7B-4A31-9879-419723462E78}"/>
    <hyperlink ref="G35" r:id="rId172" xr:uid="{C6ED9D43-32E5-4559-845F-3946A036CD91}"/>
    <hyperlink ref="P35" r:id="rId173" xr:uid="{B43F8DA8-764C-4415-BF9C-42F55CF1E8D4}"/>
    <hyperlink ref="Z35" r:id="rId174" xr:uid="{20123DB6-284F-448C-ADE3-38430E8A49D9}"/>
    <hyperlink ref="H35" r:id="rId175" xr:uid="{FE475B83-4978-472B-A183-AF29C813B2CC}"/>
    <hyperlink ref="AC35" r:id="rId176" xr:uid="{273EC837-FFC7-452D-AF29-CC36E8BBD7E4}"/>
    <hyperlink ref="G36" r:id="rId177" xr:uid="{EACB261C-F3CD-438F-BCE6-4F2DC91E5F3B}"/>
    <hyperlink ref="H36" r:id="rId178" xr:uid="{5BFB72CA-2364-47A9-8257-E3D878FC98D7}"/>
    <hyperlink ref="Z36" r:id="rId179" xr:uid="{D3DEDCA4-D23A-4181-8350-F01830F5ADB8}"/>
    <hyperlink ref="P36" r:id="rId180" xr:uid="{74CEE4B7-3CD7-4715-962D-8DFBB7A244A0}"/>
    <hyperlink ref="AC36" r:id="rId181" xr:uid="{69B019D5-377E-40B3-A49B-B1C097E29CE7}"/>
    <hyperlink ref="G246" r:id="rId182" xr:uid="{8ECFEB0C-2D5A-4C40-94B1-5E801413F457}"/>
    <hyperlink ref="AP246" r:id="rId183" xr:uid="{0D260D3C-CB02-4BD9-977D-71A5E5BC6F21}"/>
    <hyperlink ref="Z246" r:id="rId184" xr:uid="{1E09A827-4260-4749-A199-A248D39CB02B}"/>
    <hyperlink ref="X246" r:id="rId185" display="tel:3607044313" xr:uid="{E1203FA2-B884-43DD-B8F7-7B88E677E4EB}"/>
    <hyperlink ref="G37" r:id="rId186" xr:uid="{119FCED3-383C-4DF5-AF87-5EEA727E0544}"/>
    <hyperlink ref="L37" r:id="rId187" xr:uid="{A6F2C8F7-60EA-4FB1-BF6C-018C9A9E1D03}"/>
    <hyperlink ref="P37" r:id="rId188" xr:uid="{A2B6982C-2C55-4F64-94AB-EE7B4F6EC59F}"/>
    <hyperlink ref="Z37" r:id="rId189" xr:uid="{EAE39383-AC8F-4532-9213-41447546F10A}"/>
    <hyperlink ref="AC37" r:id="rId190" xr:uid="{56222395-0CEF-478D-AF35-6F132268ABF1}"/>
    <hyperlink ref="H37" r:id="rId191" xr:uid="{D020D918-D9B0-47B9-BE13-46365F2FAA0A}"/>
    <hyperlink ref="G38" r:id="rId192" xr:uid="{9916756F-9D26-4286-B27F-C8FDD11A983A}"/>
    <hyperlink ref="H38" r:id="rId193" xr:uid="{7AA29F0F-EA40-432F-8CB3-FCFA2636F1CE}"/>
    <hyperlink ref="AE38" r:id="rId194" xr:uid="{8EEAB0C1-92CB-491A-8C81-D4E04EFD6A78}"/>
    <hyperlink ref="P38" r:id="rId195" xr:uid="{2DF8E7D3-88FB-410A-88B7-3AC637814E23}"/>
    <hyperlink ref="Z38" r:id="rId196" xr:uid="{2FB454BA-8E1B-4D65-AD1E-A315FCED57B4}"/>
    <hyperlink ref="G39" r:id="rId197" xr:uid="{2ED5A2D5-F348-4DFD-B990-6D0AD9580681}"/>
    <hyperlink ref="Z39" r:id="rId198" xr:uid="{68D4663B-A4AE-4EF4-9D53-4DE618D83DBC}"/>
    <hyperlink ref="P39" r:id="rId199" xr:uid="{7FF6715A-3AC9-468A-BC7A-0FDFCB15CC7C}"/>
    <hyperlink ref="AP39" r:id="rId200" xr:uid="{C2419FC6-3FFB-40B6-AAD6-56B6F101136B}"/>
    <hyperlink ref="H39" r:id="rId201" xr:uid="{77E9CFD5-8162-4F89-B7BD-758960DA6C9A}"/>
    <hyperlink ref="L39" r:id="rId202" xr:uid="{9CE6DA9B-E21D-44D6-B9F4-721351A1D7F4}"/>
    <hyperlink ref="H47" r:id="rId203" xr:uid="{7E1D0C08-C383-43CB-A5B6-E574E2B49E3E}"/>
    <hyperlink ref="L47" r:id="rId204" xr:uid="{CC1689B5-BF5C-49F7-82BF-410C68FAEF17}"/>
    <hyperlink ref="H124" r:id="rId205" xr:uid="{13ABA23A-39DC-4ED4-A13F-6C8F758A9DA1}"/>
    <hyperlink ref="L124" r:id="rId206" xr:uid="{442844DA-EB8E-474D-87A9-8ABB750618A3}"/>
    <hyperlink ref="AC124" r:id="rId207" xr:uid="{62B50AE2-00BE-46A2-BF9E-26982694FCA9}"/>
    <hyperlink ref="AC39" r:id="rId208" xr:uid="{18197FE8-DB24-4382-9C11-A02D7BCE0D22}"/>
    <hyperlink ref="G40" r:id="rId209" xr:uid="{88135AD5-CCD4-4F1E-8564-F2270EC98F0B}"/>
    <hyperlink ref="H40" r:id="rId210" xr:uid="{8EADC445-FEC2-4064-94BB-FEE6ECA60BA0}"/>
    <hyperlink ref="AP40" r:id="rId211" xr:uid="{CC3711E3-D23F-4D3D-9FA0-E57576687EEB}"/>
    <hyperlink ref="Z40" r:id="rId212" display="mailto:mhenderson@barstow.edu" xr:uid="{3A88DDA5-F670-44C3-854E-92626CBEAB1B}"/>
    <hyperlink ref="P40" r:id="rId213" xr:uid="{0453A4BC-034F-41CF-90A5-E70194F768C1}"/>
    <hyperlink ref="AC40" r:id="rId214" xr:uid="{108C0481-8285-4554-B040-4E7F506365E8}"/>
    <hyperlink ref="G41" r:id="rId215" xr:uid="{2CD82F99-FD4B-4F3C-918D-089152C4431D}"/>
    <hyperlink ref="Z41" r:id="rId216" display="mailto:bcc-president@peralta.edu" xr:uid="{BF490D02-CB3F-4B6C-A291-9466F3054F14}"/>
    <hyperlink ref="P41" r:id="rId217" xr:uid="{84C2FB95-B69B-4DFF-89D5-EEAAD3549276}"/>
    <hyperlink ref="AC41" r:id="rId218" xr:uid="{D681E362-912A-4D8D-B6B4-843C609DC3E7}"/>
    <hyperlink ref="G42" r:id="rId219" xr:uid="{4A676FA8-D65B-454B-9926-B3171F0482CF}"/>
    <hyperlink ref="H42" r:id="rId220" xr:uid="{D71D77D3-CA31-4AA7-ADC7-C33D6BF82BD1}"/>
    <hyperlink ref="Y42" r:id="rId221" display="https://www.butte.edu/directory/profiles/cafferataainsworthme.html" xr:uid="{9B6B0A2E-2681-4B43-A1F7-A2B748E94C68}"/>
    <hyperlink ref="Z42" r:id="rId222" display="mailto:cafferataainsworthme@butte.edu" xr:uid="{B4A3E162-1AA9-4A97-A608-E2AF3012C300}"/>
    <hyperlink ref="P42" r:id="rId223" xr:uid="{70047602-8293-4CBD-8573-0E0AD76DE670}"/>
    <hyperlink ref="G43" r:id="rId224" xr:uid="{7891F90B-CD15-4D4B-BC19-B2877FE00B8D}"/>
    <hyperlink ref="H43" r:id="rId225" location="board-of-trustees" xr:uid="{67CFC8C5-E065-4CE2-B976-34B3BCEA7745}"/>
    <hyperlink ref="P43" r:id="rId226" xr:uid="{72ACB66F-84D9-4A65-BB1A-8BAD847A4BC4}"/>
    <hyperlink ref="AC43" r:id="rId227" xr:uid="{D6D172B9-D1EF-4BB0-B2A0-E4A4F1AC6115}"/>
    <hyperlink ref="G44" r:id="rId228" xr:uid="{EF2A18F5-2B5A-4693-84C5-BC6CD1460B07}"/>
    <hyperlink ref="H44" r:id="rId229" xr:uid="{9862E194-FA12-424F-8D61-ACA68011C7B7}"/>
    <hyperlink ref="Z44" r:id="rId230" xr:uid="{A6A99277-53C3-4EB2-96B3-0C6EDA67DDB1}"/>
    <hyperlink ref="P44" r:id="rId231" xr:uid="{40AADFDE-B965-44AE-8616-EDC217C56604}"/>
    <hyperlink ref="AC44" r:id="rId232" xr:uid="{A59B2075-6305-42FC-B1C0-ED88833A4A41}"/>
    <hyperlink ref="G45" r:id="rId233" xr:uid="{813A5FFD-6C57-4EA8-B8E9-F6D57104902A}"/>
    <hyperlink ref="X45" r:id="rId234" display="tel:(650) 306-3456" xr:uid="{A680801F-83A7-4948-91A3-7495CB72B330}"/>
    <hyperlink ref="AC45" r:id="rId235" xr:uid="{BBF20265-9D1D-48E3-AF3A-0E8BBD42026A}"/>
    <hyperlink ref="L45" r:id="rId236" xr:uid="{BC7FA189-E677-464A-940A-1DB150013562}"/>
    <hyperlink ref="L57" r:id="rId237" xr:uid="{939F3A2A-CA46-4697-939E-C8F3314A39FE}"/>
    <hyperlink ref="L144" r:id="rId238" xr:uid="{0B9AD162-5608-4861-913F-5915A9B37CA1}"/>
    <hyperlink ref="AC57" r:id="rId239" xr:uid="{BD5A18D2-6E68-4710-887C-5C4BA9BF0792}"/>
    <hyperlink ref="AC144" r:id="rId240" xr:uid="{F988BB9C-2978-4FB0-A4B1-66DEE1C263AC}"/>
    <hyperlink ref="P144" r:id="rId241" xr:uid="{F1B5EC53-C657-47B8-8BA0-E9BD8BF821C4}"/>
    <hyperlink ref="AP144" r:id="rId242" xr:uid="{94A9C8D9-66FA-4516-A102-CE7B3D5F12CF}"/>
    <hyperlink ref="Z45" r:id="rId243" xr:uid="{2DA16A2F-7014-486C-8C4D-2934C8FD94B4}"/>
    <hyperlink ref="Z57" r:id="rId244" display="mailto:mendozaa@smccd.edu" xr:uid="{A0490862-2315-4DBB-9E94-03B0F3C863F8}"/>
    <hyperlink ref="P46" r:id="rId245" xr:uid="{9DAFBBB0-07A5-4346-88E9-30E46E98EA0D}"/>
    <hyperlink ref="Z46" r:id="rId246" xr:uid="{A13498E4-0F86-4DF9-ADDE-EAF1574B6116}"/>
    <hyperlink ref="G47" r:id="rId247" xr:uid="{10BC866A-301A-4580-A779-6537406EB0F1}"/>
    <hyperlink ref="AC47" r:id="rId248" xr:uid="{6BF57178-AB9D-42AA-8537-A1FCCA402A76}"/>
    <hyperlink ref="P47" r:id="rId249" xr:uid="{48DD147A-C451-4021-82CE-0DCE5E29D27F}"/>
    <hyperlink ref="Z47" r:id="rId250" display="mailto:jennifer.curtis@cerrocoso.edu" xr:uid="{150F18F2-FA5B-414B-8C54-85FDBB4D4079}"/>
    <hyperlink ref="H48" r:id="rId251" xr:uid="{A14B47FF-9252-42E2-AE4B-D827A04ADC6E}"/>
    <hyperlink ref="L48" r:id="rId252" xr:uid="{C2BED4EA-E732-4207-94EB-0A6CF83A4615}"/>
    <hyperlink ref="Z91" r:id="rId253" xr:uid="{91BE16AC-1784-4076-80CA-45A53A827CA6}"/>
    <hyperlink ref="P91" r:id="rId254" xr:uid="{CD4AF716-D99C-48B1-B692-ADC9E4E17018}"/>
    <hyperlink ref="H91" r:id="rId255" xr:uid="{857A82AA-2EB2-4B27-B695-17670F4AA7CD}"/>
    <hyperlink ref="L91" r:id="rId256" xr:uid="{5B1B6F16-40E8-475F-A18B-617C799C6CCA}"/>
    <hyperlink ref="P48" r:id="rId257" xr:uid="{60308049-D8D0-45D1-9D33-89B5C9D93CF2}"/>
    <hyperlink ref="Z48" r:id="rId258" display="mailto:kreddy@chabotcollege.edu" xr:uid="{447C1FF4-92BF-407A-9C38-08B98ECB52F7}"/>
    <hyperlink ref="H49" r:id="rId259" xr:uid="{151F1645-9ABD-4FFE-8EDF-B98DF157D781}"/>
    <hyperlink ref="Z49" r:id="rId260" xr:uid="{57BAD243-B0A6-4211-9B4E-B20D7D82959C}"/>
    <hyperlink ref="P49" r:id="rId261" xr:uid="{E90ED6AB-EE20-4555-A20A-DDB3BEF29B12}"/>
    <hyperlink ref="AC49" r:id="rId262" xr:uid="{EE6A8FB8-9027-43C6-B7FE-9373EE0A1961}"/>
    <hyperlink ref="AC50" r:id="rId263" xr:uid="{B2561DE1-BCAA-4023-9727-796F9B6A662D}"/>
    <hyperlink ref="Z50" r:id="rId264" xr:uid="{8949A23F-AAD8-4BFF-8ABE-3D148AC69167}"/>
    <hyperlink ref="P50" r:id="rId265" xr:uid="{BDDAAA2A-DC05-4E71-8318-B7E3AD1A3F9F}"/>
    <hyperlink ref="H51" r:id="rId266" xr:uid="{D80D7DB4-EC0C-4EB4-8143-0A7A5DA85E9D}"/>
    <hyperlink ref="P51" r:id="rId267" xr:uid="{38FF4E3E-55FA-40CC-AAD1-594611E15332}"/>
    <hyperlink ref="Z51" r:id="rId268" xr:uid="{1E759D80-02AD-48BD-AAFE-48AD51BEC052}"/>
    <hyperlink ref="G52" r:id="rId269" xr:uid="{B22326E3-6F6C-461E-BA8F-46ED754D615C}"/>
    <hyperlink ref="P52" r:id="rId270" xr:uid="{39852DF0-4779-48B0-8BE0-4A8D1460EDC1}"/>
    <hyperlink ref="G53" r:id="rId271" xr:uid="{3948DAAC-652F-4081-8DDE-2EB3FD00ACEC}"/>
    <hyperlink ref="P53" r:id="rId272" display="mailto:carlatweed@whccd.edu" xr:uid="{76B5BFAC-51A3-4CAF-92DD-A01BAB56BFD4}"/>
    <hyperlink ref="P93" r:id="rId273" xr:uid="{A9BA5B07-1DDF-4623-897C-BAD816372F32}"/>
    <hyperlink ref="AC53" r:id="rId274" xr:uid="{FC9577C7-E2A3-4A33-8DF8-7EC2254B31F9}"/>
    <hyperlink ref="H53" r:id="rId275" xr:uid="{F700CD7C-48E7-4482-9E8C-199FE1CD7D8C}"/>
    <hyperlink ref="L53" r:id="rId276" xr:uid="{1C0BE7CB-0B86-41D3-BFAD-C1EB055246C5}"/>
    <hyperlink ref="H93" r:id="rId277" xr:uid="{837D4424-AF4C-4717-BB41-BA2B2C5A3195}"/>
    <hyperlink ref="L93" r:id="rId278" xr:uid="{1C184226-08C1-49B6-93D6-0C50FD946B78}"/>
    <hyperlink ref="G93" r:id="rId279" xr:uid="{B9555FE5-0C9A-45D4-86BE-EFA77F7374E2}"/>
    <hyperlink ref="AC93" r:id="rId280" xr:uid="{7F4C05C9-3992-451D-844D-DC1E50C55ECF}"/>
    <hyperlink ref="G54" r:id="rId281" xr:uid="{4CB1806C-A159-49A0-9F02-9602AB1CFDBD}"/>
    <hyperlink ref="H54" r:id="rId282" xr:uid="{5AF370E6-94D1-4ABC-8951-FB4B69500C71}"/>
    <hyperlink ref="L54" r:id="rId283" xr:uid="{33FCFB9F-BA99-4456-AB96-A9FDE9CD6F2E}"/>
    <hyperlink ref="Z54" r:id="rId284" xr:uid="{A9422EBC-B57B-4170-9DE0-D8D47F199F10}"/>
    <hyperlink ref="P54" r:id="rId285" xr:uid="{B6F26CD9-EBA4-4B21-AA44-D923742C5143}"/>
    <hyperlink ref="AC54" r:id="rId286" xr:uid="{F208CB26-2007-4BB1-92B6-C0581EED251E}"/>
    <hyperlink ref="H84" r:id="rId287" xr:uid="{DC3C45F1-BA8E-4CF0-A474-20D3ABA115D1}"/>
    <hyperlink ref="L84" r:id="rId288" xr:uid="{D9E047B5-E8CE-4AEB-91BD-3043ED4D6328}"/>
    <hyperlink ref="H119" r:id="rId289" xr:uid="{2F59016D-84DE-4F14-867E-AE0348B2D595}"/>
    <hyperlink ref="L119" r:id="rId290" xr:uid="{A3915E4B-8080-45E9-889F-4262DDC5AB07}"/>
    <hyperlink ref="P84" r:id="rId291" xr:uid="{EB330D89-B092-4EFF-9638-8AC33B014199}"/>
    <hyperlink ref="Z84" r:id="rId292" xr:uid="{A851356B-F321-46FE-BDB4-99F520316260}"/>
    <hyperlink ref="G119" r:id="rId293" xr:uid="{4A40282A-9B10-49DD-AE63-3105324AF85D}"/>
    <hyperlink ref="P119" r:id="rId294" xr:uid="{F14CABB6-D0A5-4B92-BA36-E3557B093BC4}"/>
    <hyperlink ref="Z119" r:id="rId295" display="mailto:tnguyen@occ.cccd.edu" xr:uid="{6F83EF54-000F-4723-93F6-D361DCB26B56}"/>
    <hyperlink ref="H41" r:id="rId296" xr:uid="{9F988734-AE45-4F1B-BA01-49FE4EDB3729}"/>
    <hyperlink ref="H55" r:id="rId297" xr:uid="{03CD0BC9-478A-4280-A76C-87E7D00EB613}"/>
    <hyperlink ref="H90" r:id="rId298" xr:uid="{12F449B2-E25D-4323-AC16-051D00EB7FAA}"/>
    <hyperlink ref="L41" r:id="rId299" xr:uid="{C37DB963-861C-418A-9A18-5154C7FBF2D8}"/>
    <hyperlink ref="L55" r:id="rId300" xr:uid="{93892B66-F331-47C9-99CF-1FCC468C790C}"/>
    <hyperlink ref="L90" r:id="rId301" xr:uid="{1FA29C44-5784-477F-84F7-ACEBB10453C6}"/>
    <hyperlink ref="L106" r:id="rId302" xr:uid="{18466DD7-0C9E-4001-9F96-2BB5F9292B8E}"/>
    <hyperlink ref="G55" r:id="rId303" xr:uid="{9025EC97-AE3F-4211-AC82-81FD6E153F5D}"/>
    <hyperlink ref="P55" r:id="rId304" xr:uid="{6D42C84B-B322-4D4A-9D70-147953834C29}"/>
    <hyperlink ref="Z55" r:id="rId305" xr:uid="{6F393E9D-869E-4CA9-8346-52A19FCDB55D}"/>
    <hyperlink ref="Z90" r:id="rId306" xr:uid="{BEA7CFD2-D830-4F74-9681-00742C4169DD}"/>
    <hyperlink ref="P90" r:id="rId307" xr:uid="{E67ECB53-595F-4CC6-AFF5-A984EA056F29}"/>
    <hyperlink ref="P106" r:id="rId308" xr:uid="{91CCF420-9D26-4D0F-972A-F4F43B92D3C2}"/>
    <hyperlink ref="Z106" r:id="rId309" xr:uid="{38A6B41D-A229-4576-8CFF-BDB1345E7F06}"/>
    <hyperlink ref="G56" r:id="rId310" xr:uid="{28E33426-8276-41C2-AAFA-D3C3D65EC58B}"/>
    <hyperlink ref="H56" r:id="rId311" xr:uid="{2D5EF1A4-1385-4DA3-BC3A-477B345B5AD8}"/>
    <hyperlink ref="AC56" r:id="rId312" xr:uid="{71EFCFBB-3F60-46AB-8A7E-3C2145844CE0}"/>
    <hyperlink ref="G58" r:id="rId313" xr:uid="{5F1EC064-1E7F-4B86-A9EB-C2B3F7E62272}"/>
    <hyperlink ref="H58" r:id="rId314" xr:uid="{46CF2D38-A4C7-479E-9A64-DC3A9DC027DB}"/>
    <hyperlink ref="P58" r:id="rId315" xr:uid="{613BF159-5455-4F6C-8384-CE1683A479CD}"/>
    <hyperlink ref="AC58" r:id="rId316" xr:uid="{5C447E3B-C989-4A2A-BD0F-57920B32E11D}"/>
    <hyperlink ref="G59" r:id="rId317" xr:uid="{D0E73F8B-35E3-4349-8920-0F2BAE014203}"/>
    <hyperlink ref="Z59" r:id="rId318" xr:uid="{409604D2-A54C-446B-B2B9-E848F34DCF8A}"/>
    <hyperlink ref="H60" r:id="rId319" xr:uid="{B7D14B6A-3796-4002-AB54-CF76E7E810AF}"/>
    <hyperlink ref="P60" r:id="rId320" xr:uid="{F2100CBC-D4FB-425F-AF29-2258F38BB05D}"/>
    <hyperlink ref="G61" r:id="rId321" xr:uid="{8CC80B8A-8821-43E5-800D-80BB93E78BC9}"/>
    <hyperlink ref="H61" r:id="rId322" xr:uid="{642718A6-5033-4AFB-9B26-2D5EE8096F28}"/>
    <hyperlink ref="P61" r:id="rId323" xr:uid="{A367F34E-83BE-4410-A849-B87468F946E6}"/>
    <hyperlink ref="Z61" r:id="rId324" xr:uid="{41CBD9C8-6D23-4935-B0B9-8373BB0542CE}"/>
    <hyperlink ref="AC61" r:id="rId325" xr:uid="{472348AA-041B-476B-8532-627D2ADAB68C}"/>
    <hyperlink ref="G62" r:id="rId326" xr:uid="{628FF9ED-F4C7-4FA1-854E-A695492A1947}"/>
    <hyperlink ref="P62" r:id="rId327" xr:uid="{FFACF42B-AABE-4485-8CF1-FB2D8E8A1D2D}"/>
    <hyperlink ref="H62" r:id="rId328" xr:uid="{39482BA6-EDB9-405C-95B8-AB72766B8C70}"/>
    <hyperlink ref="G63" r:id="rId329" xr:uid="{5A7056DF-648E-465A-A24E-2D7A1937F590}"/>
    <hyperlink ref="Z63" r:id="rId330" xr:uid="{5135535D-12E1-4063-A5F2-69882360C3AE}"/>
    <hyperlink ref="P63" r:id="rId331" xr:uid="{89C4531C-0E23-4F3D-A647-4B8D4F932BB6}"/>
    <hyperlink ref="AC63" r:id="rId332" xr:uid="{E439DD30-F3B5-4657-93BB-EB1EDCD3CB8E}"/>
    <hyperlink ref="H63" r:id="rId333" xr:uid="{91EE449F-6167-4DDB-9BC6-234ED4AA94BC}"/>
    <hyperlink ref="L63" r:id="rId334" display="mailto:tranl@yosemite.edu" xr:uid="{9466603E-973E-4F83-8418-18E3F8674F40}"/>
    <hyperlink ref="H109" r:id="rId335" xr:uid="{535415C0-A30D-41B1-808D-EB1CA1167CA3}"/>
    <hyperlink ref="L109" r:id="rId336" display="mailto:tranl@yosemite.edu" xr:uid="{06335026-E6F3-4EFA-945A-3DC67361CE1D}"/>
    <hyperlink ref="P109" r:id="rId337" xr:uid="{CF94B491-024E-4078-AFDB-BB365073B964}"/>
    <hyperlink ref="Z109" r:id="rId338" xr:uid="{A3221902-57A2-46CB-8961-D988896E0471}"/>
    <hyperlink ref="AC109" r:id="rId339" xr:uid="{777EBCD2-77DD-4360-801F-9A71FF6687EE}"/>
    <hyperlink ref="G64" r:id="rId340" xr:uid="{A68AFED2-025E-4265-B102-858BFB0CF4CC}"/>
    <hyperlink ref="P64" r:id="rId341" display="mailto:kcurry@compton.edu" xr:uid="{78F39CC0-BC7B-4E39-9806-B8549F13333E}"/>
    <hyperlink ref="Z64" r:id="rId342" xr:uid="{CEB2250F-42AB-42A3-A3BA-19D66731E17A}"/>
    <hyperlink ref="H64" r:id="rId343" xr:uid="{6B5C83F9-2239-4B30-B5A2-D671A22F8263}"/>
    <hyperlink ref="H65" r:id="rId344" xr:uid="{EEC8D6FC-48AB-4556-86EC-C853DB98F59E}"/>
    <hyperlink ref="L65" r:id="rId345" xr:uid="{47D44CC0-D88C-4883-B4A8-F89CD06FEED4}"/>
    <hyperlink ref="H73" r:id="rId346" xr:uid="{F22E10B7-BFE2-43FB-8198-8F369D09624E}"/>
    <hyperlink ref="L73" r:id="rId347" xr:uid="{61C35C72-3A5C-487E-880C-74FED17E7D3D}"/>
    <hyperlink ref="H102" r:id="rId348" xr:uid="{24E9D4D5-EE56-4644-BDE1-E45EA96CA161}"/>
    <hyperlink ref="L102" r:id="rId349" xr:uid="{157C6912-1502-430E-90A1-A252893AFA20}"/>
    <hyperlink ref="P65" r:id="rId350" xr:uid="{8187200D-8207-450C-AE19-259D54CBD363}"/>
    <hyperlink ref="P73" r:id="rId351" xr:uid="{AF49389D-1EC6-4B01-BD60-E65596D92989}"/>
    <hyperlink ref="AC65" r:id="rId352" xr:uid="{A33344C7-068D-44E0-A062-2318EE99C481}"/>
    <hyperlink ref="AC102" r:id="rId353" xr:uid="{48A012CD-2399-42D9-A008-953A758733A5}"/>
    <hyperlink ref="P102" r:id="rId354" xr:uid="{D911EA69-839F-4048-A9D0-128CEC386F41}"/>
    <hyperlink ref="Z102" r:id="rId355" xr:uid="{DD8FC40D-10D9-425A-9E8E-85EB0F7F63C9}"/>
    <hyperlink ref="G66" r:id="rId356" xr:uid="{D6FF3A6F-85E9-4617-BA71-05E5BEF7CE30}"/>
    <hyperlink ref="P66" r:id="rId357" xr:uid="{268BD60E-798A-47F4-8FA2-460747396F12}"/>
    <hyperlink ref="Z66" r:id="rId358" xr:uid="{38D9295D-A39A-44DE-A12E-0327B0081B08}"/>
    <hyperlink ref="L67" r:id="rId359" xr:uid="{3F4CD099-B239-4205-A1B1-299A309B444E}"/>
    <hyperlink ref="H67" r:id="rId360" xr:uid="{9B586662-A118-4F7C-8731-CC7AF01EC9D0}"/>
    <hyperlink ref="L78" r:id="rId361" xr:uid="{6EC646CA-CA6A-4A4B-B95E-29EA5C9A9D29}"/>
    <hyperlink ref="H78" r:id="rId362" xr:uid="{9F2FDF9A-16D1-4995-B059-056DCE34AC6E}"/>
    <hyperlink ref="L128" r:id="rId363" xr:uid="{BF810377-9858-4B18-8B20-AF1D1D81449B}"/>
    <hyperlink ref="H128" r:id="rId364" xr:uid="{5680DCA6-59A2-44BE-A75C-3E3245592ACC}"/>
    <hyperlink ref="P67" r:id="rId365" xr:uid="{C4B37B1E-2EF5-4847-9D19-E3C84DBC9564}"/>
    <hyperlink ref="Z67" r:id="rId366" xr:uid="{D259F7DF-1E1D-41A4-BA58-1470F94A550D}"/>
    <hyperlink ref="AC67" r:id="rId367" xr:uid="{ED93FEC4-E35F-42D2-B58F-E1CA42534F2F}"/>
    <hyperlink ref="P78" r:id="rId368" xr:uid="{2AA13AD4-BA55-43CC-A5FF-97D80F01DB51}"/>
    <hyperlink ref="Z78" r:id="rId369" xr:uid="{89A753F8-1B94-4054-B7C3-CDF87655A7C3}"/>
    <hyperlink ref="AC78" r:id="rId370" xr:uid="{3848552A-B49C-4CC6-96AC-6833C4E9F2CC}"/>
    <hyperlink ref="P128" r:id="rId371" tooltip="mailto:GarciaAJ@scc.losrios.edu" display="mailto:GarciaAJ@scc.losrios.edu" xr:uid="{F1AB2B18-F07A-4A68-A033-878D8E013A36}"/>
    <hyperlink ref="Z128" r:id="rId372" xr:uid="{5E149DDE-DF0B-48FC-B88E-B7F634380A1C}"/>
    <hyperlink ref="AC128" r:id="rId373" xr:uid="{551FFF60-028B-47BB-B8C2-4911471C5113}"/>
    <hyperlink ref="H68" r:id="rId374" xr:uid="{60B27B5C-1C24-4482-91E0-209C96CFF520}"/>
    <hyperlink ref="H130" r:id="rId375" xr:uid="{9EF3F567-9EB4-4FAE-B0E1-3B69D8241D03}"/>
    <hyperlink ref="J68" r:id="rId376" display="tel:(909) 388-6901" xr:uid="{2B48F040-AF0E-4342-B1DC-215F060B69C5}"/>
    <hyperlink ref="J130" r:id="rId377" display="tel:(909) 388-6901" xr:uid="{F80EC60A-A971-4055-A935-68471CBA875D}"/>
    <hyperlink ref="L68" r:id="rId378" xr:uid="{9E2B6FA9-9894-4147-9B93-9FD277B8E70B}"/>
    <hyperlink ref="L130" r:id="rId379" xr:uid="{9F6A9F59-9874-4DA1-B063-B381A5DA606A}"/>
    <hyperlink ref="P130" r:id="rId380" xr:uid="{1F7C589C-7326-47C4-AE7C-3D48761682DA}"/>
    <hyperlink ref="P68" r:id="rId381" xr:uid="{41C4C837-57BA-4AFB-BAFA-271646ABD499}"/>
    <hyperlink ref="Z68" r:id="rId382" xr:uid="{10418A47-426E-43BA-880F-B6DBFEBFB0EF}"/>
    <hyperlink ref="AC68" r:id="rId383" xr:uid="{F8DCAFD4-1BD7-4323-9EBD-F021465B179A}"/>
    <hyperlink ref="G69" r:id="rId384" xr:uid="{7FF2BDFB-58E0-47F2-AA43-D35184654AD7}"/>
    <hyperlink ref="Z69" r:id="rId385" xr:uid="{5D68F45C-D69F-41F7-B623-1149CD229CF0}"/>
    <hyperlink ref="P69" r:id="rId386" xr:uid="{F860E1CE-DB14-4636-A634-DDB54FA9E604}"/>
    <hyperlink ref="L70" r:id="rId387" xr:uid="{B07A570C-6771-438D-A25A-54C87DFDC457}"/>
    <hyperlink ref="L85" r:id="rId388" xr:uid="{1662E04D-A9FD-4317-B815-F87BC4D066E6}"/>
    <hyperlink ref="H70" r:id="rId389" xr:uid="{5EC2C5D0-DA94-4BEA-96A6-66272B578FAD}"/>
    <hyperlink ref="H85" r:id="rId390" xr:uid="{B033B4C0-5DC6-45C6-894D-9521F2EC9160}"/>
    <hyperlink ref="P70" r:id="rId391" xr:uid="{6FDEB696-4D4E-428E-A147-39841CFB4348}"/>
    <hyperlink ref="Z70" r:id="rId392" xr:uid="{46214EEB-56FE-4299-9CAA-D61B1AE0C221}"/>
    <hyperlink ref="Z85" r:id="rId393" xr:uid="{5C484F4D-BDA7-43BD-96FA-42EA02C7F3F7}"/>
    <hyperlink ref="P85" r:id="rId394" xr:uid="{845746C1-0F14-4CF4-809C-B3FBE0B2E52F}"/>
    <hyperlink ref="H117" r:id="rId395" xr:uid="{0DC8C148-3279-428B-B540-547C4C1DA7B3}"/>
    <hyperlink ref="H71" r:id="rId396" xr:uid="{24D002A1-8DA0-4CA1-93F2-F1076578A63E}"/>
    <hyperlink ref="H81" r:id="rId397" xr:uid="{61BA7E98-E5CB-409C-B306-AC3308B46639}"/>
    <hyperlink ref="L71" r:id="rId398" xr:uid="{7EE9FBDA-FD1A-493C-AD48-CC46D369F8EA}"/>
    <hyperlink ref="L81" r:id="rId399" xr:uid="{BAF1E562-0EDB-4F54-8B2D-EFD180F9DE42}"/>
    <hyperlink ref="L117" r:id="rId400" xr:uid="{97433013-8309-4EBD-902A-2E390AFA225E}"/>
    <hyperlink ref="P71" r:id="rId401" xr:uid="{44290208-E2B6-4AF4-B439-C104807D760D}"/>
    <hyperlink ref="P81" r:id="rId402" xr:uid="{A0595EEA-852E-4DEA-9276-D4886D1DA742}"/>
    <hyperlink ref="P117" r:id="rId403" xr:uid="{30C9FD5D-711A-423B-B20A-A6E76C52B0B5}"/>
    <hyperlink ref="Z117" r:id="rId404" xr:uid="{4DCDE455-5BEE-4EB3-AEE9-76F689147B52}"/>
    <hyperlink ref="Z71" r:id="rId405" xr:uid="{6AB95F41-F093-4C66-A68F-B0CF9F776D26}"/>
    <hyperlink ref="H95" r:id="rId406" xr:uid="{8CE079C2-0455-4756-B687-E4F4376F535F}"/>
    <hyperlink ref="H96" r:id="rId407" xr:uid="{778EFBA0-86E7-429C-9A3F-A455934EEBED}"/>
    <hyperlink ref="H97" r:id="rId408" xr:uid="{1164134F-FAE4-4D11-B0BB-46CCEFB70183}"/>
    <hyperlink ref="H98" r:id="rId409" xr:uid="{67F625F3-42C3-40A8-A867-F67003157C53}"/>
    <hyperlink ref="H99" r:id="rId410" xr:uid="{AE70D0C2-B7D9-488B-BE27-8AEAE2201C17}"/>
    <hyperlink ref="H100" r:id="rId411" xr:uid="{7F26D6ED-618E-4260-9B80-A9C16BE7A7F1}"/>
    <hyperlink ref="H101" r:id="rId412" xr:uid="{EEA5BD0D-CC1C-4365-A060-6577D24EAFB9}"/>
    <hyperlink ref="H150" r:id="rId413" xr:uid="{B1999D93-6AE9-474E-BB96-BCAC5F9D5EF0}"/>
    <hyperlink ref="L74" r:id="rId414" xr:uid="{C32C2906-682E-4025-A182-41939C0A66BD}"/>
    <hyperlink ref="G74" r:id="rId415" xr:uid="{FBDD8C15-0706-4879-B29B-EAD4E70BFF52}"/>
    <hyperlink ref="P74" r:id="rId416" xr:uid="{DE3E9544-1290-4025-9DD8-EA743B7492F1}"/>
    <hyperlink ref="P95" r:id="rId417" xr:uid="{6ADA800A-837B-4760-A292-A00FDB4ABE8F}"/>
    <hyperlink ref="Z96" r:id="rId418" xr:uid="{6009279B-CEEB-49AB-A1C0-84489F7CF45B}"/>
    <hyperlink ref="Z97" r:id="rId419" xr:uid="{187FB082-931D-40D4-9E6C-A7FB96B44C3B}"/>
    <hyperlink ref="P98" r:id="rId420" xr:uid="{A79F4BC9-2F18-4E3F-A505-D2017A004FCE}"/>
    <hyperlink ref="Z98" r:id="rId421" xr:uid="{4A7E31FC-C0AA-4ADC-9D89-478AD610BFD0}"/>
    <hyperlink ref="P99" r:id="rId422" xr:uid="{741DC58F-484B-426E-A4E9-927195623AF4}"/>
    <hyperlink ref="P100" r:id="rId423" xr:uid="{5ECE64BD-9780-41D8-8DEE-B9365CD4645D}"/>
    <hyperlink ref="P101" r:id="rId424" xr:uid="{C7D01E1F-5CA7-42DC-9851-33E1E70EBD90}"/>
    <hyperlink ref="Z101" r:id="rId425" xr:uid="{FAB2DDF3-0871-4BAE-A371-FE14C8A72A51}"/>
    <hyperlink ref="Z150" r:id="rId426" xr:uid="{351FA6DB-4988-410E-BF9C-F01C668517C6}"/>
    <hyperlink ref="P150" r:id="rId427" xr:uid="{F172BDF6-4CB6-49E8-93AD-4ED7058521E9}"/>
    <hyperlink ref="H72" r:id="rId428" xr:uid="{CA46469A-E7E5-44DD-996F-52F52B3BC909}"/>
    <hyperlink ref="H79" r:id="rId429" xr:uid="{B0113286-A0DF-4BEA-9EA7-200801A146BC}"/>
    <hyperlink ref="L72" r:id="rId430" xr:uid="{E24F9B83-F986-44C5-947F-42EF1E076F06}"/>
    <hyperlink ref="L79" r:id="rId431" xr:uid="{DB09EAD5-54FF-48AB-A44D-D99AF99B3308}"/>
    <hyperlink ref="Z72" r:id="rId432" xr:uid="{5673C535-3986-40F7-952B-BD123310845D}"/>
    <hyperlink ref="P72" r:id="rId433" xr:uid="{40D546C2-2F4B-4E4B-8FE8-13CCD6674BC7}"/>
    <hyperlink ref="G75" r:id="rId434" xr:uid="{C01AA849-43A3-4F90-8C03-299F31509B1D}"/>
    <hyperlink ref="H75" r:id="rId435" xr:uid="{005E946E-28A8-4756-B4E7-F76E42CD279A}"/>
    <hyperlink ref="P75" r:id="rId436" xr:uid="{222EB95D-5AEF-4FAB-96D7-3E2BA464EC1C}"/>
    <hyperlink ref="Z75" r:id="rId437" xr:uid="{B212F490-9C68-43D3-8C95-DFBFDB252331}"/>
    <hyperlink ref="H76" r:id="rId438" xr:uid="{D15A590B-37C5-4680-9A54-A719261F48FE}"/>
    <hyperlink ref="H136" r:id="rId439" xr:uid="{234185C3-6AE2-4055-893E-0087040B6B17}"/>
    <hyperlink ref="J76" r:id="rId440" display="tel:1-408-270-6402" xr:uid="{D7E72A99-E8D0-4DDD-B2FF-F4240110EBF4}"/>
    <hyperlink ref="J136" r:id="rId441" display="tel:1-408-270-6402" xr:uid="{073518AD-7AEE-4B0B-BCEB-517A20762B27}"/>
    <hyperlink ref="L76" r:id="rId442" xr:uid="{6F013046-8998-4D92-8DB8-B555E7A417AC}"/>
    <hyperlink ref="L136" r:id="rId443" xr:uid="{F753A271-1E28-4340-879E-A05EEFF9681F}"/>
    <hyperlink ref="Z76" r:id="rId444" xr:uid="{22111D18-5D42-4CA0-BA3B-5F7D8AF6F326}"/>
    <hyperlink ref="P76" r:id="rId445" xr:uid="{7EE07F78-521D-49F6-99D3-EAF4EB41F32C}"/>
    <hyperlink ref="Z136" r:id="rId446" xr:uid="{1D828F65-9F5C-4430-A485-DE0A2B25156A}"/>
    <hyperlink ref="P136" r:id="rId447" xr:uid="{C7896CFE-0FB7-49C1-8264-7BFA62E16AC7}"/>
    <hyperlink ref="P77" r:id="rId448" xr:uid="{ED00C662-848E-4761-A5F3-C6621E1E2614}"/>
    <hyperlink ref="H77" r:id="rId449" xr:uid="{2CEBDCBE-F652-4A36-88EC-3970F87E437A}"/>
    <hyperlink ref="Z77" r:id="rId450" xr:uid="{7134AD9E-9E1C-46C2-8CF5-7F3CF65D69D6}"/>
    <hyperlink ref="H52" r:id="rId451" xr:uid="{CB4A4DFC-A882-4F07-87EF-AE9519601B2F}"/>
    <hyperlink ref="H80" r:id="rId452" xr:uid="{DEEAC6F1-D67B-4049-A33B-C18260D8A3C6}"/>
    <hyperlink ref="H103" r:id="rId453" xr:uid="{DDB3FAA1-F386-44D5-AD57-BA49B9C37CDA}"/>
    <hyperlink ref="H125" r:id="rId454" xr:uid="{A9CEC25E-E1C1-445E-BD9B-5F3503A63644}"/>
    <hyperlink ref="G80" r:id="rId455" xr:uid="{C39C5BE1-4B82-4578-B129-416AF26C379A}"/>
    <hyperlink ref="P80" r:id="rId456" xr:uid="{8CED4943-E0E3-4F67-B2E6-2ACFC213FFBE}"/>
    <hyperlink ref="Z80" r:id="rId457" xr:uid="{6CD03C41-66FD-40A9-9A18-124952D9487F}"/>
    <hyperlink ref="P103" r:id="rId458" xr:uid="{8DD64810-6523-4FD5-90F0-D11EBED72D41}"/>
    <hyperlink ref="Z103" r:id="rId459" display="mailto:monica.armenta@maderacollege.edu" xr:uid="{34F0BFC3-32FE-44D6-9EE9-B13AA6D02FF6}"/>
    <hyperlink ref="P125" r:id="rId460" xr:uid="{9B8D992C-1633-4F82-8CF6-4F45E558D170}"/>
    <hyperlink ref="Z125" r:id="rId461" xr:uid="{023CB207-3E25-44D9-AA5A-288E3A0D07FF}"/>
    <hyperlink ref="Z58" r:id="rId462" xr:uid="{3CF739C6-2B61-449F-AF78-66144595619E}"/>
    <hyperlink ref="P59" r:id="rId463" xr:uid="{E85030CC-121D-44E2-8835-080C535907E7}"/>
    <hyperlink ref="G82" r:id="rId464" xr:uid="{9AB4E6E8-941A-428B-A921-668CE6C68CBC}"/>
    <hyperlink ref="H82" r:id="rId465" xr:uid="{94FF4D70-D7EF-4446-981E-76FDCA10BECD}"/>
    <hyperlink ref="Z82" r:id="rId466" display="mailto:mjones@gavilan.edu" xr:uid="{A37181B9-1247-4FA9-9252-8EC4573EFA30}"/>
    <hyperlink ref="P82" r:id="rId467" xr:uid="{3CAF1245-E8F3-43CF-A16F-350E0F87E5D7}"/>
    <hyperlink ref="G83" r:id="rId468" xr:uid="{DD11A564-5F93-42AA-BF66-77F996102E31}"/>
    <hyperlink ref="Z83" r:id="rId469" xr:uid="{DB7C978F-F7BD-4470-AA98-F0DCF7F5B187}"/>
    <hyperlink ref="G86" r:id="rId470" xr:uid="{6C6297D4-1B21-4172-A725-28572983E289}"/>
    <hyperlink ref="H86" r:id="rId471" xr:uid="{B884A8F3-C2A8-489A-BAE9-5D9AFD8C5576}"/>
    <hyperlink ref="P86" r:id="rId472" xr:uid="{AF9DB966-2FE9-44CA-8F22-08C0887CC5CA}"/>
    <hyperlink ref="G87" r:id="rId473" xr:uid="{615D4F07-0649-457B-BA73-8134A25D066C}"/>
    <hyperlink ref="H87" r:id="rId474" xr:uid="{DC19F477-5CFE-4E1A-80EA-BCF941E78827}"/>
    <hyperlink ref="H88" r:id="rId475" xr:uid="{25047629-436E-4687-AAD0-D6BA0D70FA21}"/>
    <hyperlink ref="H129" r:id="rId476" xr:uid="{4F0EC6C1-7495-4526-9ACA-FCC71957A2F2}"/>
    <hyperlink ref="J88" r:id="rId477" display="tel:949-582-4840" xr:uid="{8C2F13FF-F3E0-4FFC-8B5D-1BFF47AC2B3C}"/>
    <hyperlink ref="L88" r:id="rId478" xr:uid="{AABAF963-22E8-4037-A0E2-18EFFC75CFE9}"/>
    <hyperlink ref="G88" r:id="rId479" xr:uid="{E4DCAD3C-C757-4F16-9819-75475B295047}"/>
    <hyperlink ref="P88" r:id="rId480" xr:uid="{B8773F85-0096-4BB6-AF8F-823FE56FA65D}"/>
    <hyperlink ref="L129" r:id="rId481" xr:uid="{30BAF2EE-3BE1-4661-BB17-0803D12A16E0}"/>
    <hyperlink ref="X129" r:id="rId482" display="tel:%28949%29582-4722" xr:uid="{578CFDDA-1154-4F96-8A4B-7BD69198A2B8}"/>
    <hyperlink ref="Z129" r:id="rId483" xr:uid="{B0A44857-E632-4235-AEC8-FDF186A7E3A3}"/>
    <hyperlink ref="P129" r:id="rId484" xr:uid="{DDCA969A-39BF-4BE0-9042-65DD866A4AB1}"/>
    <hyperlink ref="H89" r:id="rId485" xr:uid="{128D6395-EFC5-46CB-BD57-449C7753440F}"/>
    <hyperlink ref="G92" r:id="rId486" xr:uid="{0EE3C533-75E3-498D-A724-E9A73131F570}"/>
    <hyperlink ref="H92" r:id="rId487" xr:uid="{E45267E0-D652-4554-9504-506860EF5203}"/>
    <hyperlink ref="P92" r:id="rId488" xr:uid="{F873D926-F1F8-4173-9769-67B01894B871}"/>
    <hyperlink ref="Z92" r:id="rId489" xr:uid="{5A4005C0-8BCD-46E9-88CF-9CE754C24811}"/>
    <hyperlink ref="G94" r:id="rId490" xr:uid="{77B84032-1F4F-4E5D-9B36-2A529C3AFC98}"/>
    <hyperlink ref="H94" r:id="rId491" xr:uid="{A949FEB2-776E-4D52-8EA5-7014BED192EA}"/>
    <hyperlink ref="P94" r:id="rId492" xr:uid="{B29EFFB6-A927-4D6C-94E9-B47D703ADEC1}"/>
    <hyperlink ref="Z94" r:id="rId493" xr:uid="{6533D57D-63C2-4B0C-9618-BD5B570AD06D}"/>
    <hyperlink ref="G104" r:id="rId494" xr:uid="{F3204E73-3A2C-4AF4-A8A3-1DAEAF9E3700}"/>
    <hyperlink ref="H104" r:id="rId495" xr:uid="{78C2E3C0-A305-4DE5-A5B9-CA9AC9862681}"/>
    <hyperlink ref="P104" r:id="rId496" xr:uid="{7526E603-48EC-435D-BED3-F05A45EAE77B}"/>
    <hyperlink ref="G105" r:id="rId497" xr:uid="{2E1B809E-00B4-43E4-BF20-981BA9D906B1}"/>
    <hyperlink ref="H105" r:id="rId498" xr:uid="{D4603A22-12D2-4946-87FE-CDDA1536DC03}"/>
    <hyperlink ref="P105" r:id="rId499" xr:uid="{D618F090-1B77-4965-B896-B2F8FB66A938}"/>
    <hyperlink ref="Z105" r:id="rId500" xr:uid="{7BCD6166-5507-4B5E-859A-61EAD5902CD7}"/>
    <hyperlink ref="G107" r:id="rId501" xr:uid="{C7B3D094-C4AF-473F-B70A-55018F04B7B3}"/>
    <hyperlink ref="H107" r:id="rId502" xr:uid="{7BF70131-D37B-45F1-835F-F433E85082EC}"/>
    <hyperlink ref="Z107" r:id="rId503" xr:uid="{DB694FB6-9AC9-4A11-B72F-B5664C9AD0AA}"/>
    <hyperlink ref="P107" r:id="rId504" xr:uid="{2FD8A33A-055C-4648-BFD8-6E0E7180900A}"/>
    <hyperlink ref="H151" r:id="rId505" xr:uid="{E565EAE6-CCBB-4373-B11B-8AF9392F3684}"/>
    <hyperlink ref="L108" r:id="rId506" xr:uid="{FE3E241B-B958-445C-8ACE-C1FC9B82234C}"/>
    <hyperlink ref="L151" r:id="rId507" xr:uid="{51F4ED60-3FAC-46CD-A427-6AB398E2AF9D}"/>
    <hyperlink ref="G108" r:id="rId508" xr:uid="{C561A30D-ECB4-4D66-BEFB-B71C1F76E4D3}"/>
    <hyperlink ref="P108" r:id="rId509" xr:uid="{6AF385AA-AF46-46F8-929E-93BD51B64534}"/>
    <hyperlink ref="Z108" r:id="rId510" xr:uid="{030BAF5B-06BA-4615-B0C0-0F44F7DD8158}"/>
    <hyperlink ref="P151" r:id="rId511" xr:uid="{8189974F-C2AB-405A-98C3-34BFC2AACB31}"/>
    <hyperlink ref="Z151" r:id="rId512" xr:uid="{94C6D43F-78AF-43EC-91FA-274273082227}"/>
    <hyperlink ref="G110" r:id="rId513" xr:uid="{38F0EB94-7359-456A-93A5-5703F6DF11AE}"/>
    <hyperlink ref="H110" r:id="rId514" xr:uid="{58F44923-ADB4-4C04-98FA-2114F5B57137}"/>
    <hyperlink ref="Z110" r:id="rId515" xr:uid="{786FD26E-B7A5-4CE9-AAF2-FEFD24D08A3A}"/>
    <hyperlink ref="L111" r:id="rId516" xr:uid="{D88B218B-0E14-481A-95A2-0A5833EA104F}"/>
    <hyperlink ref="L120" r:id="rId517" xr:uid="{FEF29F1C-4F18-4532-A5E0-7D01F14DA320}"/>
    <hyperlink ref="L148" r:id="rId518" xr:uid="{63A98663-A9DE-49EA-A720-91934056B0C0}"/>
    <hyperlink ref="J120" r:id="rId519" display="tel:8056525507" xr:uid="{65BFECC7-D43C-4ACD-A8C3-C3317B0C0676}"/>
    <hyperlink ref="J148" r:id="rId520" display="tel:8056525507" xr:uid="{03C261D2-B675-4C5E-A050-4AB42AA56F29}"/>
    <hyperlink ref="H111" r:id="rId521" xr:uid="{7CF7B578-EE80-4DA1-BB50-55FD25B60792}"/>
    <hyperlink ref="H120" r:id="rId522" xr:uid="{B8B21910-73DD-45AA-B039-CDA05351D2DD}"/>
    <hyperlink ref="H148" r:id="rId523" xr:uid="{9BF7240E-14B2-4374-AED8-46306D0BA6F3}"/>
    <hyperlink ref="P111" r:id="rId524" xr:uid="{79EBCB40-56A1-42CE-8909-B45FF2E5B4BA}"/>
    <hyperlink ref="Z111" r:id="rId525" xr:uid="{47CD1750-779E-4534-87DB-373B764D22F4}"/>
    <hyperlink ref="P120" r:id="rId526" xr:uid="{01D0B9D3-E91B-4DCF-9591-73E44949EC03}"/>
    <hyperlink ref="Z120" r:id="rId527" xr:uid="{B2AFA16F-ABDE-4B94-A650-33E7A8A42373}"/>
    <hyperlink ref="P148" r:id="rId528" xr:uid="{25DDAA35-AE29-4CBE-A5E6-6473A0E5D391}"/>
    <hyperlink ref="H116" r:id="rId529" xr:uid="{6DCB2A3E-44BC-47AF-8D97-61F9E9BF99B2}"/>
    <hyperlink ref="H127" r:id="rId530" xr:uid="{A2ABF302-9731-4600-9297-AD5DC2C88A78}"/>
    <hyperlink ref="L112" r:id="rId531" xr:uid="{9FD80D5A-696F-4DC4-9AC3-78C71366918F}"/>
    <hyperlink ref="L116" r:id="rId532" xr:uid="{EB6E0F42-3EA6-46ED-BACF-E8D65E846963}"/>
    <hyperlink ref="L127" r:id="rId533" xr:uid="{0BC7AF4E-BF56-4CFF-B8BB-ACDE965983A8}"/>
    <hyperlink ref="P112" r:id="rId534" xr:uid="{2A1563B2-084F-415B-8E6A-776871DFFD9A}"/>
    <hyperlink ref="Z112" r:id="rId535" xr:uid="{268D1057-BD3D-45A1-AFBB-B0C736741FC7}"/>
    <hyperlink ref="Z116" r:id="rId536" xr:uid="{B519CDAB-EDB5-459B-8A6C-C46D0818C11B}"/>
    <hyperlink ref="P116" r:id="rId537" xr:uid="{4177B815-6DEA-41C9-8D19-F019CED561BD}"/>
    <hyperlink ref="P127" r:id="rId538" xr:uid="{379D8904-0768-472C-B038-3008AAF65E28}"/>
    <hyperlink ref="Z127" r:id="rId539" xr:uid="{EAD2C2A8-18A6-4BB2-A4FD-F4967BFB1BD1}"/>
    <hyperlink ref="G113" r:id="rId540" xr:uid="{F7AB55F4-742B-47A1-8BCB-DEF38979482A}"/>
    <hyperlink ref="H113" r:id="rId541" xr:uid="{96693DDC-A9D9-4217-9879-8269A555F243}"/>
    <hyperlink ref="P113" r:id="rId542" xr:uid="{C535065A-2ACA-40C1-BB21-7A2F0E647297}"/>
    <hyperlink ref="Z113" r:id="rId543" xr:uid="{40174150-C604-4C44-82FE-6C728CE16DAC}"/>
    <hyperlink ref="G114" r:id="rId544" xr:uid="{D0AD6769-60FF-4C9D-BC1A-2618C6D8E81E}"/>
    <hyperlink ref="H114" r:id="rId545" xr:uid="{33BF6932-9597-4F0A-B1C1-826A24860ED6}"/>
    <hyperlink ref="P114" r:id="rId546" xr:uid="{2FD3775F-3534-497A-83BB-92A46C735EDE}"/>
    <hyperlink ref="G115" r:id="rId547" xr:uid="{052B11E9-0279-4AFF-BD3B-67A8F6B1ED17}"/>
    <hyperlink ref="H115" r:id="rId548" xr:uid="{64058AD7-46EC-4FAD-9002-1AC1F08F08B7}"/>
    <hyperlink ref="P115" r:id="rId549" xr:uid="{8568D6DD-B758-48DC-9F8C-ECF92888CF3A}"/>
    <hyperlink ref="Z115" r:id="rId550" xr:uid="{A339C023-C742-40F0-9B29-DAF5DDBD7C6E}"/>
    <hyperlink ref="G118" r:id="rId551" xr:uid="{576F0291-D1AB-4CA9-B744-6DB8243A7075}"/>
    <hyperlink ref="H118" r:id="rId552" xr:uid="{C8F317C5-5A27-4147-9D0A-9176E7972FFE}"/>
    <hyperlink ref="Z118" r:id="rId553" xr:uid="{58CC8315-0BE4-4782-A616-B0E8D57315FB}"/>
    <hyperlink ref="P118" r:id="rId554" xr:uid="{1EBAD96F-150A-486B-8F53-CA2782D97AD2}"/>
    <hyperlink ref="G121" r:id="rId555" xr:uid="{69F4A992-120A-4C23-843B-4E39AF3A4F2A}"/>
    <hyperlink ref="H121" r:id="rId556" location="gsc.tab=0" xr:uid="{93677221-581A-4818-84AC-5F964259510E}"/>
    <hyperlink ref="G122" r:id="rId557" xr:uid="{D4D9245E-5872-4A8C-9FE4-48D8191B8505}"/>
    <hyperlink ref="H122" r:id="rId558" xr:uid="{DAC469D5-7024-45B0-BB4B-540983AC4EAC}"/>
    <hyperlink ref="P122" r:id="rId559" xr:uid="{865ED3D1-13A2-4F42-A265-CDD048F4583B}"/>
    <hyperlink ref="Z122" r:id="rId560" xr:uid="{115ECC77-557D-45E8-95CC-D649656A72E4}"/>
    <hyperlink ref="G123" r:id="rId561" xr:uid="{540DF15C-7A01-4213-911F-695DDBC3A0C7}"/>
    <hyperlink ref="H123" r:id="rId562" xr:uid="{CD1FE906-2FA7-44AB-9117-2BB60F831293}"/>
    <hyperlink ref="P123" r:id="rId563" xr:uid="{982A0226-06B2-464C-A894-61A3F8661941}"/>
    <hyperlink ref="Z123" r:id="rId564" xr:uid="{D7F120CE-C731-4667-A188-7FC5AB6591C1}"/>
    <hyperlink ref="G124" r:id="rId565" xr:uid="{31EB737C-8220-42B3-BFC9-19D7B191B90A}"/>
    <hyperlink ref="Z124" r:id="rId566" xr:uid="{6766328E-8303-45F3-9A71-7B5D83D0DC41}"/>
    <hyperlink ref="P124" r:id="rId567" xr:uid="{513CCAC7-EB9F-4D97-A87C-B8A147757678}"/>
    <hyperlink ref="G126" r:id="rId568" xr:uid="{9396F824-3294-4A9C-AE7E-984F7DE4CEBD}"/>
    <hyperlink ref="P126" r:id="rId569" xr:uid="{323309A2-0539-417B-A05C-F10AA462FDC3}"/>
    <hyperlink ref="H131" r:id="rId570" xr:uid="{DD5D04A4-2E7E-4037-8EC3-EA4C3DCBA325}"/>
    <hyperlink ref="H132" r:id="rId571" xr:uid="{114831E5-22FE-48C7-BC55-E7651051D6A0}"/>
    <hyperlink ref="H133" r:id="rId572" xr:uid="{8943C94A-8286-43B5-BE7E-1F97795E25B6}"/>
    <hyperlink ref="H134" r:id="rId573" xr:uid="{A1D87978-C207-4F45-A9C9-95FFF52ABF08}"/>
    <hyperlink ref="L131" r:id="rId574" xr:uid="{DCA0FCC3-8AD0-4451-A47A-AF620960527F}"/>
    <hyperlink ref="L132" r:id="rId575" xr:uid="{8403861A-D6D2-463A-8343-111D67292475}"/>
    <hyperlink ref="L133" r:id="rId576" xr:uid="{8CF0706F-C9B9-4D7E-939A-B37FD5668BF1}"/>
    <hyperlink ref="L134" r:id="rId577" xr:uid="{B2AD8D4C-2269-483A-BB2F-570FD9BD4671}"/>
    <hyperlink ref="G131" r:id="rId578" xr:uid="{B540B1B4-0D32-4E5A-B3A4-4AE262BC1213}"/>
    <hyperlink ref="Z131" r:id="rId579" xr:uid="{AA796963-F006-46CB-8968-61146ACD9020}"/>
    <hyperlink ref="P131" r:id="rId580" xr:uid="{BC5F8AF6-E11C-4672-B1A5-28E1946C7D65}"/>
    <hyperlink ref="G132" r:id="rId581" xr:uid="{4DF87736-E7AF-4D3A-AFEA-088EA4BBC0D8}"/>
    <hyperlink ref="P132" r:id="rId582" xr:uid="{0C4C11E7-15C9-4E04-89F2-4D7116732355}"/>
    <hyperlink ref="Z132" r:id="rId583" xr:uid="{034B2EFC-1463-4C4C-B0F5-ED287A28D695}"/>
    <hyperlink ref="G133" r:id="rId584" xr:uid="{40A6C6DF-0382-4FA3-B4E7-D9CFACEE0A39}"/>
    <hyperlink ref="P133" r:id="rId585" xr:uid="{188C8AC8-F4AF-47FD-9FB5-8BD8E481CD1E}"/>
    <hyperlink ref="G134" r:id="rId586" xr:uid="{A24771F8-D933-4AE1-8D8B-0A61D42CAF5D}"/>
    <hyperlink ref="P134" r:id="rId587" xr:uid="{77B3B196-7170-460F-8D0E-A1C2D6F46522}"/>
    <hyperlink ref="Z134" r:id="rId588" xr:uid="{F9BEFFF2-4738-48AC-976F-1CC464BCD47B}"/>
    <hyperlink ref="G135" r:id="rId589" xr:uid="{A1BEC4BF-DD28-4FD0-9792-134A4001F6B8}"/>
    <hyperlink ref="H135" r:id="rId590" xr:uid="{98DEE459-FB2B-4739-8D5D-9E436B0DD520}"/>
    <hyperlink ref="Z135" r:id="rId591" xr:uid="{E53DFD47-9474-4C9C-9A2C-41919C547D99}"/>
    <hyperlink ref="P135" r:id="rId592" xr:uid="{ED9A1E93-3404-48E5-89DF-D8D3E49C4BAA}"/>
    <hyperlink ref="G137" r:id="rId593" xr:uid="{0C41EBC5-4F40-456F-8419-C898B94FF944}"/>
    <hyperlink ref="L137" r:id="rId594" xr:uid="{109B2770-469E-4EBF-91B2-D28A58CECC74}"/>
    <hyperlink ref="L141" r:id="rId595" xr:uid="{E6B91232-3D42-4380-98D3-33F292B5CC5B}"/>
    <hyperlink ref="H141" r:id="rId596" xr:uid="{029AA3AB-F9C9-418E-8649-D0986F5AA05C}"/>
    <hyperlink ref="Z137" r:id="rId597" xr:uid="{56AEDD6D-484E-45FD-92DF-BC0335256870}"/>
    <hyperlink ref="P137" r:id="rId598" xr:uid="{9467F475-47B3-4658-B71E-774523DC1123}"/>
    <hyperlink ref="G141" r:id="rId599" xr:uid="{EFBD227F-5A22-4E24-92D8-8FB6E52E035F}"/>
    <hyperlink ref="P141" r:id="rId600" xr:uid="{1702562F-AD4B-46BC-95C1-AABDA2726B8C}"/>
    <hyperlink ref="G138" r:id="rId601" xr:uid="{8AD64C11-2EFA-4E06-9FBA-F39CFEFABAFE}"/>
    <hyperlink ref="P138" r:id="rId602" xr:uid="{468EA129-2B75-4457-B5D0-254E609E1B35}"/>
    <hyperlink ref="Z138" r:id="rId603" xr:uid="{51C74542-2FF0-47C0-B97A-EE501F60E7F2}"/>
    <hyperlink ref="G139" r:id="rId604" xr:uid="{C1F72E26-6D49-4BBB-848E-252EA3FFE564}"/>
    <hyperlink ref="P139" r:id="rId605" xr:uid="{E87463B1-CAA6-4CB5-88D7-693404AF19E0}"/>
    <hyperlink ref="Z141" r:id="rId606" xr:uid="{119CDC95-9A77-4EAE-8860-36C95C343AC5}"/>
    <hyperlink ref="Z144" r:id="rId607" display="mailto:dielachery@smccd.edu" xr:uid="{18DD8DD9-C300-434D-A7F7-27208192BBF7}"/>
    <hyperlink ref="Z139" r:id="rId608" xr:uid="{E59D00C8-000D-4005-95A0-925F0FA29BF7}"/>
    <hyperlink ref="H139" r:id="rId609" xr:uid="{5BA64997-0C9F-4EA1-8AC9-E23B3CB7EF86}"/>
    <hyperlink ref="H138" r:id="rId610" xr:uid="{6CC34389-1BD7-40D5-84DD-AA4B1743C412}"/>
    <hyperlink ref="G140" r:id="rId611" xr:uid="{E10DF6F0-4AFF-45DC-900A-2D81F4CD3582}"/>
    <hyperlink ref="H140" r:id="rId612" xr:uid="{45F5A698-84AB-42A8-9BEA-96289A903A77}"/>
    <hyperlink ref="P140" r:id="rId613" xr:uid="{A75725F1-94F8-4A51-B2E5-F878CD676A81}"/>
    <hyperlink ref="Z140" r:id="rId614" xr:uid="{AC1D6E0E-F943-4E61-B093-FD0BF04BB9A2}"/>
    <hyperlink ref="G142" r:id="rId615" xr:uid="{2344305B-5AD0-490F-9808-C17782297BA4}"/>
    <hyperlink ref="H142" r:id="rId616" xr:uid="{4797A62C-993D-43D6-B6DF-C5EB774FD24D}"/>
    <hyperlink ref="P142" r:id="rId617" xr:uid="{71814D4A-397A-4547-8D19-246B329CBA2B}"/>
    <hyperlink ref="Z142" r:id="rId618" xr:uid="{619E278B-8E3F-4185-BB12-848D0AD99FF1}"/>
    <hyperlink ref="G143" r:id="rId619" xr:uid="{A2719AE5-47C8-4F06-B8A7-816662E5C570}"/>
    <hyperlink ref="H143" r:id="rId620" xr:uid="{849D6AFF-DF2D-4E08-AE0E-7FB42EC152DF}"/>
    <hyperlink ref="P143" r:id="rId621" xr:uid="{A444AA6D-02F9-4FE3-8D2C-B052FEAEB20C}"/>
    <hyperlink ref="G145" r:id="rId622" xr:uid="{F24E8851-7BFE-4834-9699-6CCDFEA5EA8D}"/>
    <hyperlink ref="H145" r:id="rId623" xr:uid="{7DE7956C-9299-4FB1-8EB6-21C7A602479D}"/>
    <hyperlink ref="Z145" r:id="rId624" xr:uid="{F2A1B472-33B8-401D-8B95-3A62256C1535}"/>
    <hyperlink ref="P145" r:id="rId625" xr:uid="{1E5AE312-FADE-401E-85E2-30E40DF9E114}"/>
    <hyperlink ref="G146" r:id="rId626" xr:uid="{0247B35E-8D1A-4E58-96BF-09C224ABB231}"/>
    <hyperlink ref="H146" r:id="rId627" xr:uid="{7F034678-8FAE-4183-B7FC-439CCC53A2DA}"/>
    <hyperlink ref="P146" r:id="rId628" xr:uid="{1A8337F1-E1F9-4C89-B58D-8BEA5CF296D9}"/>
    <hyperlink ref="Z146" r:id="rId629" xr:uid="{8C68EAAB-3AE3-4FF4-8220-EEF11C29F8E6}"/>
    <hyperlink ref="G147" r:id="rId630" xr:uid="{E741FAE3-D7FA-45EB-8452-1A1AF191F687}"/>
    <hyperlink ref="H147" r:id="rId631" xr:uid="{355E7210-767A-48A5-B98E-0D1FA25C5B02}"/>
    <hyperlink ref="P147" r:id="rId632" xr:uid="{4B928957-F606-4415-BEED-83062F05CC6C}"/>
    <hyperlink ref="H149" r:id="rId633" xr:uid="{189BACFE-91B3-47A7-B973-80B32E934B72}"/>
    <hyperlink ref="P149" r:id="rId634" xr:uid="{21F275E5-B909-4230-B444-A5369B9605C4}"/>
    <hyperlink ref="G152" r:id="rId635" xr:uid="{1C399637-F87D-40A4-A9F5-602ABADDAD73}"/>
    <hyperlink ref="P153" r:id="rId636" xr:uid="{4189EABA-40A7-49ED-BE0B-6147B9FE4778}"/>
    <hyperlink ref="Z153" r:id="rId637" xr:uid="{817BEA58-53A2-45C6-BAB4-7A2575D29F61}"/>
    <hyperlink ref="P152" r:id="rId638" xr:uid="{C8EE42D8-004F-4754-9152-7E3B6E827632}"/>
    <hyperlink ref="Z152" r:id="rId639" xr:uid="{D85DF1E9-D04B-4D0C-92EF-EBBB54E8A1E1}"/>
    <hyperlink ref="G153" r:id="rId640" xr:uid="{904395F4-F729-405E-8CB7-95E95A5F9C45}"/>
    <hyperlink ref="H152" r:id="rId641" xr:uid="{74EC77BC-99F0-4E58-A6DB-F86485022C5E}"/>
    <hyperlink ref="H153" r:id="rId642" xr:uid="{FC6980D8-9041-43DF-B4BD-34C2149AFF54}"/>
    <hyperlink ref="L152" r:id="rId643" xr:uid="{C89B70D4-FFAC-410B-A024-D355C7BF3491}"/>
    <hyperlink ref="L153" r:id="rId644" xr:uid="{1ED1C4C8-D010-4460-B5A2-677E660CDDE0}"/>
  </hyperlinks>
  <pageMargins left="0.7" right="0.7" top="0.75" bottom="0.75" header="0.3" footer="0.3"/>
  <tableParts count="1">
    <tablePart r:id="rId645"/>
  </tableParts>
  <extLst>
    <ext xmlns:x14="http://schemas.microsoft.com/office/spreadsheetml/2009/9/main" uri="{CCE6A557-97BC-4b89-ADB6-D9C93CAAB3DF}">
      <x14:dataValidations xmlns:xm="http://schemas.microsoft.com/office/excel/2006/main" count="6">
        <x14:dataValidation type="list" xr:uid="{00000000-0002-0000-0100-000002000000}">
          <x14:formula1>
            <xm:f>Lists!$A$2:$A$11</xm:f>
          </x14:formula1>
          <xm:sqref>AZ178:AZ201 AL2:AL318 AM318:AM640</xm:sqref>
        </x14:dataValidation>
        <x14:dataValidation type="list" xr:uid="{00000000-0002-0000-0100-000003000000}">
          <x14:formula1>
            <xm:f>Lists!$F$2:$F$4</xm:f>
          </x14:formula1>
          <xm:sqref>BA178:BA201 AN318:AN640 AM2:AM317</xm:sqref>
        </x14:dataValidation>
        <x14:dataValidation type="list" xr:uid="{00000000-0002-0000-0100-000004000000}">
          <x14:formula1>
            <xm:f>Lists!$L$2:$L$3</xm:f>
          </x14:formula1>
          <xm:sqref>BC178:BC201 AP318:AP640 AO2:AO318</xm:sqref>
        </x14:dataValidation>
        <x14:dataValidation type="list" xr:uid="{00000000-0002-0000-0100-000000000000}">
          <x14:formula1>
            <xm:f>Lists!$G$2:$G$9</xm:f>
          </x14:formula1>
          <xm:sqref>B318:B640 D2:D35 C2:C318 D154:D317</xm:sqref>
        </x14:dataValidation>
        <x14:dataValidation type="list" xr:uid="{00000000-0002-0000-0100-000001000000}">
          <x14:formula1>
            <xm:f>Lists!$H$2:$H$9</xm:f>
          </x14:formula1>
          <xm:sqref>E318:F640 F2:F318</xm:sqref>
        </x14:dataValidation>
        <x14:dataValidation type="list" xr:uid="{EEB929BD-A95B-4DB3-9F02-502F3974F5CE}">
          <x14:formula1>
            <xm:f>Lists!$C$2:$C$23</xm:f>
          </x14:formula1>
          <xm:sqref>D36:D153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8888B-0B4C-4973-94A0-BA5907590904}">
  <dimension ref="A1:AW640"/>
  <sheetViews>
    <sheetView zoomScale="118" zoomScaleNormal="118" workbookViewId="0">
      <pane xSplit="2" ySplit="1" topLeftCell="C2" activePane="bottomRight" state="frozen"/>
      <selection pane="topRight" activeCell="C1" sqref="C1"/>
      <selection pane="bottomLeft" activeCell="A2" sqref="A2"/>
      <selection pane="bottomRight" activeCell="C4" sqref="C4"/>
    </sheetView>
  </sheetViews>
  <sheetFormatPr defaultRowHeight="12"/>
  <cols>
    <col min="1" max="1" width="28" style="17" customWidth="1"/>
    <col min="2" max="4" width="14" style="17" customWidth="1"/>
    <col min="5" max="5" width="13" style="17" customWidth="1"/>
    <col min="6" max="6" width="29.75" style="17" customWidth="1"/>
    <col min="7" max="7" width="28" style="17" customWidth="1"/>
    <col min="8" max="8" width="22.5" style="17" customWidth="1"/>
    <col min="9" max="9" width="14" style="17" customWidth="1"/>
    <col min="10" max="10" width="30.5" style="17" customWidth="1"/>
    <col min="11" max="12" width="14" style="17" hidden="1" customWidth="1"/>
    <col min="13" max="13" width="14.75" style="17" hidden="1" customWidth="1"/>
    <col min="14" max="17" width="14" style="17" hidden="1" customWidth="1"/>
    <col min="18" max="19" width="24" style="17" customWidth="1"/>
    <col min="20" max="20" width="22.125" style="17" customWidth="1"/>
    <col min="21" max="21" width="16.75" style="49" customWidth="1"/>
    <col min="22" max="22" width="24" style="17" hidden="1" customWidth="1"/>
    <col min="23" max="23" width="15.25" style="76" customWidth="1"/>
    <col min="24" max="24" width="46.125" style="76" customWidth="1"/>
    <col min="25" max="25" width="44.25" style="76" hidden="1" customWidth="1"/>
    <col min="26" max="26" width="28" style="17" hidden="1" customWidth="1"/>
    <col min="27" max="27" width="14" style="17" hidden="1" customWidth="1"/>
    <col min="28" max="28" width="28" style="17" hidden="1" customWidth="1"/>
    <col min="29" max="34" width="14" style="17" hidden="1" customWidth="1"/>
    <col min="35" max="35" width="14" style="17" customWidth="1"/>
    <col min="36" max="36" width="28" style="17" customWidth="1"/>
    <col min="37" max="38" width="23.125" style="17" customWidth="1"/>
    <col min="39" max="16384" width="9" style="17"/>
  </cols>
  <sheetData>
    <row r="1" spans="1:36" ht="32.1" customHeight="1">
      <c r="A1" s="16" t="s">
        <v>30</v>
      </c>
      <c r="B1" s="16" t="s">
        <v>31</v>
      </c>
      <c r="C1" s="16" t="s">
        <v>32</v>
      </c>
      <c r="D1" s="16" t="s">
        <v>33</v>
      </c>
      <c r="E1" s="16" t="s">
        <v>34</v>
      </c>
      <c r="F1" s="16" t="s">
        <v>35</v>
      </c>
      <c r="G1" s="16" t="s">
        <v>1676</v>
      </c>
      <c r="H1" s="16" t="s">
        <v>36</v>
      </c>
      <c r="I1" s="16" t="s">
        <v>1672</v>
      </c>
      <c r="J1" s="16" t="s">
        <v>41</v>
      </c>
      <c r="K1" s="16" t="s">
        <v>37</v>
      </c>
      <c r="L1" s="16" t="s">
        <v>1679</v>
      </c>
      <c r="M1" s="16" t="s">
        <v>1697</v>
      </c>
      <c r="N1" s="16" t="s">
        <v>38</v>
      </c>
      <c r="O1" s="16" t="s">
        <v>1680</v>
      </c>
      <c r="P1" s="16" t="s">
        <v>1673</v>
      </c>
      <c r="Q1" s="16" t="s">
        <v>1699</v>
      </c>
      <c r="R1" s="16" t="s">
        <v>42</v>
      </c>
      <c r="S1" s="16" t="s">
        <v>1872</v>
      </c>
      <c r="T1" s="16" t="s">
        <v>1839</v>
      </c>
      <c r="U1" s="16" t="s">
        <v>1691</v>
      </c>
      <c r="V1" s="16" t="s">
        <v>43</v>
      </c>
      <c r="W1" s="16" t="s">
        <v>1682</v>
      </c>
      <c r="X1" s="16" t="s">
        <v>1685</v>
      </c>
      <c r="Y1" s="16" t="s">
        <v>44</v>
      </c>
      <c r="Z1" s="16" t="s">
        <v>45</v>
      </c>
      <c r="AA1" s="16" t="s">
        <v>46</v>
      </c>
      <c r="AB1" s="16" t="s">
        <v>47</v>
      </c>
      <c r="AC1" s="16" t="s">
        <v>48</v>
      </c>
      <c r="AD1" s="16" t="s">
        <v>49</v>
      </c>
      <c r="AE1" s="16" t="s">
        <v>50</v>
      </c>
      <c r="AF1" s="16" t="s">
        <v>51</v>
      </c>
      <c r="AG1" s="16" t="s">
        <v>52</v>
      </c>
      <c r="AH1" s="16" t="s">
        <v>53</v>
      </c>
      <c r="AI1" s="16" t="s">
        <v>15</v>
      </c>
      <c r="AJ1" s="16" t="s">
        <v>1674</v>
      </c>
    </row>
    <row r="2" spans="1:36" ht="60">
      <c r="A2" s="18" t="s">
        <v>2272</v>
      </c>
      <c r="B2" s="45" t="s">
        <v>2020</v>
      </c>
      <c r="C2" s="31" t="s">
        <v>239</v>
      </c>
      <c r="D2" s="19" t="s">
        <v>1172</v>
      </c>
      <c r="E2" s="31" t="s">
        <v>1166</v>
      </c>
      <c r="F2" s="79" t="s">
        <v>2021</v>
      </c>
      <c r="G2" s="79" t="s">
        <v>2300</v>
      </c>
      <c r="H2" s="31" t="s">
        <v>2026</v>
      </c>
      <c r="I2" s="31" t="s">
        <v>1670</v>
      </c>
      <c r="J2" s="96" t="s">
        <v>2301</v>
      </c>
      <c r="K2" s="31"/>
      <c r="L2" s="22"/>
      <c r="M2" s="29"/>
      <c r="N2" s="31"/>
      <c r="O2" s="31"/>
      <c r="P2" s="31"/>
      <c r="Q2" s="31"/>
      <c r="R2" s="88" t="s">
        <v>2027</v>
      </c>
      <c r="S2" s="31" t="s">
        <v>2023</v>
      </c>
      <c r="T2" s="96" t="s">
        <v>2024</v>
      </c>
      <c r="U2" s="31" t="s">
        <v>2025</v>
      </c>
      <c r="V2" s="31"/>
      <c r="W2" s="96" t="s">
        <v>2302</v>
      </c>
      <c r="X2" s="31" t="s">
        <v>2303</v>
      </c>
      <c r="Y2" s="31"/>
      <c r="Z2" s="31"/>
      <c r="AA2" s="31"/>
      <c r="AB2" s="42"/>
      <c r="AC2" s="42"/>
      <c r="AD2" s="42"/>
      <c r="AE2" s="31"/>
      <c r="AF2" s="31"/>
      <c r="AG2" s="43"/>
      <c r="AH2" s="31"/>
      <c r="AI2" s="97"/>
      <c r="AJ2" s="26"/>
    </row>
    <row r="3" spans="1:36" ht="42.75">
      <c r="A3" s="18" t="s">
        <v>2273</v>
      </c>
      <c r="B3" s="45" t="s">
        <v>2329</v>
      </c>
      <c r="C3" s="18" t="s">
        <v>239</v>
      </c>
      <c r="D3" s="19" t="s">
        <v>1173</v>
      </c>
      <c r="E3" s="18" t="s">
        <v>1166</v>
      </c>
      <c r="F3" s="15" t="s">
        <v>2328</v>
      </c>
      <c r="G3" s="15" t="s">
        <v>2335</v>
      </c>
      <c r="H3" s="57" t="s">
        <v>2331</v>
      </c>
      <c r="I3" s="31" t="s">
        <v>1670</v>
      </c>
      <c r="J3" s="77" t="s">
        <v>2334</v>
      </c>
      <c r="K3" s="28"/>
      <c r="L3" s="28"/>
      <c r="M3" s="21"/>
      <c r="N3" s="28"/>
      <c r="O3" s="18"/>
      <c r="P3" s="18"/>
      <c r="Q3" s="58"/>
      <c r="R3" s="18">
        <v>9162455032</v>
      </c>
      <c r="S3" s="86" t="s">
        <v>2332</v>
      </c>
      <c r="T3" s="77" t="s">
        <v>2333</v>
      </c>
      <c r="U3" s="99" t="s">
        <v>2330</v>
      </c>
      <c r="V3" s="18"/>
      <c r="W3" s="58"/>
      <c r="X3" s="18"/>
      <c r="Y3" s="18"/>
      <c r="Z3" s="18"/>
      <c r="AA3" s="18"/>
      <c r="AB3" s="24"/>
      <c r="AC3" s="24"/>
      <c r="AD3" s="24"/>
      <c r="AE3" s="18"/>
      <c r="AF3" s="18"/>
      <c r="AG3" s="25"/>
      <c r="AH3" s="18"/>
      <c r="AI3" s="18"/>
      <c r="AJ3" s="18"/>
    </row>
    <row r="4" spans="1:36" ht="48">
      <c r="A4" s="18" t="s">
        <v>2274</v>
      </c>
      <c r="B4" s="45" t="s">
        <v>2389</v>
      </c>
      <c r="C4" s="18"/>
      <c r="D4" s="19"/>
      <c r="E4" s="18"/>
      <c r="F4" s="57"/>
      <c r="G4" s="57"/>
      <c r="H4" s="57"/>
      <c r="I4" s="20"/>
      <c r="J4" s="58"/>
      <c r="K4" s="60"/>
      <c r="L4" s="23"/>
      <c r="M4" s="29"/>
      <c r="N4" s="60"/>
      <c r="O4" s="23"/>
      <c r="P4" s="23"/>
      <c r="Q4" s="18"/>
      <c r="R4" s="61"/>
      <c r="S4" s="86"/>
      <c r="T4" s="81"/>
      <c r="U4" s="18"/>
      <c r="V4" s="18"/>
      <c r="W4" s="18"/>
      <c r="X4" s="18"/>
      <c r="Y4" s="18"/>
      <c r="Z4" s="18"/>
      <c r="AA4" s="18"/>
      <c r="AB4" s="24"/>
      <c r="AC4" s="24"/>
      <c r="AD4" s="24"/>
      <c r="AE4" s="18"/>
      <c r="AF4" s="18"/>
      <c r="AG4" s="25"/>
      <c r="AH4" s="18"/>
      <c r="AI4" s="18"/>
      <c r="AJ4" s="18"/>
    </row>
    <row r="5" spans="1:36">
      <c r="A5" s="18" t="s">
        <v>2275</v>
      </c>
      <c r="B5" s="45"/>
      <c r="C5" s="18"/>
      <c r="D5" s="19"/>
      <c r="E5" s="18"/>
      <c r="F5" s="57"/>
      <c r="G5" s="57"/>
      <c r="H5" s="57"/>
      <c r="I5" s="20"/>
      <c r="J5" s="58"/>
      <c r="K5" s="18"/>
      <c r="L5" s="23"/>
      <c r="M5" s="29"/>
      <c r="N5" s="18"/>
      <c r="O5" s="18"/>
      <c r="P5" s="18"/>
      <c r="Q5" s="29"/>
      <c r="R5" s="62"/>
      <c r="S5" s="86"/>
      <c r="T5" s="81"/>
      <c r="U5" s="18"/>
      <c r="V5" s="18"/>
      <c r="W5" s="58"/>
      <c r="X5" s="18"/>
      <c r="Y5" s="18"/>
      <c r="Z5" s="18"/>
      <c r="AA5" s="18"/>
      <c r="AB5" s="24"/>
      <c r="AC5" s="24"/>
      <c r="AD5" s="24"/>
      <c r="AE5" s="18"/>
      <c r="AF5" s="18"/>
      <c r="AG5" s="25"/>
      <c r="AH5" s="18"/>
      <c r="AI5" s="18"/>
      <c r="AJ5" s="18"/>
    </row>
    <row r="6" spans="1:36">
      <c r="A6" s="18" t="s">
        <v>2276</v>
      </c>
      <c r="B6" s="45"/>
      <c r="C6" s="18"/>
      <c r="D6" s="19"/>
      <c r="E6" s="18"/>
      <c r="F6" s="57"/>
      <c r="G6" s="57"/>
      <c r="H6" s="57"/>
      <c r="I6" s="20"/>
      <c r="J6" s="58"/>
      <c r="K6" s="18"/>
      <c r="L6" s="30"/>
      <c r="M6" s="31"/>
      <c r="N6" s="18"/>
      <c r="O6" s="18"/>
      <c r="P6" s="18"/>
      <c r="Q6" s="18"/>
      <c r="R6" s="62"/>
      <c r="S6" s="86"/>
      <c r="T6" s="81"/>
      <c r="U6" s="18"/>
      <c r="V6" s="18"/>
      <c r="W6" s="58"/>
      <c r="X6" s="32"/>
      <c r="Y6" s="18"/>
      <c r="Z6" s="18"/>
      <c r="AA6" s="18"/>
      <c r="AB6" s="24"/>
      <c r="AC6" s="24"/>
      <c r="AD6" s="24"/>
      <c r="AE6" s="18"/>
      <c r="AF6" s="18"/>
      <c r="AG6" s="25"/>
      <c r="AH6" s="18"/>
      <c r="AI6" s="18"/>
      <c r="AJ6" s="18"/>
    </row>
    <row r="7" spans="1:36">
      <c r="A7" s="18" t="s">
        <v>2277</v>
      </c>
      <c r="B7" s="45"/>
      <c r="C7" s="18"/>
      <c r="D7" s="19"/>
      <c r="E7" s="18"/>
      <c r="F7" s="57"/>
      <c r="G7" s="57"/>
      <c r="H7" s="57"/>
      <c r="I7" s="20"/>
      <c r="J7" s="58"/>
      <c r="K7" s="63"/>
      <c r="L7" s="23"/>
      <c r="M7" s="29"/>
      <c r="N7" s="18"/>
      <c r="O7" s="23"/>
      <c r="P7" s="23"/>
      <c r="Q7" s="18"/>
      <c r="R7" s="64"/>
      <c r="S7" s="86"/>
      <c r="T7" s="61"/>
      <c r="U7" s="18"/>
      <c r="V7" s="18"/>
      <c r="W7" s="58"/>
      <c r="X7" s="18"/>
      <c r="Y7" s="18"/>
      <c r="Z7" s="18"/>
      <c r="AA7" s="18"/>
      <c r="AB7" s="24"/>
      <c r="AC7" s="24"/>
      <c r="AD7" s="24"/>
      <c r="AE7" s="18"/>
      <c r="AF7" s="18"/>
      <c r="AG7" s="25"/>
      <c r="AH7" s="18"/>
      <c r="AI7" s="18"/>
      <c r="AJ7" s="18"/>
    </row>
    <row r="8" spans="1:36">
      <c r="A8" s="18" t="s">
        <v>2278</v>
      </c>
      <c r="B8" s="45"/>
      <c r="C8" s="18"/>
      <c r="D8" s="19"/>
      <c r="E8" s="18"/>
      <c r="F8" s="57"/>
      <c r="G8" s="57"/>
      <c r="H8" s="65"/>
      <c r="I8" s="20"/>
      <c r="J8" s="57"/>
      <c r="K8" s="18"/>
      <c r="L8" s="18"/>
      <c r="M8" s="18"/>
      <c r="N8" s="66"/>
      <c r="O8" s="18"/>
      <c r="P8" s="18"/>
      <c r="R8" s="18"/>
      <c r="S8" s="86"/>
      <c r="T8" s="81"/>
      <c r="U8" s="18"/>
      <c r="V8" s="18"/>
      <c r="W8" s="58"/>
      <c r="X8" s="18"/>
      <c r="Y8" s="18"/>
      <c r="Z8" s="18"/>
      <c r="AA8" s="18"/>
      <c r="AB8" s="24"/>
      <c r="AC8" s="24"/>
      <c r="AD8" s="24"/>
      <c r="AE8" s="18"/>
      <c r="AF8" s="18"/>
      <c r="AG8" s="25"/>
      <c r="AH8" s="18"/>
      <c r="AI8" s="18"/>
      <c r="AJ8" s="18"/>
    </row>
    <row r="9" spans="1:36">
      <c r="A9" s="18" t="s">
        <v>2279</v>
      </c>
      <c r="B9" s="45"/>
      <c r="C9" s="18"/>
      <c r="D9" s="19"/>
      <c r="E9" s="18"/>
      <c r="F9" s="57"/>
      <c r="G9" s="57"/>
      <c r="H9" s="57"/>
      <c r="I9" s="20"/>
      <c r="J9" s="57"/>
      <c r="K9" s="18"/>
      <c r="L9" s="23"/>
      <c r="M9" s="29"/>
      <c r="N9" s="18"/>
      <c r="O9" s="23"/>
      <c r="P9" s="23"/>
      <c r="Q9" s="58"/>
      <c r="R9" s="67"/>
      <c r="S9" s="86"/>
      <c r="T9" s="81"/>
      <c r="U9" s="18"/>
      <c r="V9" s="18"/>
      <c r="W9" s="58"/>
      <c r="X9" s="18"/>
      <c r="Y9" s="18"/>
      <c r="Z9" s="18"/>
      <c r="AA9" s="18"/>
      <c r="AB9" s="24"/>
      <c r="AC9" s="24"/>
      <c r="AD9" s="24"/>
      <c r="AE9" s="18"/>
      <c r="AF9" s="18"/>
      <c r="AG9" s="25"/>
      <c r="AH9" s="18"/>
      <c r="AI9" s="18"/>
      <c r="AJ9" s="18"/>
    </row>
    <row r="10" spans="1:36">
      <c r="A10" s="18" t="s">
        <v>2280</v>
      </c>
      <c r="B10" s="45"/>
      <c r="C10" s="18"/>
      <c r="D10" s="19"/>
      <c r="E10" s="18"/>
      <c r="F10" s="57"/>
      <c r="G10" s="57"/>
      <c r="H10" s="57"/>
      <c r="I10" s="20"/>
      <c r="J10" s="57"/>
      <c r="K10" s="58"/>
      <c r="L10" s="23"/>
      <c r="M10" s="23"/>
      <c r="N10" s="58"/>
      <c r="O10" s="23"/>
      <c r="P10" s="23"/>
      <c r="Q10" s="62"/>
      <c r="R10" s="68"/>
      <c r="S10" s="18"/>
      <c r="T10" s="18"/>
      <c r="U10" s="18"/>
      <c r="V10" s="18"/>
      <c r="W10" s="58"/>
      <c r="X10" s="50"/>
      <c r="Y10" s="18"/>
      <c r="Z10" s="18"/>
      <c r="AA10" s="18"/>
      <c r="AB10" s="24"/>
      <c r="AC10" s="24"/>
      <c r="AD10" s="24"/>
      <c r="AE10" s="18"/>
      <c r="AF10" s="18"/>
      <c r="AG10" s="25"/>
      <c r="AH10" s="18"/>
      <c r="AI10" s="18"/>
      <c r="AJ10" s="18"/>
    </row>
    <row r="11" spans="1:36">
      <c r="A11" s="18" t="s">
        <v>2281</v>
      </c>
      <c r="B11" s="45"/>
      <c r="C11" s="18"/>
      <c r="D11" s="19"/>
      <c r="E11" s="18"/>
      <c r="F11" s="57"/>
      <c r="G11" s="57"/>
      <c r="H11" s="57"/>
      <c r="I11" s="20"/>
      <c r="J11" s="57"/>
      <c r="K11" s="18"/>
      <c r="L11" s="23"/>
      <c r="M11" s="29"/>
      <c r="N11" s="69"/>
      <c r="O11" s="23"/>
      <c r="P11" s="23"/>
      <c r="Q11" s="18"/>
      <c r="R11" s="70"/>
      <c r="S11" s="18"/>
      <c r="T11" s="18"/>
      <c r="U11" s="18"/>
      <c r="V11" s="18"/>
      <c r="W11" s="58"/>
      <c r="X11" s="18"/>
      <c r="Y11" s="18"/>
      <c r="Z11" s="18"/>
      <c r="AA11" s="18"/>
      <c r="AB11" s="24"/>
      <c r="AC11" s="24"/>
      <c r="AD11" s="24"/>
      <c r="AE11" s="18"/>
      <c r="AF11" s="18"/>
      <c r="AG11" s="25"/>
      <c r="AH11" s="18"/>
      <c r="AI11" s="58"/>
      <c r="AJ11" s="18"/>
    </row>
    <row r="12" spans="1:36">
      <c r="A12" s="18" t="s">
        <v>2282</v>
      </c>
      <c r="B12" s="45"/>
      <c r="C12" s="18"/>
      <c r="D12" s="19"/>
      <c r="E12" s="18"/>
      <c r="F12" s="57"/>
      <c r="G12" s="57"/>
      <c r="H12" s="57"/>
      <c r="I12" s="20"/>
      <c r="J12" s="57"/>
      <c r="K12" s="18"/>
      <c r="L12" s="23"/>
      <c r="M12" s="29"/>
      <c r="N12" s="18"/>
      <c r="O12" s="23"/>
      <c r="P12" s="18"/>
      <c r="Q12" s="18"/>
      <c r="R12" s="18"/>
      <c r="S12" s="86"/>
      <c r="T12" s="81"/>
      <c r="U12" s="18"/>
      <c r="V12" s="18"/>
      <c r="W12" s="58"/>
      <c r="X12" s="18"/>
      <c r="Y12" s="18"/>
      <c r="Z12" s="18"/>
      <c r="AA12" s="18"/>
      <c r="AB12" s="24"/>
      <c r="AC12" s="24"/>
      <c r="AD12" s="24"/>
      <c r="AE12" s="18"/>
      <c r="AF12" s="18"/>
      <c r="AG12" s="25"/>
      <c r="AH12" s="18"/>
      <c r="AI12" s="18"/>
      <c r="AJ12" s="18"/>
    </row>
    <row r="13" spans="1:36" ht="12.75" thickBot="1">
      <c r="A13" s="18" t="s">
        <v>2283</v>
      </c>
      <c r="B13" s="45"/>
      <c r="C13" s="18"/>
      <c r="D13" s="19"/>
      <c r="E13" s="18"/>
      <c r="F13" s="57"/>
      <c r="G13" s="57"/>
      <c r="H13" s="57"/>
      <c r="I13" s="20"/>
      <c r="J13" s="57"/>
      <c r="K13" s="18"/>
      <c r="L13" s="23"/>
      <c r="M13" s="29"/>
      <c r="N13" s="18"/>
      <c r="O13" s="23"/>
      <c r="P13" s="18"/>
      <c r="Q13" s="18"/>
      <c r="R13" s="71"/>
      <c r="S13" s="86"/>
      <c r="T13" s="61"/>
      <c r="U13" s="18"/>
      <c r="V13" s="18"/>
      <c r="W13" s="58"/>
      <c r="X13" s="18"/>
      <c r="Y13" s="18"/>
      <c r="Z13" s="18"/>
      <c r="AA13" s="18"/>
      <c r="AB13" s="24"/>
      <c r="AC13" s="24"/>
      <c r="AD13" s="24"/>
      <c r="AE13" s="18"/>
      <c r="AF13" s="18"/>
      <c r="AG13" s="25"/>
      <c r="AH13" s="18"/>
      <c r="AI13" s="18"/>
      <c r="AJ13" s="18"/>
    </row>
    <row r="14" spans="1:36">
      <c r="A14" s="18" t="s">
        <v>2284</v>
      </c>
      <c r="B14" s="45"/>
      <c r="C14" s="18"/>
      <c r="D14" s="19"/>
      <c r="E14" s="18"/>
      <c r="F14" s="57"/>
      <c r="G14" s="57"/>
      <c r="H14" s="27"/>
      <c r="I14" s="56"/>
      <c r="J14" s="57"/>
      <c r="K14" s="72"/>
      <c r="L14" s="23"/>
      <c r="M14" s="29"/>
      <c r="N14" s="72"/>
      <c r="O14" s="23"/>
      <c r="P14" s="18"/>
      <c r="Q14" s="18"/>
      <c r="R14" s="18"/>
      <c r="S14" s="86"/>
      <c r="T14" s="81"/>
      <c r="U14" s="18"/>
      <c r="V14" s="18"/>
      <c r="W14" s="58"/>
      <c r="X14" s="18"/>
      <c r="Y14" s="18"/>
      <c r="Z14" s="18"/>
      <c r="AA14" s="18"/>
      <c r="AB14" s="24"/>
      <c r="AC14" s="24"/>
      <c r="AD14" s="24"/>
      <c r="AE14" s="18"/>
      <c r="AF14" s="18"/>
      <c r="AG14" s="25"/>
      <c r="AH14" s="18"/>
      <c r="AI14" s="18"/>
      <c r="AJ14" s="18"/>
    </row>
    <row r="15" spans="1:36">
      <c r="A15" s="18" t="s">
        <v>2285</v>
      </c>
      <c r="B15" s="45"/>
      <c r="C15" s="18"/>
      <c r="D15" s="19"/>
      <c r="E15" s="18"/>
      <c r="F15" s="57"/>
      <c r="G15" s="57"/>
      <c r="H15" s="57"/>
      <c r="I15" s="56"/>
      <c r="J15" s="57"/>
      <c r="K15" s="18"/>
      <c r="L15" s="23"/>
      <c r="M15" s="29"/>
      <c r="N15" s="73"/>
      <c r="O15" s="23"/>
      <c r="P15" s="18"/>
      <c r="Q15" s="18"/>
      <c r="R15" s="62"/>
      <c r="S15" s="86"/>
      <c r="T15" s="81"/>
      <c r="U15" s="18"/>
      <c r="V15" s="18"/>
      <c r="W15" s="18"/>
      <c r="X15" s="18"/>
      <c r="Y15" s="18"/>
      <c r="Z15" s="18"/>
      <c r="AA15" s="18"/>
      <c r="AB15" s="24"/>
      <c r="AC15" s="24"/>
      <c r="AD15" s="24"/>
      <c r="AE15" s="18"/>
      <c r="AF15" s="18"/>
      <c r="AG15" s="25"/>
      <c r="AH15" s="18"/>
      <c r="AI15" s="18"/>
      <c r="AJ15" s="18"/>
    </row>
    <row r="16" spans="1:36">
      <c r="A16" s="18" t="s">
        <v>2286</v>
      </c>
      <c r="B16" s="45"/>
      <c r="C16" s="18"/>
      <c r="D16" s="19"/>
      <c r="E16" s="18"/>
      <c r="F16" s="79"/>
      <c r="G16" s="79"/>
      <c r="H16" s="79"/>
      <c r="I16" s="20"/>
      <c r="J16" s="79"/>
      <c r="K16" s="18"/>
      <c r="L16" s="18"/>
      <c r="M16" s="29"/>
      <c r="N16" s="18"/>
      <c r="O16" s="18"/>
      <c r="P16" s="18"/>
      <c r="Q16" s="18"/>
      <c r="R16" s="18"/>
      <c r="S16" s="18"/>
      <c r="T16" s="87"/>
      <c r="U16" s="18"/>
      <c r="V16" s="18"/>
      <c r="W16" s="88"/>
      <c r="X16" s="18"/>
      <c r="Y16" s="18"/>
      <c r="Z16" s="18"/>
      <c r="AA16" s="18"/>
      <c r="AB16" s="24"/>
      <c r="AC16" s="24"/>
      <c r="AD16" s="24"/>
      <c r="AE16" s="18"/>
      <c r="AF16" s="18"/>
      <c r="AG16" s="25"/>
      <c r="AH16" s="18"/>
      <c r="AI16" s="18"/>
      <c r="AJ16" s="18"/>
    </row>
    <row r="17" spans="1:36">
      <c r="A17" s="18" t="s">
        <v>2287</v>
      </c>
      <c r="B17" s="45"/>
      <c r="C17" s="18"/>
      <c r="D17" s="19"/>
      <c r="E17" s="18"/>
      <c r="F17" s="79"/>
      <c r="G17" s="79"/>
      <c r="H17" s="79"/>
      <c r="I17" s="56"/>
      <c r="J17" s="79"/>
      <c r="K17" s="18"/>
      <c r="L17" s="18"/>
      <c r="M17" s="29"/>
      <c r="N17" s="18"/>
      <c r="O17" s="18"/>
      <c r="P17" s="18"/>
      <c r="Q17" s="89"/>
      <c r="R17" s="18"/>
      <c r="S17" s="86"/>
      <c r="T17" s="90"/>
      <c r="U17" s="18"/>
      <c r="V17" s="89"/>
      <c r="W17" s="89"/>
      <c r="X17" s="18"/>
      <c r="Y17" s="18"/>
      <c r="Z17" s="18"/>
      <c r="AA17" s="18"/>
      <c r="AB17" s="24"/>
      <c r="AC17" s="24"/>
      <c r="AD17" s="24"/>
      <c r="AE17" s="18"/>
      <c r="AF17" s="18"/>
      <c r="AG17" s="25"/>
      <c r="AH17" s="18"/>
      <c r="AI17" s="18"/>
      <c r="AJ17" s="18"/>
    </row>
    <row r="18" spans="1:36">
      <c r="A18" s="18" t="s">
        <v>2288</v>
      </c>
      <c r="B18" s="45"/>
      <c r="C18" s="18"/>
      <c r="D18" s="19"/>
      <c r="E18" s="18"/>
      <c r="F18" s="79"/>
      <c r="G18" s="79"/>
      <c r="H18" s="79"/>
      <c r="I18" s="20"/>
      <c r="J18" s="88"/>
      <c r="K18" s="18"/>
      <c r="L18" s="18"/>
      <c r="M18" s="29"/>
      <c r="N18" s="18"/>
      <c r="O18" s="18"/>
      <c r="P18" s="18"/>
      <c r="Q18" s="18"/>
      <c r="R18" s="18"/>
      <c r="S18" s="18"/>
      <c r="T18" s="87"/>
      <c r="U18" s="18"/>
      <c r="V18" s="18"/>
      <c r="W18" s="89"/>
      <c r="X18" s="18"/>
      <c r="Y18" s="18"/>
      <c r="Z18" s="18"/>
      <c r="AA18" s="18"/>
      <c r="AB18" s="24"/>
      <c r="AC18" s="24"/>
      <c r="AD18" s="24"/>
      <c r="AE18" s="18"/>
      <c r="AF18" s="18"/>
      <c r="AG18" s="25"/>
      <c r="AH18" s="18"/>
      <c r="AI18" s="18"/>
      <c r="AJ18" s="18"/>
    </row>
    <row r="19" spans="1:36">
      <c r="A19" s="18" t="s">
        <v>2289</v>
      </c>
      <c r="B19" s="45"/>
      <c r="C19" s="18"/>
      <c r="D19" s="19"/>
      <c r="E19" s="18"/>
      <c r="F19" s="79"/>
      <c r="G19" s="79"/>
      <c r="H19" s="79"/>
      <c r="I19" s="20"/>
      <c r="J19" s="88"/>
      <c r="K19" s="18"/>
      <c r="L19" s="18"/>
      <c r="M19" s="29"/>
      <c r="N19" s="18"/>
      <c r="O19" s="18"/>
      <c r="P19" s="18"/>
      <c r="Q19" s="18"/>
      <c r="R19" s="91"/>
      <c r="S19" s="92"/>
      <c r="T19" s="87"/>
      <c r="U19" s="18"/>
      <c r="V19" s="18"/>
      <c r="W19" s="89"/>
      <c r="X19" s="18"/>
      <c r="Y19" s="18"/>
      <c r="Z19" s="18"/>
      <c r="AA19" s="18"/>
      <c r="AB19" s="24"/>
      <c r="AC19" s="24"/>
      <c r="AD19" s="24"/>
      <c r="AE19" s="18"/>
      <c r="AF19" s="18"/>
      <c r="AG19" s="25"/>
      <c r="AH19" s="18"/>
      <c r="AI19" s="18"/>
      <c r="AJ19" s="18"/>
    </row>
    <row r="20" spans="1:36">
      <c r="A20" s="18" t="s">
        <v>2290</v>
      </c>
      <c r="B20" s="45"/>
      <c r="C20" s="18"/>
      <c r="D20" s="19"/>
      <c r="E20" s="18"/>
      <c r="F20" s="79"/>
      <c r="G20" s="57"/>
      <c r="H20" s="27"/>
      <c r="I20" s="20"/>
      <c r="J20" s="88"/>
      <c r="K20" s="18"/>
      <c r="L20" s="18"/>
      <c r="M20" s="29"/>
      <c r="N20" s="18"/>
      <c r="O20" s="18"/>
      <c r="P20" s="18"/>
      <c r="Q20" s="18"/>
      <c r="R20" s="59"/>
      <c r="S20" s="18"/>
      <c r="T20" s="18"/>
      <c r="U20" s="18"/>
      <c r="V20" s="18"/>
      <c r="W20" s="18"/>
      <c r="X20" s="18"/>
      <c r="Y20" s="18"/>
      <c r="Z20" s="18"/>
      <c r="AA20" s="18"/>
      <c r="AB20" s="24"/>
      <c r="AC20" s="24"/>
      <c r="AD20" s="24"/>
      <c r="AE20" s="18"/>
      <c r="AF20" s="18"/>
      <c r="AG20" s="25"/>
      <c r="AH20" s="18"/>
      <c r="AI20" s="18"/>
      <c r="AJ20" s="18"/>
    </row>
    <row r="21" spans="1:36">
      <c r="A21" s="18" t="s">
        <v>2291</v>
      </c>
      <c r="B21" s="45"/>
      <c r="C21" s="18"/>
      <c r="D21" s="19"/>
      <c r="E21" s="18"/>
      <c r="F21" s="79"/>
      <c r="G21" s="79"/>
      <c r="H21" s="27"/>
      <c r="I21" s="20"/>
      <c r="J21" s="79"/>
      <c r="K21" s="18"/>
      <c r="L21" s="18"/>
      <c r="M21" s="29"/>
      <c r="N21" s="18"/>
      <c r="O21" s="18"/>
      <c r="P21" s="18"/>
      <c r="Q21" s="18"/>
      <c r="R21" s="88"/>
      <c r="S21" s="18"/>
      <c r="T21" s="88"/>
      <c r="U21" s="18"/>
      <c r="V21" s="18"/>
      <c r="W21" s="89"/>
      <c r="X21" s="18"/>
      <c r="Y21" s="18"/>
      <c r="Z21" s="18"/>
      <c r="AA21" s="18"/>
      <c r="AB21" s="24"/>
      <c r="AC21" s="24"/>
      <c r="AD21" s="24"/>
      <c r="AE21" s="18"/>
      <c r="AF21" s="18"/>
      <c r="AG21" s="25"/>
      <c r="AH21" s="18"/>
      <c r="AI21" s="18"/>
      <c r="AJ21" s="18"/>
    </row>
    <row r="22" spans="1:36">
      <c r="A22" s="18" t="s">
        <v>2292</v>
      </c>
      <c r="B22" s="45"/>
      <c r="C22" s="18"/>
      <c r="D22" s="19"/>
      <c r="E22" s="18"/>
      <c r="F22" s="74"/>
      <c r="G22" s="79"/>
      <c r="H22" s="27"/>
      <c r="I22" s="20"/>
      <c r="J22" s="79"/>
      <c r="K22" s="18"/>
      <c r="L22" s="18"/>
      <c r="M22" s="29"/>
      <c r="N22" s="18"/>
      <c r="O22" s="18"/>
      <c r="P22" s="18"/>
      <c r="Q22" s="18"/>
      <c r="R22" s="18"/>
      <c r="S22" s="18"/>
      <c r="T22" s="18"/>
      <c r="U22" s="18"/>
      <c r="V22" s="18"/>
      <c r="W22" s="89"/>
      <c r="X22" s="18"/>
      <c r="Y22" s="18"/>
      <c r="Z22" s="18"/>
      <c r="AA22" s="18"/>
      <c r="AB22" s="24"/>
      <c r="AC22" s="24"/>
      <c r="AD22" s="24"/>
      <c r="AE22" s="18"/>
      <c r="AF22" s="18"/>
      <c r="AG22" s="25"/>
      <c r="AH22" s="18"/>
      <c r="AI22" s="18"/>
      <c r="AJ22" s="18"/>
    </row>
    <row r="23" spans="1:36">
      <c r="A23" s="18" t="s">
        <v>2293</v>
      </c>
      <c r="B23" s="45"/>
      <c r="C23" s="18"/>
      <c r="D23" s="19"/>
      <c r="E23" s="18"/>
      <c r="F23" s="79"/>
      <c r="G23" s="79"/>
      <c r="H23" s="27"/>
      <c r="I23" s="20"/>
      <c r="J23" s="79"/>
      <c r="K23" s="18"/>
      <c r="L23" s="18"/>
      <c r="M23" s="29"/>
      <c r="N23" s="18"/>
      <c r="O23" s="18"/>
      <c r="P23" s="18"/>
      <c r="Q23" s="18"/>
      <c r="R23" s="18"/>
      <c r="S23" s="18"/>
      <c r="T23" s="89"/>
      <c r="U23" s="18"/>
      <c r="V23" s="18"/>
      <c r="W23" s="89"/>
      <c r="X23" s="18"/>
      <c r="Y23" s="18"/>
      <c r="Z23" s="18"/>
      <c r="AA23" s="18"/>
      <c r="AB23" s="24"/>
      <c r="AC23" s="24"/>
      <c r="AD23" s="24"/>
      <c r="AE23" s="18"/>
      <c r="AF23" s="18"/>
      <c r="AG23" s="25"/>
      <c r="AH23" s="18"/>
      <c r="AI23" s="83"/>
      <c r="AJ23" s="18"/>
    </row>
    <row r="24" spans="1:36">
      <c r="A24" s="18" t="s">
        <v>2294</v>
      </c>
      <c r="B24" s="45"/>
      <c r="C24" s="18"/>
      <c r="D24" s="19"/>
      <c r="E24" s="18"/>
      <c r="F24" s="79"/>
      <c r="G24" s="79"/>
      <c r="H24" s="27"/>
      <c r="I24" s="56"/>
      <c r="J24" s="79"/>
      <c r="K24" s="18"/>
      <c r="L24" s="18"/>
      <c r="M24" s="29"/>
      <c r="N24" s="18"/>
      <c r="O24" s="18"/>
      <c r="P24" s="18"/>
      <c r="Q24" s="18"/>
      <c r="R24" s="18"/>
      <c r="S24" s="18"/>
      <c r="T24" s="18"/>
      <c r="U24" s="85"/>
      <c r="V24" s="18"/>
      <c r="W24" s="18"/>
      <c r="X24" s="18"/>
      <c r="Y24" s="18"/>
      <c r="Z24" s="18"/>
      <c r="AA24" s="18"/>
      <c r="AB24" s="24"/>
      <c r="AC24" s="24"/>
      <c r="AD24" s="24"/>
      <c r="AE24" s="18"/>
      <c r="AF24" s="18"/>
      <c r="AG24" s="25"/>
      <c r="AH24" s="18"/>
      <c r="AI24" s="18"/>
      <c r="AJ24" s="18"/>
    </row>
    <row r="25" spans="1:36">
      <c r="A25" s="18" t="s">
        <v>2295</v>
      </c>
      <c r="B25" s="45"/>
      <c r="C25" s="18"/>
      <c r="D25" s="19"/>
      <c r="E25" s="18"/>
      <c r="F25" s="79"/>
      <c r="G25" s="79"/>
      <c r="H25" s="27"/>
      <c r="I25" s="20"/>
      <c r="J25" s="79"/>
      <c r="K25" s="18"/>
      <c r="L25" s="18"/>
      <c r="M25" s="29"/>
      <c r="N25" s="18"/>
      <c r="O25" s="18"/>
      <c r="P25" s="18"/>
      <c r="Q25" s="18"/>
      <c r="R25" s="18"/>
      <c r="S25" s="18"/>
      <c r="T25" s="89"/>
      <c r="U25" s="18"/>
      <c r="V25" s="18"/>
      <c r="W25" s="18"/>
      <c r="X25" s="18"/>
      <c r="Y25" s="18"/>
      <c r="Z25" s="18"/>
      <c r="AA25" s="18"/>
      <c r="AB25" s="24"/>
      <c r="AC25" s="24"/>
      <c r="AD25" s="24"/>
      <c r="AE25" s="18"/>
      <c r="AF25" s="18"/>
      <c r="AG25" s="25"/>
      <c r="AH25" s="18"/>
      <c r="AI25" s="89"/>
      <c r="AJ25" s="18"/>
    </row>
    <row r="26" spans="1:36">
      <c r="A26" s="18" t="s">
        <v>2296</v>
      </c>
      <c r="B26" s="45"/>
      <c r="C26" s="18"/>
      <c r="D26" s="19"/>
      <c r="E26" s="18"/>
      <c r="F26" s="79"/>
      <c r="G26" s="79"/>
      <c r="H26" s="27"/>
      <c r="I26" s="56"/>
      <c r="J26" s="79"/>
      <c r="K26" s="18"/>
      <c r="L26" s="18"/>
      <c r="M26" s="29"/>
      <c r="N26" s="18"/>
      <c r="O26" s="18"/>
      <c r="P26" s="18"/>
      <c r="Q26" s="18"/>
      <c r="R26" s="18"/>
      <c r="S26" s="18"/>
      <c r="T26" s="88"/>
      <c r="U26" s="18"/>
      <c r="V26" s="18"/>
      <c r="W26" s="89"/>
      <c r="X26" s="18"/>
      <c r="Y26" s="18"/>
      <c r="Z26" s="18"/>
      <c r="AA26" s="18"/>
      <c r="AB26" s="24"/>
      <c r="AC26" s="24"/>
      <c r="AD26" s="24"/>
      <c r="AE26" s="18"/>
      <c r="AF26" s="18"/>
      <c r="AG26" s="25"/>
      <c r="AH26" s="18"/>
      <c r="AI26" s="18"/>
      <c r="AJ26" s="18"/>
    </row>
    <row r="27" spans="1:36">
      <c r="A27" s="18" t="s">
        <v>2297</v>
      </c>
      <c r="B27" s="45"/>
      <c r="C27" s="18"/>
      <c r="D27" s="19"/>
      <c r="E27" s="18"/>
      <c r="F27" s="79"/>
      <c r="G27" s="57"/>
      <c r="H27" s="27"/>
      <c r="I27" s="20"/>
      <c r="J27" s="79"/>
      <c r="K27" s="18"/>
      <c r="L27" s="18"/>
      <c r="M27" s="29"/>
      <c r="N27" s="18"/>
      <c r="O27" s="18"/>
      <c r="P27" s="18"/>
      <c r="Q27" s="18"/>
      <c r="R27" s="18"/>
      <c r="S27" s="18"/>
      <c r="T27" s="89"/>
      <c r="U27" s="18"/>
      <c r="V27" s="18"/>
      <c r="W27" s="89"/>
      <c r="X27" s="18"/>
      <c r="Y27" s="18"/>
      <c r="Z27" s="18"/>
      <c r="AA27" s="18"/>
      <c r="AB27" s="24"/>
      <c r="AC27" s="24"/>
      <c r="AD27" s="24"/>
      <c r="AE27" s="18"/>
      <c r="AF27" s="18"/>
      <c r="AG27" s="25"/>
      <c r="AH27" s="18"/>
      <c r="AI27" s="18"/>
      <c r="AJ27" s="18"/>
    </row>
    <row r="28" spans="1:36">
      <c r="A28" s="18" t="s">
        <v>2298</v>
      </c>
      <c r="B28" s="45"/>
      <c r="C28" s="18"/>
      <c r="D28" s="19"/>
      <c r="E28" s="18"/>
      <c r="F28" s="79"/>
      <c r="G28" s="79"/>
      <c r="H28" s="27"/>
      <c r="I28" s="20"/>
      <c r="J28" s="79"/>
      <c r="K28" s="18"/>
      <c r="L28" s="18"/>
      <c r="M28" s="29"/>
      <c r="N28" s="18"/>
      <c r="O28" s="18"/>
      <c r="P28" s="18"/>
      <c r="Q28" s="18"/>
      <c r="R28" s="18"/>
      <c r="S28" s="18"/>
      <c r="T28" s="89"/>
      <c r="U28" s="18"/>
      <c r="V28" s="18"/>
      <c r="W28" s="18"/>
      <c r="X28" s="18"/>
      <c r="Y28" s="18"/>
      <c r="Z28" s="18"/>
      <c r="AA28" s="18"/>
      <c r="AB28" s="24"/>
      <c r="AC28" s="24"/>
      <c r="AD28" s="24"/>
      <c r="AE28" s="18"/>
      <c r="AF28" s="18"/>
      <c r="AG28" s="25"/>
      <c r="AH28" s="18"/>
      <c r="AI28" s="18"/>
      <c r="AJ28" s="18"/>
    </row>
    <row r="29" spans="1:36">
      <c r="A29" s="18" t="s">
        <v>2299</v>
      </c>
      <c r="B29" s="45"/>
      <c r="C29" s="18"/>
      <c r="D29" s="19"/>
      <c r="E29" s="18"/>
      <c r="F29" s="79"/>
      <c r="G29" s="79"/>
      <c r="H29" s="27"/>
      <c r="I29" s="20"/>
      <c r="J29" s="88"/>
      <c r="K29" s="18"/>
      <c r="L29" s="18"/>
      <c r="M29" s="29"/>
      <c r="N29" s="18"/>
      <c r="O29" s="18"/>
      <c r="P29" s="18"/>
      <c r="Q29" s="18"/>
      <c r="R29" s="18"/>
      <c r="S29" s="18"/>
      <c r="T29" s="89"/>
      <c r="U29" s="18"/>
      <c r="V29" s="18"/>
      <c r="W29" s="89"/>
      <c r="X29" s="18"/>
      <c r="Y29" s="18"/>
      <c r="Z29" s="18"/>
      <c r="AA29" s="18"/>
      <c r="AB29" s="24"/>
      <c r="AC29" s="24"/>
      <c r="AD29" s="24"/>
      <c r="AE29" s="18"/>
      <c r="AF29" s="18"/>
      <c r="AG29" s="25"/>
      <c r="AH29" s="18"/>
      <c r="AI29" s="18"/>
      <c r="AJ29" s="18"/>
    </row>
    <row r="30" spans="1:36">
      <c r="A30" s="18"/>
      <c r="B30" s="45"/>
      <c r="C30" s="18"/>
      <c r="D30" s="19"/>
      <c r="E30" s="18"/>
      <c r="F30" s="74"/>
      <c r="G30" s="79"/>
      <c r="H30" s="27"/>
      <c r="I30" s="56"/>
      <c r="J30" s="79"/>
      <c r="K30" s="18"/>
      <c r="L30" s="18"/>
      <c r="M30" s="29"/>
      <c r="N30" s="18"/>
      <c r="O30" s="18"/>
      <c r="P30" s="18"/>
      <c r="Q30" s="18"/>
      <c r="R30" s="18"/>
      <c r="S30" s="84"/>
      <c r="T30" s="88"/>
      <c r="U30" s="18"/>
      <c r="V30" s="18"/>
      <c r="W30" s="89"/>
      <c r="X30" s="18"/>
      <c r="Y30" s="18"/>
      <c r="Z30" s="18"/>
      <c r="AA30" s="18"/>
      <c r="AB30" s="24"/>
      <c r="AC30" s="24"/>
      <c r="AD30" s="24"/>
      <c r="AE30" s="18"/>
      <c r="AF30" s="18"/>
      <c r="AG30" s="25"/>
      <c r="AH30" s="18"/>
      <c r="AI30" s="18"/>
      <c r="AJ30" s="18"/>
    </row>
    <row r="31" spans="1:36">
      <c r="A31" s="18"/>
      <c r="B31" s="45"/>
      <c r="C31" s="18"/>
      <c r="D31" s="19"/>
      <c r="E31" s="18"/>
      <c r="F31" s="79"/>
      <c r="G31" s="79"/>
      <c r="H31" s="27"/>
      <c r="I31" s="20"/>
      <c r="J31" s="79"/>
      <c r="K31" s="18"/>
      <c r="L31" s="18"/>
      <c r="M31" s="29"/>
      <c r="N31" s="18"/>
      <c r="O31" s="18"/>
      <c r="P31" s="18"/>
      <c r="Q31" s="18"/>
      <c r="R31" s="18"/>
      <c r="S31" s="18"/>
      <c r="T31" s="89"/>
      <c r="U31" s="18"/>
      <c r="V31" s="18"/>
      <c r="W31" s="89"/>
      <c r="X31" s="18"/>
      <c r="Y31" s="18"/>
      <c r="Z31" s="18"/>
      <c r="AA31" s="18"/>
      <c r="AB31" s="24"/>
      <c r="AC31" s="24"/>
      <c r="AD31" s="24"/>
      <c r="AE31" s="18"/>
      <c r="AF31" s="18"/>
      <c r="AG31" s="25"/>
      <c r="AH31" s="18"/>
      <c r="AI31" s="18"/>
      <c r="AJ31" s="18"/>
    </row>
    <row r="32" spans="1:36">
      <c r="A32" s="18"/>
      <c r="B32" s="45"/>
      <c r="C32" s="18"/>
      <c r="D32" s="19"/>
      <c r="E32" s="18"/>
      <c r="F32" s="79"/>
      <c r="G32" s="79"/>
      <c r="H32" s="27"/>
      <c r="I32" s="20"/>
      <c r="J32" s="79"/>
      <c r="K32" s="18"/>
      <c r="L32" s="18"/>
      <c r="M32" s="29"/>
      <c r="N32" s="18"/>
      <c r="O32" s="18"/>
      <c r="P32" s="18"/>
      <c r="Q32" s="18"/>
      <c r="R32" s="93"/>
      <c r="S32" s="18"/>
      <c r="T32" s="89"/>
      <c r="U32" s="18"/>
      <c r="V32" s="18"/>
      <c r="W32" s="89"/>
      <c r="X32" s="18"/>
      <c r="Y32" s="18"/>
      <c r="Z32" s="18"/>
      <c r="AA32" s="18"/>
      <c r="AB32" s="24"/>
      <c r="AC32" s="24"/>
      <c r="AD32" s="24"/>
      <c r="AE32" s="18"/>
      <c r="AF32" s="18"/>
      <c r="AG32" s="25"/>
      <c r="AH32" s="18"/>
      <c r="AI32" s="18"/>
      <c r="AJ32" s="18"/>
    </row>
    <row r="33" spans="1:36">
      <c r="A33" s="18"/>
      <c r="B33" s="45"/>
      <c r="C33" s="18"/>
      <c r="D33" s="19"/>
      <c r="E33" s="18"/>
      <c r="F33" s="79"/>
      <c r="G33" s="57"/>
      <c r="H33" s="27"/>
      <c r="I33" s="20"/>
      <c r="J33" s="79"/>
      <c r="K33" s="18"/>
      <c r="L33" s="18"/>
      <c r="M33" s="29"/>
      <c r="N33" s="18"/>
      <c r="O33" s="18"/>
      <c r="P33" s="18"/>
      <c r="Q33" s="18"/>
      <c r="R33" s="18"/>
      <c r="S33" s="18"/>
      <c r="T33" s="89"/>
      <c r="U33" s="18"/>
      <c r="V33" s="18"/>
      <c r="W33" s="89"/>
      <c r="X33" s="18"/>
      <c r="Y33" s="18"/>
      <c r="Z33" s="18"/>
      <c r="AA33" s="18"/>
      <c r="AB33" s="24"/>
      <c r="AC33" s="24"/>
      <c r="AD33" s="24"/>
      <c r="AE33" s="18"/>
      <c r="AF33" s="18"/>
      <c r="AG33" s="25"/>
      <c r="AH33" s="18"/>
      <c r="AI33" s="18"/>
      <c r="AJ33" s="18"/>
    </row>
    <row r="34" spans="1:36">
      <c r="A34" s="18"/>
      <c r="B34" s="45"/>
      <c r="C34" s="18"/>
      <c r="D34" s="19"/>
      <c r="E34" s="18"/>
      <c r="F34" s="79"/>
      <c r="G34" s="79"/>
      <c r="H34" s="27"/>
      <c r="I34" s="20"/>
      <c r="J34" s="79"/>
      <c r="K34" s="18"/>
      <c r="L34" s="18"/>
      <c r="M34" s="29"/>
      <c r="N34" s="18"/>
      <c r="O34" s="18"/>
      <c r="P34" s="18"/>
      <c r="Q34" s="18"/>
      <c r="R34" s="18"/>
      <c r="S34" s="18"/>
      <c r="T34" s="89"/>
      <c r="U34" s="18"/>
      <c r="V34" s="18"/>
      <c r="W34" s="89"/>
      <c r="X34" s="18"/>
      <c r="Y34" s="18"/>
      <c r="Z34" s="18"/>
      <c r="AA34" s="18"/>
      <c r="AB34" s="24"/>
      <c r="AC34" s="24"/>
      <c r="AD34" s="24"/>
      <c r="AE34" s="18"/>
      <c r="AF34" s="18"/>
      <c r="AG34" s="25"/>
      <c r="AH34" s="18"/>
      <c r="AI34" s="18"/>
      <c r="AJ34" s="18"/>
    </row>
    <row r="35" spans="1:36">
      <c r="A35" s="18"/>
      <c r="B35" s="45"/>
      <c r="C35" s="18"/>
      <c r="D35" s="19"/>
      <c r="E35" s="18"/>
      <c r="F35" s="79"/>
      <c r="G35" s="79"/>
      <c r="H35" s="27"/>
      <c r="I35" s="20"/>
      <c r="J35" s="79"/>
      <c r="K35" s="18"/>
      <c r="L35" s="18"/>
      <c r="M35" s="29"/>
      <c r="N35" s="18"/>
      <c r="O35" s="18"/>
      <c r="P35" s="18"/>
      <c r="Q35" s="18"/>
      <c r="R35" s="18"/>
      <c r="S35" s="18"/>
      <c r="T35" s="89"/>
      <c r="U35" s="18"/>
      <c r="V35" s="18"/>
      <c r="W35" s="89"/>
      <c r="X35" s="18"/>
      <c r="Y35" s="18"/>
      <c r="Z35" s="18"/>
      <c r="AA35" s="18"/>
      <c r="AB35" s="24"/>
      <c r="AC35" s="24"/>
      <c r="AD35" s="24"/>
      <c r="AE35" s="18"/>
      <c r="AF35" s="18"/>
      <c r="AG35" s="25"/>
      <c r="AH35" s="18"/>
      <c r="AI35" s="18"/>
      <c r="AJ35" s="18"/>
    </row>
    <row r="36" spans="1:36" s="55" customFormat="1">
      <c r="A36" s="18"/>
      <c r="B36" s="45"/>
      <c r="C36" s="18"/>
      <c r="D36" s="19"/>
      <c r="E36" s="18"/>
      <c r="F36" s="79"/>
      <c r="G36" s="79"/>
      <c r="H36" s="18"/>
      <c r="I36" s="20"/>
      <c r="J36" s="89"/>
      <c r="K36" s="51"/>
      <c r="L36" s="51"/>
      <c r="M36" s="52"/>
      <c r="N36" s="51"/>
      <c r="O36" s="51"/>
      <c r="P36" s="51"/>
      <c r="Q36" s="51"/>
      <c r="R36" s="18"/>
      <c r="S36" s="94"/>
      <c r="T36" s="89"/>
      <c r="U36" s="18"/>
      <c r="V36" s="51"/>
      <c r="W36" s="89"/>
      <c r="X36" s="18"/>
      <c r="Y36" s="51"/>
      <c r="Z36" s="51"/>
      <c r="AA36" s="51"/>
      <c r="AB36" s="53"/>
      <c r="AC36" s="53"/>
      <c r="AD36" s="53"/>
      <c r="AE36" s="51"/>
      <c r="AF36" s="51"/>
      <c r="AG36" s="54"/>
      <c r="AH36" s="51"/>
      <c r="AI36" s="18"/>
      <c r="AJ36" s="51"/>
    </row>
    <row r="37" spans="1:36">
      <c r="A37" s="18"/>
      <c r="B37" s="45"/>
      <c r="C37" s="18"/>
      <c r="D37" s="19"/>
      <c r="E37" s="18"/>
      <c r="F37" s="74"/>
      <c r="G37" s="57"/>
      <c r="H37" s="18"/>
      <c r="I37" s="18"/>
      <c r="J37" s="18"/>
      <c r="K37" s="18"/>
      <c r="L37" s="18"/>
      <c r="M37" s="29"/>
      <c r="N37" s="18"/>
      <c r="O37" s="18"/>
      <c r="P37" s="18"/>
      <c r="Q37" s="18"/>
      <c r="R37" s="18"/>
      <c r="S37" s="18"/>
      <c r="T37" s="18"/>
      <c r="U37" s="18"/>
      <c r="V37" s="18"/>
      <c r="W37" s="18"/>
      <c r="X37" s="18"/>
      <c r="Y37" s="18"/>
      <c r="Z37" s="18"/>
      <c r="AA37" s="18"/>
      <c r="AB37" s="24"/>
      <c r="AC37" s="24"/>
      <c r="AD37" s="24"/>
      <c r="AE37" s="18"/>
      <c r="AF37" s="18"/>
      <c r="AG37" s="25"/>
      <c r="AH37" s="18"/>
      <c r="AI37" s="18"/>
      <c r="AJ37" s="18"/>
    </row>
    <row r="38" spans="1:36">
      <c r="A38" s="18"/>
      <c r="B38" s="45"/>
      <c r="C38" s="18"/>
      <c r="D38" s="19"/>
      <c r="E38" s="18"/>
      <c r="F38" s="74"/>
      <c r="G38" s="57"/>
      <c r="H38" s="18"/>
      <c r="I38" s="18"/>
      <c r="J38" s="18"/>
      <c r="K38" s="18"/>
      <c r="L38" s="18"/>
      <c r="M38" s="29"/>
      <c r="N38" s="18"/>
      <c r="O38" s="18"/>
      <c r="P38" s="18"/>
      <c r="Q38" s="18"/>
      <c r="R38" s="18"/>
      <c r="S38" s="18"/>
      <c r="T38" s="18"/>
      <c r="U38" s="18"/>
      <c r="V38" s="18"/>
      <c r="W38" s="18"/>
      <c r="X38" s="18"/>
      <c r="Y38" s="18"/>
      <c r="Z38" s="18"/>
      <c r="AA38" s="18"/>
      <c r="AB38" s="24"/>
      <c r="AC38" s="24"/>
      <c r="AD38" s="24"/>
      <c r="AE38" s="18"/>
      <c r="AF38" s="18"/>
      <c r="AG38" s="25"/>
      <c r="AH38" s="18"/>
      <c r="AI38" s="18"/>
      <c r="AJ38" s="18"/>
    </row>
    <row r="39" spans="1:36">
      <c r="A39" s="18"/>
      <c r="B39" s="45"/>
      <c r="C39" s="18"/>
      <c r="D39" s="19"/>
      <c r="E39" s="18"/>
      <c r="F39" s="74"/>
      <c r="G39" s="57"/>
      <c r="H39" s="18"/>
      <c r="I39" s="18"/>
      <c r="J39" s="18"/>
      <c r="K39" s="18"/>
      <c r="L39" s="18"/>
      <c r="M39" s="29"/>
      <c r="N39" s="18"/>
      <c r="O39" s="18"/>
      <c r="P39" s="18"/>
      <c r="Q39" s="18"/>
      <c r="R39" s="18"/>
      <c r="S39" s="18"/>
      <c r="T39" s="18"/>
      <c r="U39" s="18"/>
      <c r="V39" s="18"/>
      <c r="W39" s="18"/>
      <c r="X39" s="18"/>
      <c r="Y39" s="18"/>
      <c r="Z39" s="18"/>
      <c r="AA39" s="18"/>
      <c r="AB39" s="24"/>
      <c r="AC39" s="24"/>
      <c r="AD39" s="24"/>
      <c r="AE39" s="18"/>
      <c r="AF39" s="18"/>
      <c r="AG39" s="25"/>
      <c r="AH39" s="18"/>
      <c r="AI39" s="18"/>
      <c r="AJ39" s="18"/>
    </row>
    <row r="40" spans="1:36">
      <c r="A40" s="18"/>
      <c r="B40" s="45"/>
      <c r="C40" s="18"/>
      <c r="D40" s="19"/>
      <c r="E40" s="18"/>
      <c r="F40" s="74"/>
      <c r="G40" s="57"/>
      <c r="H40" s="18"/>
      <c r="I40" s="18"/>
      <c r="J40" s="18"/>
      <c r="K40" s="18"/>
      <c r="L40" s="18"/>
      <c r="M40" s="29"/>
      <c r="N40" s="18"/>
      <c r="O40" s="18"/>
      <c r="P40" s="18"/>
      <c r="Q40" s="18"/>
      <c r="R40" s="18"/>
      <c r="S40" s="18"/>
      <c r="T40" s="18"/>
      <c r="U40" s="18"/>
      <c r="V40" s="18"/>
      <c r="W40" s="18"/>
      <c r="X40" s="18"/>
      <c r="Y40" s="18"/>
      <c r="Z40" s="18"/>
      <c r="AA40" s="18"/>
      <c r="AB40" s="24"/>
      <c r="AC40" s="24"/>
      <c r="AD40" s="24"/>
      <c r="AE40" s="18"/>
      <c r="AF40" s="18"/>
      <c r="AG40" s="25"/>
      <c r="AH40" s="18"/>
      <c r="AI40" s="18"/>
      <c r="AJ40" s="18"/>
    </row>
    <row r="41" spans="1:36">
      <c r="A41" s="18"/>
      <c r="B41" s="45"/>
      <c r="C41" s="18"/>
      <c r="D41" s="19"/>
      <c r="E41" s="18"/>
      <c r="F41" s="74"/>
      <c r="G41" s="57"/>
      <c r="H41" s="18"/>
      <c r="I41" s="18"/>
      <c r="J41" s="18"/>
      <c r="K41" s="18"/>
      <c r="L41" s="18"/>
      <c r="M41" s="29"/>
      <c r="N41" s="18"/>
      <c r="O41" s="18"/>
      <c r="P41" s="18"/>
      <c r="Q41" s="18"/>
      <c r="R41" s="18"/>
      <c r="S41" s="18"/>
      <c r="T41" s="18"/>
      <c r="U41" s="18"/>
      <c r="V41" s="18"/>
      <c r="W41" s="18"/>
      <c r="X41" s="18"/>
      <c r="Y41" s="18"/>
      <c r="Z41" s="18"/>
      <c r="AA41" s="18"/>
      <c r="AB41" s="24"/>
      <c r="AC41" s="24"/>
      <c r="AD41" s="24"/>
      <c r="AE41" s="18"/>
      <c r="AF41" s="18"/>
      <c r="AG41" s="25"/>
      <c r="AH41" s="18"/>
      <c r="AI41" s="18"/>
      <c r="AJ41" s="18"/>
    </row>
    <row r="42" spans="1:36">
      <c r="A42" s="18"/>
      <c r="B42" s="45"/>
      <c r="C42" s="18"/>
      <c r="D42" s="19"/>
      <c r="E42" s="18"/>
      <c r="F42" s="74"/>
      <c r="G42" s="57"/>
      <c r="H42" s="18"/>
      <c r="I42" s="18"/>
      <c r="J42" s="18"/>
      <c r="K42" s="18"/>
      <c r="L42" s="18"/>
      <c r="M42" s="29"/>
      <c r="N42" s="18"/>
      <c r="O42" s="18"/>
      <c r="P42" s="18"/>
      <c r="Q42" s="18"/>
      <c r="R42" s="18"/>
      <c r="S42" s="18"/>
      <c r="T42" s="18"/>
      <c r="U42" s="18"/>
      <c r="V42" s="18"/>
      <c r="W42" s="18"/>
      <c r="X42" s="18"/>
      <c r="Y42" s="18"/>
      <c r="Z42" s="18"/>
      <c r="AA42" s="18"/>
      <c r="AB42" s="24"/>
      <c r="AC42" s="24"/>
      <c r="AD42" s="24"/>
      <c r="AE42" s="18"/>
      <c r="AF42" s="18"/>
      <c r="AG42" s="25"/>
      <c r="AH42" s="18"/>
      <c r="AI42" s="18"/>
      <c r="AJ42" s="18"/>
    </row>
    <row r="43" spans="1:36">
      <c r="A43" s="18"/>
      <c r="B43" s="45"/>
      <c r="C43" s="18"/>
      <c r="D43" s="19"/>
      <c r="E43" s="18"/>
      <c r="F43" s="74"/>
      <c r="G43" s="57"/>
      <c r="H43" s="18"/>
      <c r="I43" s="18"/>
      <c r="J43" s="18"/>
      <c r="K43" s="18"/>
      <c r="L43" s="18"/>
      <c r="M43" s="29"/>
      <c r="N43" s="18"/>
      <c r="O43" s="18"/>
      <c r="P43" s="18"/>
      <c r="Q43" s="18"/>
      <c r="R43" s="18"/>
      <c r="S43" s="18"/>
      <c r="T43" s="18"/>
      <c r="U43" s="18"/>
      <c r="V43" s="18"/>
      <c r="W43" s="18"/>
      <c r="X43" s="18"/>
      <c r="Y43" s="18"/>
      <c r="Z43" s="18"/>
      <c r="AA43" s="18"/>
      <c r="AB43" s="24"/>
      <c r="AC43" s="24"/>
      <c r="AD43" s="24"/>
      <c r="AE43" s="18"/>
      <c r="AF43" s="18"/>
      <c r="AG43" s="25"/>
      <c r="AH43" s="18"/>
      <c r="AI43" s="18"/>
      <c r="AJ43" s="18"/>
    </row>
    <row r="44" spans="1:36">
      <c r="A44" s="18"/>
      <c r="B44" s="45"/>
      <c r="C44" s="18"/>
      <c r="D44" s="19"/>
      <c r="E44" s="18"/>
      <c r="F44" s="74"/>
      <c r="G44" s="57"/>
      <c r="H44" s="18"/>
      <c r="I44" s="18"/>
      <c r="J44" s="18"/>
      <c r="K44" s="18"/>
      <c r="L44" s="18"/>
      <c r="M44" s="29"/>
      <c r="N44" s="18"/>
      <c r="O44" s="18"/>
      <c r="P44" s="18"/>
      <c r="Q44" s="18"/>
      <c r="R44" s="18"/>
      <c r="S44" s="18"/>
      <c r="T44" s="18"/>
      <c r="U44" s="18"/>
      <c r="V44" s="18"/>
      <c r="W44" s="18"/>
      <c r="X44" s="18"/>
      <c r="Y44" s="18"/>
      <c r="Z44" s="18"/>
      <c r="AA44" s="18"/>
      <c r="AB44" s="24"/>
      <c r="AC44" s="24"/>
      <c r="AD44" s="24"/>
      <c r="AE44" s="18"/>
      <c r="AF44" s="18"/>
      <c r="AG44" s="25"/>
      <c r="AH44" s="18"/>
      <c r="AI44" s="18"/>
      <c r="AJ44" s="18"/>
    </row>
    <row r="45" spans="1:36">
      <c r="A45" s="18"/>
      <c r="B45" s="45"/>
      <c r="C45" s="18"/>
      <c r="D45" s="19"/>
      <c r="E45" s="18"/>
      <c r="F45" s="74"/>
      <c r="G45" s="57"/>
      <c r="H45" s="18"/>
      <c r="I45" s="18"/>
      <c r="J45" s="18"/>
      <c r="K45" s="18"/>
      <c r="L45" s="18"/>
      <c r="M45" s="29"/>
      <c r="N45" s="18"/>
      <c r="O45" s="18"/>
      <c r="P45" s="18"/>
      <c r="Q45" s="18"/>
      <c r="R45" s="18"/>
      <c r="S45" s="18"/>
      <c r="T45" s="18"/>
      <c r="U45" s="18"/>
      <c r="V45" s="18"/>
      <c r="W45" s="18"/>
      <c r="X45" s="18"/>
      <c r="Y45" s="18"/>
      <c r="Z45" s="18"/>
      <c r="AA45" s="18"/>
      <c r="AB45" s="24"/>
      <c r="AC45" s="24"/>
      <c r="AD45" s="24"/>
      <c r="AE45" s="18"/>
      <c r="AF45" s="18"/>
      <c r="AG45" s="25"/>
      <c r="AH45" s="18"/>
      <c r="AI45" s="18"/>
      <c r="AJ45" s="18"/>
    </row>
    <row r="46" spans="1:36">
      <c r="A46" s="18"/>
      <c r="B46" s="45"/>
      <c r="C46" s="18"/>
      <c r="D46" s="19"/>
      <c r="E46" s="18"/>
      <c r="F46" s="74"/>
      <c r="G46" s="57"/>
      <c r="H46" s="18"/>
      <c r="I46" s="18"/>
      <c r="J46" s="18"/>
      <c r="K46" s="18"/>
      <c r="L46" s="18"/>
      <c r="M46" s="29"/>
      <c r="N46" s="18"/>
      <c r="O46" s="18"/>
      <c r="P46" s="18"/>
      <c r="Q46" s="18"/>
      <c r="R46" s="18"/>
      <c r="S46" s="18"/>
      <c r="T46" s="18"/>
      <c r="U46" s="18"/>
      <c r="V46" s="18"/>
      <c r="W46" s="18"/>
      <c r="X46" s="18"/>
      <c r="Y46" s="18"/>
      <c r="Z46" s="18"/>
      <c r="AA46" s="18"/>
      <c r="AB46" s="24"/>
      <c r="AC46" s="24"/>
      <c r="AD46" s="24"/>
      <c r="AE46" s="18"/>
      <c r="AF46" s="18"/>
      <c r="AG46" s="25"/>
      <c r="AH46" s="18"/>
      <c r="AI46" s="18"/>
      <c r="AJ46" s="18"/>
    </row>
    <row r="47" spans="1:36">
      <c r="A47" s="18"/>
      <c r="B47" s="45"/>
      <c r="C47" s="18"/>
      <c r="D47" s="19"/>
      <c r="E47" s="18"/>
      <c r="F47" s="74"/>
      <c r="G47" s="57"/>
      <c r="H47" s="18"/>
      <c r="I47" s="18"/>
      <c r="J47" s="18"/>
      <c r="K47" s="18"/>
      <c r="L47" s="18"/>
      <c r="M47" s="29"/>
      <c r="N47" s="18"/>
      <c r="O47" s="18"/>
      <c r="P47" s="18"/>
      <c r="Q47" s="18"/>
      <c r="R47" s="18"/>
      <c r="S47" s="18"/>
      <c r="T47" s="18"/>
      <c r="U47" s="18"/>
      <c r="V47" s="18"/>
      <c r="W47" s="18"/>
      <c r="X47" s="18"/>
      <c r="Y47" s="18"/>
      <c r="Z47" s="18"/>
      <c r="AA47" s="18"/>
      <c r="AB47" s="24"/>
      <c r="AC47" s="24"/>
      <c r="AD47" s="24"/>
      <c r="AE47" s="18"/>
      <c r="AF47" s="18"/>
      <c r="AG47" s="25"/>
      <c r="AH47" s="18"/>
      <c r="AI47" s="18"/>
      <c r="AJ47" s="18"/>
    </row>
    <row r="48" spans="1:36">
      <c r="A48" s="18"/>
      <c r="B48" s="45"/>
      <c r="C48" s="18"/>
      <c r="D48" s="19"/>
      <c r="E48" s="18"/>
      <c r="F48" s="74"/>
      <c r="G48" s="57"/>
      <c r="H48" s="18"/>
      <c r="I48" s="18"/>
      <c r="J48" s="18"/>
      <c r="K48" s="18"/>
      <c r="L48" s="18"/>
      <c r="M48" s="29"/>
      <c r="N48" s="18"/>
      <c r="O48" s="18"/>
      <c r="P48" s="18"/>
      <c r="Q48" s="18"/>
      <c r="R48" s="18"/>
      <c r="S48" s="18"/>
      <c r="T48" s="18"/>
      <c r="U48" s="18"/>
      <c r="V48" s="18"/>
      <c r="W48" s="18"/>
      <c r="X48" s="18"/>
      <c r="Y48" s="18"/>
      <c r="Z48" s="18"/>
      <c r="AA48" s="18"/>
      <c r="AB48" s="24"/>
      <c r="AC48" s="24"/>
      <c r="AD48" s="24"/>
      <c r="AE48" s="18"/>
      <c r="AF48" s="18"/>
      <c r="AG48" s="25"/>
      <c r="AH48" s="18"/>
      <c r="AI48" s="18"/>
      <c r="AJ48" s="18"/>
    </row>
    <row r="49" spans="1:36">
      <c r="A49" s="18"/>
      <c r="B49" s="45"/>
      <c r="C49" s="18"/>
      <c r="D49" s="19"/>
      <c r="E49" s="18"/>
      <c r="F49" s="74"/>
      <c r="G49" s="57"/>
      <c r="H49" s="18"/>
      <c r="I49" s="18"/>
      <c r="J49" s="18"/>
      <c r="K49" s="18"/>
      <c r="L49" s="18"/>
      <c r="M49" s="29"/>
      <c r="N49" s="18"/>
      <c r="O49" s="18"/>
      <c r="P49" s="18"/>
      <c r="Q49" s="18"/>
      <c r="R49" s="18"/>
      <c r="S49" s="18"/>
      <c r="T49" s="18"/>
      <c r="U49" s="18"/>
      <c r="V49" s="18"/>
      <c r="W49" s="18"/>
      <c r="X49" s="18"/>
      <c r="Y49" s="18"/>
      <c r="Z49" s="18"/>
      <c r="AA49" s="18"/>
      <c r="AB49" s="24"/>
      <c r="AC49" s="24"/>
      <c r="AD49" s="24"/>
      <c r="AE49" s="18"/>
      <c r="AF49" s="18"/>
      <c r="AG49" s="25"/>
      <c r="AH49" s="18"/>
      <c r="AI49" s="18"/>
      <c r="AJ49" s="18"/>
    </row>
    <row r="50" spans="1:36">
      <c r="A50" s="18"/>
      <c r="B50" s="45"/>
      <c r="C50" s="18"/>
      <c r="D50" s="19"/>
      <c r="E50" s="18"/>
      <c r="F50" s="74"/>
      <c r="G50" s="57"/>
      <c r="H50" s="18"/>
      <c r="I50" s="18"/>
      <c r="J50" s="18"/>
      <c r="K50" s="18"/>
      <c r="L50" s="18"/>
      <c r="M50" s="29"/>
      <c r="N50" s="18"/>
      <c r="O50" s="18"/>
      <c r="P50" s="18"/>
      <c r="Q50" s="18"/>
      <c r="R50" s="18"/>
      <c r="S50" s="18"/>
      <c r="T50" s="18"/>
      <c r="U50" s="18"/>
      <c r="V50" s="18"/>
      <c r="W50" s="18"/>
      <c r="X50" s="18"/>
      <c r="Y50" s="18"/>
      <c r="Z50" s="18"/>
      <c r="AA50" s="18"/>
      <c r="AB50" s="24"/>
      <c r="AC50" s="24"/>
      <c r="AD50" s="24"/>
      <c r="AE50" s="18"/>
      <c r="AF50" s="18"/>
      <c r="AG50" s="25"/>
      <c r="AH50" s="18"/>
      <c r="AI50" s="18"/>
      <c r="AJ50" s="18"/>
    </row>
    <row r="51" spans="1:36">
      <c r="A51" s="18"/>
      <c r="B51" s="45"/>
      <c r="C51" s="18"/>
      <c r="D51" s="19"/>
      <c r="E51" s="18"/>
      <c r="F51" s="74"/>
      <c r="G51" s="57"/>
      <c r="H51" s="18"/>
      <c r="I51" s="18"/>
      <c r="J51" s="18"/>
      <c r="K51" s="18"/>
      <c r="L51" s="18"/>
      <c r="M51" s="29"/>
      <c r="N51" s="18"/>
      <c r="O51" s="18"/>
      <c r="P51" s="18"/>
      <c r="Q51" s="18"/>
      <c r="R51" s="18"/>
      <c r="S51" s="18"/>
      <c r="T51" s="18"/>
      <c r="U51" s="18"/>
      <c r="V51" s="18"/>
      <c r="W51" s="18"/>
      <c r="X51" s="18"/>
      <c r="Y51" s="18"/>
      <c r="Z51" s="18"/>
      <c r="AA51" s="18"/>
      <c r="AB51" s="24"/>
      <c r="AC51" s="24"/>
      <c r="AD51" s="24"/>
      <c r="AE51" s="18"/>
      <c r="AF51" s="18"/>
      <c r="AG51" s="25"/>
      <c r="AH51" s="18"/>
      <c r="AI51" s="18"/>
      <c r="AJ51" s="18"/>
    </row>
    <row r="52" spans="1:36">
      <c r="A52" s="18"/>
      <c r="B52" s="45"/>
      <c r="C52" s="18"/>
      <c r="D52" s="19"/>
      <c r="E52" s="18"/>
      <c r="F52" s="74"/>
      <c r="G52" s="57"/>
      <c r="H52" s="18"/>
      <c r="I52" s="18"/>
      <c r="J52" s="18"/>
      <c r="K52" s="18"/>
      <c r="L52" s="18"/>
      <c r="M52" s="29"/>
      <c r="N52" s="18"/>
      <c r="O52" s="18"/>
      <c r="P52" s="18"/>
      <c r="Q52" s="18"/>
      <c r="R52" s="18"/>
      <c r="S52" s="18"/>
      <c r="T52" s="18"/>
      <c r="U52" s="18"/>
      <c r="V52" s="18"/>
      <c r="W52" s="18"/>
      <c r="X52" s="18"/>
      <c r="Y52" s="18"/>
      <c r="Z52" s="18"/>
      <c r="AA52" s="18"/>
      <c r="AB52" s="24"/>
      <c r="AC52" s="24"/>
      <c r="AD52" s="24"/>
      <c r="AE52" s="18"/>
      <c r="AF52" s="18"/>
      <c r="AG52" s="25"/>
      <c r="AH52" s="18"/>
      <c r="AI52" s="18"/>
      <c r="AJ52" s="18"/>
    </row>
    <row r="53" spans="1:36">
      <c r="A53" s="18"/>
      <c r="B53" s="45"/>
      <c r="C53" s="18"/>
      <c r="D53" s="19"/>
      <c r="E53" s="18"/>
      <c r="F53" s="74"/>
      <c r="G53" s="57"/>
      <c r="H53" s="18"/>
      <c r="I53" s="18"/>
      <c r="J53" s="18"/>
      <c r="K53" s="18"/>
      <c r="L53" s="18"/>
      <c r="M53" s="29"/>
      <c r="N53" s="18"/>
      <c r="O53" s="18"/>
      <c r="P53" s="18"/>
      <c r="Q53" s="18"/>
      <c r="R53" s="18"/>
      <c r="S53" s="18"/>
      <c r="T53" s="18"/>
      <c r="U53" s="18"/>
      <c r="V53" s="18"/>
      <c r="W53" s="18"/>
      <c r="X53" s="18"/>
      <c r="Y53" s="18"/>
      <c r="Z53" s="18"/>
      <c r="AA53" s="18"/>
      <c r="AB53" s="24"/>
      <c r="AC53" s="24"/>
      <c r="AD53" s="24"/>
      <c r="AE53" s="18"/>
      <c r="AF53" s="18"/>
      <c r="AG53" s="25"/>
      <c r="AH53" s="18"/>
      <c r="AI53" s="18"/>
      <c r="AJ53" s="18"/>
    </row>
    <row r="54" spans="1:36">
      <c r="A54" s="18"/>
      <c r="B54" s="45"/>
      <c r="C54" s="18"/>
      <c r="D54" s="19"/>
      <c r="E54" s="18"/>
      <c r="F54" s="74"/>
      <c r="G54" s="57"/>
      <c r="H54" s="18"/>
      <c r="I54" s="18"/>
      <c r="J54" s="18"/>
      <c r="K54" s="18"/>
      <c r="L54" s="18"/>
      <c r="M54" s="29"/>
      <c r="N54" s="18"/>
      <c r="O54" s="18"/>
      <c r="P54" s="18"/>
      <c r="Q54" s="18"/>
      <c r="R54" s="18"/>
      <c r="S54" s="18"/>
      <c r="T54" s="18"/>
      <c r="U54" s="18"/>
      <c r="V54" s="18"/>
      <c r="W54" s="18"/>
      <c r="X54" s="18"/>
      <c r="Y54" s="18"/>
      <c r="Z54" s="18"/>
      <c r="AA54" s="18"/>
      <c r="AB54" s="24"/>
      <c r="AC54" s="24"/>
      <c r="AD54" s="24"/>
      <c r="AE54" s="18"/>
      <c r="AF54" s="18"/>
      <c r="AG54" s="25"/>
      <c r="AH54" s="18"/>
      <c r="AI54" s="18"/>
      <c r="AJ54" s="18"/>
    </row>
    <row r="55" spans="1:36">
      <c r="A55" s="18"/>
      <c r="B55" s="45"/>
      <c r="C55" s="18"/>
      <c r="D55" s="19"/>
      <c r="E55" s="18"/>
      <c r="F55" s="74"/>
      <c r="G55" s="57"/>
      <c r="H55" s="18"/>
      <c r="I55" s="18"/>
      <c r="J55" s="18"/>
      <c r="K55" s="18"/>
      <c r="L55" s="18"/>
      <c r="M55" s="29"/>
      <c r="N55" s="18"/>
      <c r="O55" s="18"/>
      <c r="P55" s="18"/>
      <c r="Q55" s="18"/>
      <c r="R55" s="18"/>
      <c r="S55" s="18"/>
      <c r="T55" s="18"/>
      <c r="U55" s="18"/>
      <c r="V55" s="18"/>
      <c r="W55" s="18"/>
      <c r="X55" s="18"/>
      <c r="Y55" s="18"/>
      <c r="Z55" s="18"/>
      <c r="AA55" s="18"/>
      <c r="AB55" s="24"/>
      <c r="AC55" s="24"/>
      <c r="AD55" s="24"/>
      <c r="AE55" s="18"/>
      <c r="AF55" s="18"/>
      <c r="AG55" s="25"/>
      <c r="AH55" s="18"/>
      <c r="AI55" s="18"/>
      <c r="AJ55" s="18"/>
    </row>
    <row r="56" spans="1:36">
      <c r="A56" s="18"/>
      <c r="B56" s="45"/>
      <c r="C56" s="18"/>
      <c r="D56" s="19"/>
      <c r="E56" s="18"/>
      <c r="F56" s="74"/>
      <c r="G56" s="57"/>
      <c r="H56" s="18"/>
      <c r="I56" s="18"/>
      <c r="J56" s="18"/>
      <c r="K56" s="18"/>
      <c r="L56" s="18"/>
      <c r="M56" s="29"/>
      <c r="N56" s="18"/>
      <c r="O56" s="18"/>
      <c r="P56" s="18"/>
      <c r="Q56" s="18"/>
      <c r="R56" s="18"/>
      <c r="S56" s="18"/>
      <c r="T56" s="18"/>
      <c r="U56" s="18"/>
      <c r="V56" s="18"/>
      <c r="W56" s="18"/>
      <c r="X56" s="18"/>
      <c r="Y56" s="18"/>
      <c r="Z56" s="18"/>
      <c r="AA56" s="18"/>
      <c r="AB56" s="24"/>
      <c r="AC56" s="24"/>
      <c r="AD56" s="24"/>
      <c r="AE56" s="18"/>
      <c r="AF56" s="18"/>
      <c r="AG56" s="25"/>
      <c r="AH56" s="18"/>
      <c r="AI56" s="18"/>
      <c r="AJ56" s="18"/>
    </row>
    <row r="57" spans="1:36">
      <c r="A57" s="18"/>
      <c r="B57" s="45"/>
      <c r="C57" s="18"/>
      <c r="D57" s="19"/>
      <c r="E57" s="18"/>
      <c r="F57" s="74"/>
      <c r="G57" s="57"/>
      <c r="H57" s="18"/>
      <c r="I57" s="18"/>
      <c r="J57" s="18"/>
      <c r="K57" s="18"/>
      <c r="L57" s="18"/>
      <c r="M57" s="29"/>
      <c r="N57" s="18"/>
      <c r="O57" s="18"/>
      <c r="P57" s="18"/>
      <c r="Q57" s="18"/>
      <c r="R57" s="18"/>
      <c r="S57" s="18"/>
      <c r="T57" s="18"/>
      <c r="U57" s="18"/>
      <c r="V57" s="18"/>
      <c r="W57" s="18"/>
      <c r="X57" s="18"/>
      <c r="Y57" s="18"/>
      <c r="Z57" s="18"/>
      <c r="AA57" s="18"/>
      <c r="AB57" s="24"/>
      <c r="AC57" s="24"/>
      <c r="AD57" s="24"/>
      <c r="AE57" s="18"/>
      <c r="AF57" s="18"/>
      <c r="AG57" s="25"/>
      <c r="AH57" s="18"/>
      <c r="AI57" s="18"/>
      <c r="AJ57" s="18"/>
    </row>
    <row r="58" spans="1:36">
      <c r="A58" s="18"/>
      <c r="B58" s="45"/>
      <c r="C58" s="18"/>
      <c r="D58" s="19"/>
      <c r="E58" s="18"/>
      <c r="F58" s="74"/>
      <c r="G58" s="57"/>
      <c r="H58" s="18"/>
      <c r="I58" s="18"/>
      <c r="J58" s="18"/>
      <c r="K58" s="18"/>
      <c r="L58" s="18"/>
      <c r="M58" s="29"/>
      <c r="N58" s="18"/>
      <c r="O58" s="18"/>
      <c r="P58" s="18"/>
      <c r="Q58" s="18"/>
      <c r="R58" s="18"/>
      <c r="S58" s="18"/>
      <c r="T58" s="18"/>
      <c r="U58" s="18"/>
      <c r="V58" s="18"/>
      <c r="W58" s="18"/>
      <c r="X58" s="18"/>
      <c r="Y58" s="18"/>
      <c r="Z58" s="18"/>
      <c r="AA58" s="18"/>
      <c r="AB58" s="24"/>
      <c r="AC58" s="24"/>
      <c r="AD58" s="24"/>
      <c r="AE58" s="18"/>
      <c r="AF58" s="18"/>
      <c r="AG58" s="25"/>
      <c r="AH58" s="18"/>
      <c r="AI58" s="18"/>
      <c r="AJ58" s="18"/>
    </row>
    <row r="59" spans="1:36">
      <c r="A59" s="18"/>
      <c r="B59" s="45"/>
      <c r="C59" s="18"/>
      <c r="D59" s="19"/>
      <c r="E59" s="18"/>
      <c r="F59" s="74"/>
      <c r="G59" s="57"/>
      <c r="H59" s="18"/>
      <c r="I59" s="18"/>
      <c r="J59" s="18"/>
      <c r="K59" s="18"/>
      <c r="L59" s="18"/>
      <c r="M59" s="29"/>
      <c r="N59" s="18"/>
      <c r="O59" s="18"/>
      <c r="P59" s="18"/>
      <c r="Q59" s="18"/>
      <c r="R59" s="18"/>
      <c r="S59" s="18"/>
      <c r="T59" s="18"/>
      <c r="U59" s="18"/>
      <c r="V59" s="18"/>
      <c r="W59" s="18"/>
      <c r="X59" s="18"/>
      <c r="Y59" s="18"/>
      <c r="Z59" s="18"/>
      <c r="AA59" s="18"/>
      <c r="AB59" s="24"/>
      <c r="AC59" s="24"/>
      <c r="AD59" s="24"/>
      <c r="AE59" s="18"/>
      <c r="AF59" s="18"/>
      <c r="AG59" s="25"/>
      <c r="AH59" s="18"/>
      <c r="AI59" s="18"/>
      <c r="AJ59" s="18"/>
    </row>
    <row r="60" spans="1:36">
      <c r="A60" s="18"/>
      <c r="B60" s="45"/>
      <c r="C60" s="18"/>
      <c r="D60" s="19"/>
      <c r="E60" s="18"/>
      <c r="F60" s="74"/>
      <c r="G60" s="57"/>
      <c r="H60" s="18"/>
      <c r="I60" s="18"/>
      <c r="J60" s="18"/>
      <c r="K60" s="18"/>
      <c r="L60" s="18"/>
      <c r="M60" s="29"/>
      <c r="N60" s="18"/>
      <c r="O60" s="18"/>
      <c r="P60" s="18"/>
      <c r="Q60" s="18"/>
      <c r="R60" s="18"/>
      <c r="S60" s="18"/>
      <c r="T60" s="18"/>
      <c r="U60" s="18"/>
      <c r="V60" s="18"/>
      <c r="W60" s="18"/>
      <c r="X60" s="18"/>
      <c r="Y60" s="18"/>
      <c r="Z60" s="18"/>
      <c r="AA60" s="18"/>
      <c r="AB60" s="24"/>
      <c r="AC60" s="24"/>
      <c r="AD60" s="24"/>
      <c r="AE60" s="18"/>
      <c r="AF60" s="18"/>
      <c r="AG60" s="25"/>
      <c r="AH60" s="18"/>
      <c r="AI60" s="18"/>
      <c r="AJ60" s="18"/>
    </row>
    <row r="61" spans="1:36">
      <c r="A61" s="18"/>
      <c r="B61" s="45"/>
      <c r="C61" s="18"/>
      <c r="D61" s="19"/>
      <c r="E61" s="18"/>
      <c r="F61" s="74"/>
      <c r="G61" s="57"/>
      <c r="H61" s="18"/>
      <c r="I61" s="18"/>
      <c r="J61" s="18"/>
      <c r="K61" s="18"/>
      <c r="L61" s="18"/>
      <c r="M61" s="29"/>
      <c r="N61" s="18"/>
      <c r="O61" s="18"/>
      <c r="P61" s="18"/>
      <c r="Q61" s="18"/>
      <c r="R61" s="18"/>
      <c r="S61" s="18"/>
      <c r="T61" s="18"/>
      <c r="U61" s="18"/>
      <c r="V61" s="18"/>
      <c r="W61" s="18"/>
      <c r="X61" s="18"/>
      <c r="Y61" s="18"/>
      <c r="Z61" s="18"/>
      <c r="AA61" s="18"/>
      <c r="AB61" s="24"/>
      <c r="AC61" s="24"/>
      <c r="AD61" s="24"/>
      <c r="AE61" s="18"/>
      <c r="AF61" s="18"/>
      <c r="AG61" s="25"/>
      <c r="AH61" s="18"/>
      <c r="AI61" s="18"/>
      <c r="AJ61" s="18"/>
    </row>
    <row r="62" spans="1:36">
      <c r="A62" s="18"/>
      <c r="B62" s="45"/>
      <c r="C62" s="18"/>
      <c r="D62" s="19"/>
      <c r="E62" s="18"/>
      <c r="F62" s="74"/>
      <c r="G62" s="57"/>
      <c r="H62" s="18"/>
      <c r="I62" s="18"/>
      <c r="J62" s="18"/>
      <c r="K62" s="18"/>
      <c r="L62" s="18"/>
      <c r="M62" s="29"/>
      <c r="N62" s="18"/>
      <c r="O62" s="18"/>
      <c r="P62" s="18"/>
      <c r="Q62" s="18"/>
      <c r="R62" s="18"/>
      <c r="S62" s="18"/>
      <c r="T62" s="18"/>
      <c r="U62" s="18"/>
      <c r="V62" s="18"/>
      <c r="W62" s="18"/>
      <c r="X62" s="18"/>
      <c r="Y62" s="18"/>
      <c r="Z62" s="18"/>
      <c r="AA62" s="18"/>
      <c r="AB62" s="24"/>
      <c r="AC62" s="24"/>
      <c r="AD62" s="24"/>
      <c r="AE62" s="18"/>
      <c r="AF62" s="18"/>
      <c r="AG62" s="25"/>
      <c r="AH62" s="18"/>
      <c r="AI62" s="18"/>
      <c r="AJ62" s="18"/>
    </row>
    <row r="63" spans="1:36">
      <c r="A63" s="18"/>
      <c r="B63" s="45"/>
      <c r="C63" s="18"/>
      <c r="D63" s="19"/>
      <c r="E63" s="18"/>
      <c r="F63" s="74"/>
      <c r="G63" s="57"/>
      <c r="H63" s="18"/>
      <c r="I63" s="18"/>
      <c r="J63" s="18"/>
      <c r="K63" s="18"/>
      <c r="L63" s="18"/>
      <c r="M63" s="29"/>
      <c r="N63" s="18"/>
      <c r="O63" s="18"/>
      <c r="P63" s="18"/>
      <c r="Q63" s="18"/>
      <c r="R63" s="18"/>
      <c r="S63" s="18"/>
      <c r="T63" s="18"/>
      <c r="U63" s="18"/>
      <c r="V63" s="18"/>
      <c r="W63" s="18"/>
      <c r="X63" s="18"/>
      <c r="Y63" s="18"/>
      <c r="Z63" s="18"/>
      <c r="AA63" s="18"/>
      <c r="AB63" s="24"/>
      <c r="AC63" s="24"/>
      <c r="AD63" s="24"/>
      <c r="AE63" s="18"/>
      <c r="AF63" s="18"/>
      <c r="AG63" s="25"/>
      <c r="AH63" s="18"/>
      <c r="AI63" s="18"/>
      <c r="AJ63" s="18"/>
    </row>
    <row r="64" spans="1:36">
      <c r="A64" s="18"/>
      <c r="B64" s="45"/>
      <c r="C64" s="18"/>
      <c r="D64" s="19"/>
      <c r="E64" s="18"/>
      <c r="F64" s="74"/>
      <c r="G64" s="57"/>
      <c r="H64" s="18"/>
      <c r="I64" s="18"/>
      <c r="J64" s="18"/>
      <c r="K64" s="18"/>
      <c r="L64" s="18"/>
      <c r="M64" s="29"/>
      <c r="N64" s="18"/>
      <c r="O64" s="18"/>
      <c r="P64" s="18"/>
      <c r="Q64" s="18"/>
      <c r="R64" s="18"/>
      <c r="S64" s="18"/>
      <c r="T64" s="18"/>
      <c r="U64" s="18"/>
      <c r="V64" s="18"/>
      <c r="W64" s="18"/>
      <c r="X64" s="18"/>
      <c r="Y64" s="18"/>
      <c r="Z64" s="18"/>
      <c r="AA64" s="18"/>
      <c r="AB64" s="24"/>
      <c r="AC64" s="24"/>
      <c r="AD64" s="24"/>
      <c r="AE64" s="18"/>
      <c r="AF64" s="18"/>
      <c r="AG64" s="25"/>
      <c r="AH64" s="18"/>
      <c r="AI64" s="18"/>
      <c r="AJ64" s="18"/>
    </row>
    <row r="65" spans="1:36">
      <c r="A65" s="18"/>
      <c r="B65" s="45"/>
      <c r="C65" s="18"/>
      <c r="D65" s="19"/>
      <c r="E65" s="18"/>
      <c r="F65" s="74"/>
      <c r="G65" s="57"/>
      <c r="H65" s="18"/>
      <c r="I65" s="18"/>
      <c r="J65" s="18"/>
      <c r="K65" s="18"/>
      <c r="L65" s="18"/>
      <c r="M65" s="29"/>
      <c r="N65" s="18"/>
      <c r="O65" s="18"/>
      <c r="P65" s="18"/>
      <c r="Q65" s="18"/>
      <c r="R65" s="18"/>
      <c r="S65" s="18"/>
      <c r="T65" s="18"/>
      <c r="U65" s="18"/>
      <c r="V65" s="18"/>
      <c r="W65" s="18"/>
      <c r="X65" s="18"/>
      <c r="Y65" s="18"/>
      <c r="Z65" s="18"/>
      <c r="AA65" s="18"/>
      <c r="AB65" s="24"/>
      <c r="AC65" s="24"/>
      <c r="AD65" s="24"/>
      <c r="AE65" s="18"/>
      <c r="AF65" s="18"/>
      <c r="AG65" s="25"/>
      <c r="AH65" s="18"/>
      <c r="AI65" s="18"/>
      <c r="AJ65" s="18"/>
    </row>
    <row r="66" spans="1:36">
      <c r="A66" s="18"/>
      <c r="B66" s="45"/>
      <c r="C66" s="18"/>
      <c r="D66" s="19"/>
      <c r="E66" s="18"/>
      <c r="F66" s="74"/>
      <c r="G66" s="57"/>
      <c r="H66" s="18"/>
      <c r="I66" s="18"/>
      <c r="J66" s="18"/>
      <c r="K66" s="18"/>
      <c r="L66" s="18"/>
      <c r="M66" s="29"/>
      <c r="N66" s="18"/>
      <c r="O66" s="18"/>
      <c r="P66" s="18"/>
      <c r="Q66" s="18"/>
      <c r="R66" s="18"/>
      <c r="S66" s="18"/>
      <c r="T66" s="18"/>
      <c r="U66" s="18"/>
      <c r="V66" s="18"/>
      <c r="W66" s="18"/>
      <c r="X66" s="18"/>
      <c r="Y66" s="18"/>
      <c r="Z66" s="18"/>
      <c r="AA66" s="18"/>
      <c r="AB66" s="24"/>
      <c r="AC66" s="24"/>
      <c r="AD66" s="24"/>
      <c r="AE66" s="18"/>
      <c r="AF66" s="18"/>
      <c r="AG66" s="25"/>
      <c r="AH66" s="18"/>
      <c r="AI66" s="18"/>
      <c r="AJ66" s="18"/>
    </row>
    <row r="67" spans="1:36">
      <c r="A67" s="18"/>
      <c r="B67" s="45"/>
      <c r="C67" s="18"/>
      <c r="D67" s="19"/>
      <c r="E67" s="18"/>
      <c r="F67" s="74"/>
      <c r="G67" s="57"/>
      <c r="H67" s="18"/>
      <c r="I67" s="18"/>
      <c r="J67" s="18"/>
      <c r="K67" s="18"/>
      <c r="L67" s="18"/>
      <c r="M67" s="29"/>
      <c r="N67" s="18"/>
      <c r="O67" s="18"/>
      <c r="P67" s="18"/>
      <c r="Q67" s="18"/>
      <c r="R67" s="18"/>
      <c r="S67" s="18"/>
      <c r="T67" s="18"/>
      <c r="U67" s="18"/>
      <c r="V67" s="18"/>
      <c r="W67" s="18"/>
      <c r="X67" s="18"/>
      <c r="Y67" s="18"/>
      <c r="Z67" s="18"/>
      <c r="AA67" s="18"/>
      <c r="AB67" s="24"/>
      <c r="AC67" s="24"/>
      <c r="AD67" s="24"/>
      <c r="AE67" s="18"/>
      <c r="AF67" s="18"/>
      <c r="AG67" s="25"/>
      <c r="AH67" s="18"/>
      <c r="AI67" s="18"/>
      <c r="AJ67" s="18"/>
    </row>
    <row r="68" spans="1:36">
      <c r="A68" s="18"/>
      <c r="B68" s="45"/>
      <c r="C68" s="18"/>
      <c r="D68" s="19"/>
      <c r="E68" s="18"/>
      <c r="F68" s="74"/>
      <c r="G68" s="57"/>
      <c r="H68" s="18"/>
      <c r="I68" s="18"/>
      <c r="J68" s="18"/>
      <c r="K68" s="18"/>
      <c r="L68" s="18"/>
      <c r="M68" s="29"/>
      <c r="N68" s="18"/>
      <c r="O68" s="18"/>
      <c r="P68" s="18"/>
      <c r="Q68" s="18"/>
      <c r="R68" s="18"/>
      <c r="S68" s="18"/>
      <c r="T68" s="18"/>
      <c r="U68" s="18"/>
      <c r="V68" s="18"/>
      <c r="W68" s="18"/>
      <c r="X68" s="18"/>
      <c r="Y68" s="18"/>
      <c r="Z68" s="18"/>
      <c r="AA68" s="18"/>
      <c r="AB68" s="24"/>
      <c r="AC68" s="24"/>
      <c r="AD68" s="24"/>
      <c r="AE68" s="18"/>
      <c r="AF68" s="18"/>
      <c r="AG68" s="25"/>
      <c r="AH68" s="18"/>
      <c r="AI68" s="18"/>
      <c r="AJ68" s="18"/>
    </row>
    <row r="69" spans="1:36">
      <c r="A69" s="18"/>
      <c r="B69" s="45"/>
      <c r="C69" s="18"/>
      <c r="D69" s="19"/>
      <c r="E69" s="18"/>
      <c r="F69" s="74"/>
      <c r="G69" s="57"/>
      <c r="H69" s="18"/>
      <c r="I69" s="18"/>
      <c r="J69" s="18"/>
      <c r="K69" s="18"/>
      <c r="L69" s="18"/>
      <c r="M69" s="29"/>
      <c r="N69" s="18"/>
      <c r="O69" s="18"/>
      <c r="P69" s="18"/>
      <c r="Q69" s="18"/>
      <c r="R69" s="18"/>
      <c r="S69" s="18"/>
      <c r="T69" s="18"/>
      <c r="U69" s="18"/>
      <c r="V69" s="18"/>
      <c r="W69" s="18"/>
      <c r="X69" s="18"/>
      <c r="Y69" s="18"/>
      <c r="Z69" s="18"/>
      <c r="AA69" s="18"/>
      <c r="AB69" s="24"/>
      <c r="AC69" s="24"/>
      <c r="AD69" s="24"/>
      <c r="AE69" s="18"/>
      <c r="AF69" s="18"/>
      <c r="AG69" s="25"/>
      <c r="AH69" s="18"/>
      <c r="AI69" s="18"/>
      <c r="AJ69" s="18"/>
    </row>
    <row r="70" spans="1:36">
      <c r="A70" s="18"/>
      <c r="B70" s="45"/>
      <c r="C70" s="18"/>
      <c r="D70" s="19"/>
      <c r="E70" s="18"/>
      <c r="F70" s="74"/>
      <c r="G70" s="57"/>
      <c r="H70" s="18"/>
      <c r="I70" s="18"/>
      <c r="J70" s="18"/>
      <c r="K70" s="18"/>
      <c r="L70" s="18"/>
      <c r="M70" s="29"/>
      <c r="N70" s="18"/>
      <c r="O70" s="18"/>
      <c r="P70" s="18"/>
      <c r="Q70" s="18"/>
      <c r="R70" s="18"/>
      <c r="S70" s="18"/>
      <c r="T70" s="18"/>
      <c r="U70" s="18"/>
      <c r="V70" s="18"/>
      <c r="W70" s="18"/>
      <c r="X70" s="18"/>
      <c r="Y70" s="18"/>
      <c r="Z70" s="18"/>
      <c r="AA70" s="18"/>
      <c r="AB70" s="24"/>
      <c r="AC70" s="24"/>
      <c r="AD70" s="24"/>
      <c r="AE70" s="18"/>
      <c r="AF70" s="18"/>
      <c r="AG70" s="25"/>
      <c r="AH70" s="18"/>
      <c r="AI70" s="18"/>
      <c r="AJ70" s="18"/>
    </row>
    <row r="71" spans="1:36">
      <c r="A71" s="18"/>
      <c r="B71" s="45"/>
      <c r="C71" s="18"/>
      <c r="D71" s="19"/>
      <c r="E71" s="18"/>
      <c r="F71" s="74"/>
      <c r="G71" s="57"/>
      <c r="H71" s="18"/>
      <c r="I71" s="18"/>
      <c r="J71" s="18"/>
      <c r="K71" s="18"/>
      <c r="L71" s="18"/>
      <c r="M71" s="29"/>
      <c r="N71" s="18"/>
      <c r="O71" s="18"/>
      <c r="P71" s="18"/>
      <c r="Q71" s="18"/>
      <c r="R71" s="18"/>
      <c r="S71" s="18"/>
      <c r="T71" s="18"/>
      <c r="U71" s="18"/>
      <c r="V71" s="18"/>
      <c r="W71" s="18"/>
      <c r="X71" s="18"/>
      <c r="Y71" s="18"/>
      <c r="Z71" s="18"/>
      <c r="AA71" s="18"/>
      <c r="AB71" s="24"/>
      <c r="AC71" s="24"/>
      <c r="AD71" s="24"/>
      <c r="AE71" s="18"/>
      <c r="AF71" s="18"/>
      <c r="AG71" s="25"/>
      <c r="AH71" s="18"/>
      <c r="AI71" s="18"/>
      <c r="AJ71" s="18"/>
    </row>
    <row r="72" spans="1:36">
      <c r="A72" s="18"/>
      <c r="B72" s="45"/>
      <c r="C72" s="18"/>
      <c r="D72" s="19"/>
      <c r="E72" s="18"/>
      <c r="F72" s="74"/>
      <c r="G72" s="57"/>
      <c r="H72" s="18"/>
      <c r="I72" s="18"/>
      <c r="J72" s="18"/>
      <c r="K72" s="18"/>
      <c r="L72" s="18"/>
      <c r="M72" s="29"/>
      <c r="N72" s="18"/>
      <c r="O72" s="18"/>
      <c r="P72" s="18"/>
      <c r="Q72" s="18"/>
      <c r="R72" s="18"/>
      <c r="S72" s="18"/>
      <c r="T72" s="18"/>
      <c r="U72" s="18"/>
      <c r="V72" s="18"/>
      <c r="W72" s="18"/>
      <c r="X72" s="18"/>
      <c r="Y72" s="18"/>
      <c r="Z72" s="18"/>
      <c r="AA72" s="18"/>
      <c r="AB72" s="24"/>
      <c r="AC72" s="24"/>
      <c r="AD72" s="24"/>
      <c r="AE72" s="18"/>
      <c r="AF72" s="18"/>
      <c r="AG72" s="25"/>
      <c r="AH72" s="18"/>
      <c r="AI72" s="18"/>
      <c r="AJ72" s="18"/>
    </row>
    <row r="73" spans="1:36">
      <c r="A73" s="18"/>
      <c r="B73" s="45"/>
      <c r="C73" s="18"/>
      <c r="D73" s="19"/>
      <c r="E73" s="18"/>
      <c r="F73" s="74"/>
      <c r="G73" s="57"/>
      <c r="H73" s="18"/>
      <c r="I73" s="18"/>
      <c r="J73" s="18"/>
      <c r="K73" s="18"/>
      <c r="L73" s="18"/>
      <c r="M73" s="29"/>
      <c r="N73" s="18"/>
      <c r="O73" s="18"/>
      <c r="P73" s="18"/>
      <c r="Q73" s="18"/>
      <c r="R73" s="18"/>
      <c r="S73" s="18"/>
      <c r="T73" s="18"/>
      <c r="U73" s="18"/>
      <c r="V73" s="18"/>
      <c r="W73" s="18"/>
      <c r="X73" s="18"/>
      <c r="Y73" s="18"/>
      <c r="Z73" s="18"/>
      <c r="AA73" s="18"/>
      <c r="AB73" s="24"/>
      <c r="AC73" s="24"/>
      <c r="AD73" s="24"/>
      <c r="AE73" s="18"/>
      <c r="AF73" s="18"/>
      <c r="AG73" s="25"/>
      <c r="AH73" s="18"/>
      <c r="AI73" s="18"/>
      <c r="AJ73" s="18"/>
    </row>
    <row r="74" spans="1:36">
      <c r="A74" s="18"/>
      <c r="B74" s="45"/>
      <c r="C74" s="18"/>
      <c r="D74" s="19"/>
      <c r="E74" s="18"/>
      <c r="F74" s="74"/>
      <c r="G74" s="57"/>
      <c r="H74" s="18"/>
      <c r="I74" s="18"/>
      <c r="J74" s="18"/>
      <c r="K74" s="18"/>
      <c r="L74" s="18"/>
      <c r="M74" s="29"/>
      <c r="N74" s="18"/>
      <c r="O74" s="18"/>
      <c r="P74" s="18"/>
      <c r="Q74" s="18"/>
      <c r="R74" s="18"/>
      <c r="S74" s="18"/>
      <c r="T74" s="18"/>
      <c r="U74" s="18"/>
      <c r="V74" s="18"/>
      <c r="W74" s="18"/>
      <c r="X74" s="18"/>
      <c r="Y74" s="18"/>
      <c r="Z74" s="18"/>
      <c r="AA74" s="18"/>
      <c r="AB74" s="24"/>
      <c r="AC74" s="24"/>
      <c r="AD74" s="24"/>
      <c r="AE74" s="18"/>
      <c r="AF74" s="18"/>
      <c r="AG74" s="25"/>
      <c r="AH74" s="18"/>
      <c r="AI74" s="18"/>
      <c r="AJ74" s="18"/>
    </row>
    <row r="75" spans="1:36">
      <c r="A75" s="18"/>
      <c r="B75" s="45"/>
      <c r="C75" s="18"/>
      <c r="D75" s="19"/>
      <c r="E75" s="18"/>
      <c r="F75" s="74"/>
      <c r="G75" s="57"/>
      <c r="H75" s="18"/>
      <c r="I75" s="18"/>
      <c r="J75" s="18"/>
      <c r="K75" s="18"/>
      <c r="L75" s="18"/>
      <c r="M75" s="29"/>
      <c r="N75" s="18"/>
      <c r="O75" s="18"/>
      <c r="P75" s="18"/>
      <c r="Q75" s="18"/>
      <c r="R75" s="18"/>
      <c r="S75" s="18"/>
      <c r="T75" s="18"/>
      <c r="U75" s="18"/>
      <c r="V75" s="18"/>
      <c r="W75" s="18"/>
      <c r="X75" s="18"/>
      <c r="Y75" s="18"/>
      <c r="Z75" s="18"/>
      <c r="AA75" s="18"/>
      <c r="AB75" s="24"/>
      <c r="AC75" s="24"/>
      <c r="AD75" s="24"/>
      <c r="AE75" s="18"/>
      <c r="AF75" s="18"/>
      <c r="AG75" s="25"/>
      <c r="AH75" s="18"/>
      <c r="AI75" s="18"/>
      <c r="AJ75" s="18"/>
    </row>
    <row r="76" spans="1:36">
      <c r="A76" s="18"/>
      <c r="B76" s="45"/>
      <c r="C76" s="18"/>
      <c r="D76" s="19"/>
      <c r="E76" s="18"/>
      <c r="F76" s="74"/>
      <c r="G76" s="57"/>
      <c r="H76" s="18"/>
      <c r="I76" s="18"/>
      <c r="J76" s="18"/>
      <c r="K76" s="18"/>
      <c r="L76" s="18"/>
      <c r="M76" s="29"/>
      <c r="N76" s="18"/>
      <c r="O76" s="18"/>
      <c r="P76" s="18"/>
      <c r="Q76" s="18"/>
      <c r="R76" s="18"/>
      <c r="S76" s="18"/>
      <c r="T76" s="18"/>
      <c r="U76" s="18"/>
      <c r="V76" s="18"/>
      <c r="W76" s="18"/>
      <c r="X76" s="18"/>
      <c r="Y76" s="18"/>
      <c r="Z76" s="18"/>
      <c r="AA76" s="18"/>
      <c r="AB76" s="24"/>
      <c r="AC76" s="24"/>
      <c r="AD76" s="24"/>
      <c r="AE76" s="18"/>
      <c r="AF76" s="18"/>
      <c r="AG76" s="25"/>
      <c r="AH76" s="18"/>
      <c r="AI76" s="18"/>
      <c r="AJ76" s="18"/>
    </row>
    <row r="77" spans="1:36">
      <c r="A77" s="18"/>
      <c r="B77" s="45"/>
      <c r="C77" s="18"/>
      <c r="D77" s="19"/>
      <c r="E77" s="18"/>
      <c r="F77" s="74"/>
      <c r="G77" s="57"/>
      <c r="H77" s="18"/>
      <c r="I77" s="18"/>
      <c r="J77" s="18"/>
      <c r="K77" s="18"/>
      <c r="L77" s="18"/>
      <c r="M77" s="29"/>
      <c r="N77" s="18"/>
      <c r="O77" s="18"/>
      <c r="P77" s="18"/>
      <c r="Q77" s="18"/>
      <c r="R77" s="18"/>
      <c r="S77" s="18"/>
      <c r="T77" s="18"/>
      <c r="U77" s="18"/>
      <c r="V77" s="18"/>
      <c r="W77" s="18"/>
      <c r="X77" s="18"/>
      <c r="Y77" s="18"/>
      <c r="Z77" s="18"/>
      <c r="AA77" s="18"/>
      <c r="AB77" s="24"/>
      <c r="AC77" s="24"/>
      <c r="AD77" s="24"/>
      <c r="AE77" s="18"/>
      <c r="AF77" s="18"/>
      <c r="AG77" s="25"/>
      <c r="AH77" s="18"/>
      <c r="AI77" s="18"/>
      <c r="AJ77" s="18"/>
    </row>
    <row r="78" spans="1:36">
      <c r="A78" s="18"/>
      <c r="B78" s="45"/>
      <c r="C78" s="18"/>
      <c r="D78" s="19"/>
      <c r="E78" s="18"/>
      <c r="F78" s="74"/>
      <c r="G78" s="57"/>
      <c r="H78" s="18"/>
      <c r="I78" s="18"/>
      <c r="J78" s="18"/>
      <c r="K78" s="18"/>
      <c r="L78" s="18"/>
      <c r="M78" s="29"/>
      <c r="N78" s="18"/>
      <c r="O78" s="18"/>
      <c r="P78" s="18"/>
      <c r="Q78" s="18"/>
      <c r="R78" s="18"/>
      <c r="S78" s="18"/>
      <c r="T78" s="18"/>
      <c r="U78" s="18"/>
      <c r="V78" s="18"/>
      <c r="W78" s="18"/>
      <c r="X78" s="18"/>
      <c r="Y78" s="18"/>
      <c r="Z78" s="18"/>
      <c r="AA78" s="18"/>
      <c r="AB78" s="24"/>
      <c r="AC78" s="24"/>
      <c r="AD78" s="24"/>
      <c r="AE78" s="18"/>
      <c r="AF78" s="18"/>
      <c r="AG78" s="25"/>
      <c r="AH78" s="18"/>
      <c r="AI78" s="18"/>
      <c r="AJ78" s="18"/>
    </row>
    <row r="79" spans="1:36">
      <c r="A79" s="18"/>
      <c r="B79" s="45"/>
      <c r="C79" s="18"/>
      <c r="D79" s="19"/>
      <c r="E79" s="18"/>
      <c r="F79" s="74"/>
      <c r="G79" s="57"/>
      <c r="H79" s="18"/>
      <c r="I79" s="18"/>
      <c r="J79" s="18"/>
      <c r="K79" s="18"/>
      <c r="L79" s="18"/>
      <c r="M79" s="29"/>
      <c r="N79" s="18"/>
      <c r="O79" s="18"/>
      <c r="P79" s="18"/>
      <c r="Q79" s="18"/>
      <c r="R79" s="18"/>
      <c r="S79" s="18"/>
      <c r="T79" s="18"/>
      <c r="U79" s="18"/>
      <c r="V79" s="18"/>
      <c r="W79" s="18"/>
      <c r="X79" s="18"/>
      <c r="Y79" s="18"/>
      <c r="Z79" s="18"/>
      <c r="AA79" s="18"/>
      <c r="AB79" s="24"/>
      <c r="AC79" s="24"/>
      <c r="AD79" s="24"/>
      <c r="AE79" s="18"/>
      <c r="AF79" s="18"/>
      <c r="AG79" s="25"/>
      <c r="AH79" s="18"/>
      <c r="AI79" s="18"/>
      <c r="AJ79" s="18"/>
    </row>
    <row r="80" spans="1:36">
      <c r="A80" s="18"/>
      <c r="B80" s="45"/>
      <c r="C80" s="18"/>
      <c r="D80" s="19"/>
      <c r="E80" s="18"/>
      <c r="F80" s="74"/>
      <c r="G80" s="57"/>
      <c r="H80" s="18"/>
      <c r="I80" s="18"/>
      <c r="J80" s="18"/>
      <c r="K80" s="18"/>
      <c r="L80" s="18"/>
      <c r="M80" s="29"/>
      <c r="N80" s="18"/>
      <c r="O80" s="18"/>
      <c r="P80" s="18"/>
      <c r="Q80" s="18"/>
      <c r="R80" s="18"/>
      <c r="S80" s="18"/>
      <c r="T80" s="18"/>
      <c r="U80" s="18"/>
      <c r="V80" s="18"/>
      <c r="W80" s="18"/>
      <c r="X80" s="18"/>
      <c r="Y80" s="18"/>
      <c r="Z80" s="18"/>
      <c r="AA80" s="18"/>
      <c r="AB80" s="24"/>
      <c r="AC80" s="24"/>
      <c r="AD80" s="24"/>
      <c r="AE80" s="18"/>
      <c r="AF80" s="18"/>
      <c r="AG80" s="25"/>
      <c r="AH80" s="18"/>
      <c r="AI80" s="18"/>
      <c r="AJ80" s="18"/>
    </row>
    <row r="81" spans="1:36">
      <c r="A81" s="18"/>
      <c r="B81" s="45"/>
      <c r="C81" s="18"/>
      <c r="D81" s="19"/>
      <c r="E81" s="18"/>
      <c r="F81" s="74"/>
      <c r="G81" s="57"/>
      <c r="H81" s="18"/>
      <c r="I81" s="18"/>
      <c r="J81" s="18"/>
      <c r="K81" s="18"/>
      <c r="L81" s="18"/>
      <c r="M81" s="29"/>
      <c r="N81" s="18"/>
      <c r="O81" s="18"/>
      <c r="P81" s="18"/>
      <c r="Q81" s="18"/>
      <c r="R81" s="18"/>
      <c r="S81" s="18"/>
      <c r="T81" s="18"/>
      <c r="U81" s="18"/>
      <c r="V81" s="18"/>
      <c r="W81" s="18"/>
      <c r="X81" s="18"/>
      <c r="Y81" s="18"/>
      <c r="Z81" s="18"/>
      <c r="AA81" s="18"/>
      <c r="AB81" s="24"/>
      <c r="AC81" s="24"/>
      <c r="AD81" s="24"/>
      <c r="AE81" s="18"/>
      <c r="AF81" s="18"/>
      <c r="AG81" s="25"/>
      <c r="AH81" s="18"/>
      <c r="AI81" s="18"/>
      <c r="AJ81" s="18"/>
    </row>
    <row r="82" spans="1:36">
      <c r="A82" s="18"/>
      <c r="B82" s="45"/>
      <c r="C82" s="18"/>
      <c r="D82" s="19"/>
      <c r="E82" s="18"/>
      <c r="F82" s="74"/>
      <c r="G82" s="57"/>
      <c r="H82" s="18"/>
      <c r="I82" s="18"/>
      <c r="J82" s="18"/>
      <c r="K82" s="18"/>
      <c r="L82" s="18"/>
      <c r="M82" s="29"/>
      <c r="N82" s="18"/>
      <c r="O82" s="18"/>
      <c r="P82" s="18"/>
      <c r="Q82" s="18"/>
      <c r="R82" s="18"/>
      <c r="S82" s="18"/>
      <c r="T82" s="18"/>
      <c r="U82" s="18"/>
      <c r="V82" s="18"/>
      <c r="W82" s="18"/>
      <c r="X82" s="18"/>
      <c r="Y82" s="18"/>
      <c r="Z82" s="18"/>
      <c r="AA82" s="18"/>
      <c r="AB82" s="24"/>
      <c r="AC82" s="24"/>
      <c r="AD82" s="24"/>
      <c r="AE82" s="18"/>
      <c r="AF82" s="18"/>
      <c r="AG82" s="25"/>
      <c r="AH82" s="18"/>
      <c r="AI82" s="18"/>
      <c r="AJ82" s="18"/>
    </row>
    <row r="83" spans="1:36">
      <c r="A83" s="18"/>
      <c r="B83" s="45"/>
      <c r="C83" s="18"/>
      <c r="D83" s="19"/>
      <c r="E83" s="18"/>
      <c r="F83" s="74"/>
      <c r="G83" s="57"/>
      <c r="H83" s="18"/>
      <c r="I83" s="18"/>
      <c r="J83" s="18"/>
      <c r="K83" s="18"/>
      <c r="L83" s="18"/>
      <c r="M83" s="29"/>
      <c r="N83" s="18"/>
      <c r="O83" s="18"/>
      <c r="P83" s="18"/>
      <c r="Q83" s="18"/>
      <c r="R83" s="18"/>
      <c r="S83" s="18"/>
      <c r="T83" s="18"/>
      <c r="U83" s="18"/>
      <c r="V83" s="18"/>
      <c r="W83" s="18"/>
      <c r="X83" s="18"/>
      <c r="Y83" s="18"/>
      <c r="Z83" s="18"/>
      <c r="AA83" s="18"/>
      <c r="AB83" s="24"/>
      <c r="AC83" s="24"/>
      <c r="AD83" s="24"/>
      <c r="AE83" s="18"/>
      <c r="AF83" s="18"/>
      <c r="AG83" s="25"/>
      <c r="AH83" s="18"/>
      <c r="AI83" s="18"/>
      <c r="AJ83" s="18"/>
    </row>
    <row r="84" spans="1:36">
      <c r="A84" s="18"/>
      <c r="B84" s="45"/>
      <c r="C84" s="18"/>
      <c r="D84" s="19"/>
      <c r="E84" s="18"/>
      <c r="F84" s="74"/>
      <c r="G84" s="57"/>
      <c r="H84" s="18"/>
      <c r="I84" s="18"/>
      <c r="J84" s="18"/>
      <c r="K84" s="18"/>
      <c r="L84" s="18"/>
      <c r="M84" s="29"/>
      <c r="N84" s="18"/>
      <c r="O84" s="18"/>
      <c r="P84" s="18"/>
      <c r="Q84" s="18"/>
      <c r="R84" s="18"/>
      <c r="S84" s="18"/>
      <c r="T84" s="18"/>
      <c r="U84" s="18"/>
      <c r="V84" s="18"/>
      <c r="W84" s="18"/>
      <c r="X84" s="18"/>
      <c r="Y84" s="18"/>
      <c r="Z84" s="18"/>
      <c r="AA84" s="18"/>
      <c r="AB84" s="24"/>
      <c r="AC84" s="24"/>
      <c r="AD84" s="24"/>
      <c r="AE84" s="18"/>
      <c r="AF84" s="18"/>
      <c r="AG84" s="25"/>
      <c r="AH84" s="18"/>
      <c r="AI84" s="18"/>
      <c r="AJ84" s="18"/>
    </row>
    <row r="85" spans="1:36">
      <c r="A85" s="18"/>
      <c r="B85" s="45"/>
      <c r="C85" s="18"/>
      <c r="D85" s="19"/>
      <c r="E85" s="18"/>
      <c r="F85" s="74"/>
      <c r="G85" s="57"/>
      <c r="H85" s="18"/>
      <c r="I85" s="18"/>
      <c r="J85" s="18"/>
      <c r="K85" s="18"/>
      <c r="L85" s="18"/>
      <c r="M85" s="29"/>
      <c r="N85" s="18"/>
      <c r="O85" s="18"/>
      <c r="P85" s="18"/>
      <c r="Q85" s="18"/>
      <c r="R85" s="18"/>
      <c r="S85" s="18"/>
      <c r="T85" s="18"/>
      <c r="U85" s="18"/>
      <c r="V85" s="18"/>
      <c r="W85" s="18"/>
      <c r="X85" s="18"/>
      <c r="Y85" s="18"/>
      <c r="Z85" s="18"/>
      <c r="AA85" s="18"/>
      <c r="AB85" s="24"/>
      <c r="AC85" s="24"/>
      <c r="AD85" s="24"/>
      <c r="AE85" s="18"/>
      <c r="AF85" s="18"/>
      <c r="AG85" s="25"/>
      <c r="AH85" s="18"/>
      <c r="AI85" s="18"/>
      <c r="AJ85" s="18"/>
    </row>
    <row r="86" spans="1:36">
      <c r="A86" s="18"/>
      <c r="B86" s="45"/>
      <c r="C86" s="18"/>
      <c r="D86" s="19"/>
      <c r="E86" s="18"/>
      <c r="F86" s="74"/>
      <c r="G86" s="57"/>
      <c r="H86" s="18"/>
      <c r="I86" s="18"/>
      <c r="J86" s="18"/>
      <c r="K86" s="18"/>
      <c r="L86" s="18"/>
      <c r="M86" s="29"/>
      <c r="N86" s="18"/>
      <c r="O86" s="18"/>
      <c r="P86" s="18"/>
      <c r="Q86" s="18"/>
      <c r="R86" s="18"/>
      <c r="S86" s="18"/>
      <c r="T86" s="18"/>
      <c r="U86" s="18"/>
      <c r="V86" s="18"/>
      <c r="W86" s="18"/>
      <c r="X86" s="18"/>
      <c r="Y86" s="18"/>
      <c r="Z86" s="18"/>
      <c r="AA86" s="18"/>
      <c r="AB86" s="24"/>
      <c r="AC86" s="24"/>
      <c r="AD86" s="24"/>
      <c r="AE86" s="18"/>
      <c r="AF86" s="18"/>
      <c r="AG86" s="25"/>
      <c r="AH86" s="18"/>
      <c r="AI86" s="18"/>
      <c r="AJ86" s="18"/>
    </row>
    <row r="87" spans="1:36">
      <c r="A87" s="18"/>
      <c r="B87" s="45"/>
      <c r="C87" s="18"/>
      <c r="D87" s="19"/>
      <c r="E87" s="18"/>
      <c r="F87" s="74"/>
      <c r="G87" s="57"/>
      <c r="H87" s="18"/>
      <c r="I87" s="18"/>
      <c r="J87" s="18"/>
      <c r="K87" s="18"/>
      <c r="L87" s="18"/>
      <c r="M87" s="29"/>
      <c r="N87" s="18"/>
      <c r="O87" s="18"/>
      <c r="P87" s="18"/>
      <c r="Q87" s="18"/>
      <c r="R87" s="18"/>
      <c r="S87" s="18"/>
      <c r="T87" s="18"/>
      <c r="U87" s="18"/>
      <c r="V87" s="18"/>
      <c r="W87" s="18"/>
      <c r="X87" s="18"/>
      <c r="Y87" s="18"/>
      <c r="Z87" s="18"/>
      <c r="AA87" s="18"/>
      <c r="AB87" s="24"/>
      <c r="AC87" s="24"/>
      <c r="AD87" s="24"/>
      <c r="AE87" s="18"/>
      <c r="AF87" s="18"/>
      <c r="AG87" s="25"/>
      <c r="AH87" s="18"/>
      <c r="AI87" s="18"/>
      <c r="AJ87" s="18"/>
    </row>
    <row r="88" spans="1:36">
      <c r="A88" s="18"/>
      <c r="B88" s="45"/>
      <c r="C88" s="18"/>
      <c r="D88" s="19"/>
      <c r="E88" s="18"/>
      <c r="F88" s="74"/>
      <c r="G88" s="57"/>
      <c r="H88" s="18"/>
      <c r="I88" s="18"/>
      <c r="J88" s="18"/>
      <c r="K88" s="18"/>
      <c r="L88" s="18"/>
      <c r="M88" s="29"/>
      <c r="N88" s="18"/>
      <c r="O88" s="18"/>
      <c r="P88" s="18"/>
      <c r="Q88" s="18"/>
      <c r="R88" s="18"/>
      <c r="S88" s="18"/>
      <c r="T88" s="18"/>
      <c r="U88" s="18"/>
      <c r="V88" s="18"/>
      <c r="W88" s="18"/>
      <c r="X88" s="18"/>
      <c r="Y88" s="18"/>
      <c r="Z88" s="18"/>
      <c r="AA88" s="18"/>
      <c r="AB88" s="24"/>
      <c r="AC88" s="24"/>
      <c r="AD88" s="24"/>
      <c r="AE88" s="18"/>
      <c r="AF88" s="18"/>
      <c r="AG88" s="25"/>
      <c r="AH88" s="18"/>
      <c r="AI88" s="18"/>
      <c r="AJ88" s="18"/>
    </row>
    <row r="89" spans="1:36">
      <c r="A89" s="18"/>
      <c r="B89" s="45"/>
      <c r="C89" s="18"/>
      <c r="D89" s="19"/>
      <c r="E89" s="18"/>
      <c r="F89" s="74"/>
      <c r="G89" s="57"/>
      <c r="H89" s="18"/>
      <c r="I89" s="18"/>
      <c r="J89" s="18"/>
      <c r="K89" s="18"/>
      <c r="L89" s="18"/>
      <c r="M89" s="29"/>
      <c r="N89" s="18"/>
      <c r="O89" s="18"/>
      <c r="P89" s="18"/>
      <c r="Q89" s="18"/>
      <c r="R89" s="18"/>
      <c r="S89" s="18"/>
      <c r="T89" s="18"/>
      <c r="U89" s="18"/>
      <c r="V89" s="18"/>
      <c r="W89" s="18"/>
      <c r="X89" s="18"/>
      <c r="Y89" s="18"/>
      <c r="Z89" s="18"/>
      <c r="AA89" s="18"/>
      <c r="AB89" s="24"/>
      <c r="AC89" s="24"/>
      <c r="AD89" s="24"/>
      <c r="AE89" s="18"/>
      <c r="AF89" s="18"/>
      <c r="AG89" s="25"/>
      <c r="AH89" s="18"/>
      <c r="AI89" s="18"/>
      <c r="AJ89" s="18"/>
    </row>
    <row r="90" spans="1:36">
      <c r="A90" s="18"/>
      <c r="B90" s="45"/>
      <c r="C90" s="18"/>
      <c r="D90" s="19"/>
      <c r="E90" s="18"/>
      <c r="F90" s="74"/>
      <c r="G90" s="57"/>
      <c r="H90" s="18"/>
      <c r="I90" s="18"/>
      <c r="J90" s="18"/>
      <c r="K90" s="18"/>
      <c r="L90" s="18"/>
      <c r="M90" s="29"/>
      <c r="N90" s="18"/>
      <c r="O90" s="18"/>
      <c r="P90" s="18"/>
      <c r="Q90" s="18"/>
      <c r="R90" s="18"/>
      <c r="S90" s="18"/>
      <c r="T90" s="18"/>
      <c r="U90" s="18"/>
      <c r="V90" s="18"/>
      <c r="W90" s="18"/>
      <c r="X90" s="18"/>
      <c r="Y90" s="18"/>
      <c r="Z90" s="18"/>
      <c r="AA90" s="18"/>
      <c r="AB90" s="24"/>
      <c r="AC90" s="24"/>
      <c r="AD90" s="24"/>
      <c r="AE90" s="18"/>
      <c r="AF90" s="18"/>
      <c r="AG90" s="25"/>
      <c r="AH90" s="18"/>
      <c r="AI90" s="18"/>
      <c r="AJ90" s="18"/>
    </row>
    <row r="91" spans="1:36">
      <c r="A91" s="18"/>
      <c r="B91" s="45"/>
      <c r="C91" s="18"/>
      <c r="D91" s="19"/>
      <c r="E91" s="18"/>
      <c r="F91" s="74"/>
      <c r="G91" s="57"/>
      <c r="H91" s="18"/>
      <c r="I91" s="18"/>
      <c r="J91" s="18"/>
      <c r="K91" s="18"/>
      <c r="L91" s="18"/>
      <c r="M91" s="29"/>
      <c r="N91" s="18"/>
      <c r="O91" s="18"/>
      <c r="P91" s="18"/>
      <c r="Q91" s="18"/>
      <c r="R91" s="18"/>
      <c r="S91" s="18"/>
      <c r="T91" s="18"/>
      <c r="U91" s="18"/>
      <c r="V91" s="18"/>
      <c r="W91" s="18"/>
      <c r="X91" s="18"/>
      <c r="Y91" s="18"/>
      <c r="Z91" s="18"/>
      <c r="AA91" s="18"/>
      <c r="AB91" s="24"/>
      <c r="AC91" s="24"/>
      <c r="AD91" s="24"/>
      <c r="AE91" s="18"/>
      <c r="AF91" s="18"/>
      <c r="AG91" s="25"/>
      <c r="AH91" s="18"/>
      <c r="AI91" s="18"/>
      <c r="AJ91" s="18"/>
    </row>
    <row r="92" spans="1:36">
      <c r="A92" s="18"/>
      <c r="B92" s="45"/>
      <c r="C92" s="18"/>
      <c r="D92" s="19"/>
      <c r="E92" s="18"/>
      <c r="F92" s="74"/>
      <c r="G92" s="57"/>
      <c r="H92" s="18"/>
      <c r="I92" s="18"/>
      <c r="J92" s="18"/>
      <c r="K92" s="18"/>
      <c r="L92" s="18"/>
      <c r="M92" s="29"/>
      <c r="N92" s="18"/>
      <c r="O92" s="18"/>
      <c r="P92" s="18"/>
      <c r="Q92" s="18"/>
      <c r="R92" s="18"/>
      <c r="S92" s="18"/>
      <c r="T92" s="18"/>
      <c r="U92" s="18"/>
      <c r="V92" s="18"/>
      <c r="W92" s="18"/>
      <c r="X92" s="18"/>
      <c r="Y92" s="18"/>
      <c r="Z92" s="18"/>
      <c r="AA92" s="18"/>
      <c r="AB92" s="24"/>
      <c r="AC92" s="24"/>
      <c r="AD92" s="24"/>
      <c r="AE92" s="18"/>
      <c r="AF92" s="18"/>
      <c r="AG92" s="25"/>
      <c r="AH92" s="18"/>
      <c r="AI92" s="18"/>
      <c r="AJ92" s="18"/>
    </row>
    <row r="93" spans="1:36">
      <c r="A93" s="18"/>
      <c r="B93" s="45"/>
      <c r="C93" s="18"/>
      <c r="D93" s="19"/>
      <c r="E93" s="18"/>
      <c r="F93" s="74"/>
      <c r="G93" s="57"/>
      <c r="H93" s="18"/>
      <c r="I93" s="18"/>
      <c r="J93" s="18"/>
      <c r="K93" s="18"/>
      <c r="L93" s="18"/>
      <c r="M93" s="29"/>
      <c r="N93" s="18"/>
      <c r="O93" s="18"/>
      <c r="P93" s="18"/>
      <c r="Q93" s="18"/>
      <c r="R93" s="18"/>
      <c r="S93" s="18"/>
      <c r="T93" s="18"/>
      <c r="U93" s="18"/>
      <c r="V93" s="18"/>
      <c r="W93" s="18"/>
      <c r="X93" s="18"/>
      <c r="Y93" s="18"/>
      <c r="Z93" s="18"/>
      <c r="AA93" s="18"/>
      <c r="AB93" s="24"/>
      <c r="AC93" s="24"/>
      <c r="AD93" s="24"/>
      <c r="AE93" s="18"/>
      <c r="AF93" s="18"/>
      <c r="AG93" s="25"/>
      <c r="AH93" s="18"/>
      <c r="AI93" s="18"/>
      <c r="AJ93" s="18"/>
    </row>
    <row r="94" spans="1:36">
      <c r="A94" s="18"/>
      <c r="B94" s="45"/>
      <c r="C94" s="18"/>
      <c r="D94" s="19"/>
      <c r="E94" s="18"/>
      <c r="F94" s="74"/>
      <c r="G94" s="57"/>
      <c r="H94" s="18"/>
      <c r="I94" s="18"/>
      <c r="J94" s="18"/>
      <c r="K94" s="18"/>
      <c r="L94" s="18"/>
      <c r="M94" s="29"/>
      <c r="N94" s="18"/>
      <c r="O94" s="18"/>
      <c r="P94" s="18"/>
      <c r="Q94" s="18"/>
      <c r="R94" s="18"/>
      <c r="S94" s="18"/>
      <c r="T94" s="18"/>
      <c r="U94" s="18"/>
      <c r="V94" s="18"/>
      <c r="W94" s="18"/>
      <c r="X94" s="18"/>
      <c r="Y94" s="18"/>
      <c r="Z94" s="18"/>
      <c r="AA94" s="18"/>
      <c r="AB94" s="24"/>
      <c r="AC94" s="24"/>
      <c r="AD94" s="24"/>
      <c r="AE94" s="18"/>
      <c r="AF94" s="18"/>
      <c r="AG94" s="25"/>
      <c r="AH94" s="18"/>
      <c r="AI94" s="18"/>
      <c r="AJ94" s="18"/>
    </row>
    <row r="95" spans="1:36">
      <c r="A95" s="18"/>
      <c r="B95" s="45"/>
      <c r="C95" s="18"/>
      <c r="D95" s="19"/>
      <c r="E95" s="18"/>
      <c r="F95" s="74"/>
      <c r="G95" s="57"/>
      <c r="H95" s="18"/>
      <c r="I95" s="18"/>
      <c r="J95" s="18"/>
      <c r="K95" s="18"/>
      <c r="L95" s="18"/>
      <c r="M95" s="29"/>
      <c r="N95" s="18"/>
      <c r="O95" s="18"/>
      <c r="P95" s="18"/>
      <c r="Q95" s="18"/>
      <c r="R95" s="18"/>
      <c r="S95" s="18"/>
      <c r="T95" s="18"/>
      <c r="U95" s="18"/>
      <c r="V95" s="18"/>
      <c r="W95" s="18"/>
      <c r="X95" s="18"/>
      <c r="Y95" s="18"/>
      <c r="Z95" s="18"/>
      <c r="AA95" s="18"/>
      <c r="AB95" s="24"/>
      <c r="AC95" s="24"/>
      <c r="AD95" s="24"/>
      <c r="AE95" s="18"/>
      <c r="AF95" s="18"/>
      <c r="AG95" s="25"/>
      <c r="AH95" s="18"/>
      <c r="AI95" s="18"/>
      <c r="AJ95" s="18"/>
    </row>
    <row r="96" spans="1:36">
      <c r="A96" s="18"/>
      <c r="B96" s="45"/>
      <c r="C96" s="18"/>
      <c r="D96" s="19"/>
      <c r="E96" s="18"/>
      <c r="F96" s="74"/>
      <c r="G96" s="57"/>
      <c r="H96" s="18"/>
      <c r="I96" s="18"/>
      <c r="J96" s="18"/>
      <c r="K96" s="18"/>
      <c r="L96" s="18"/>
      <c r="M96" s="29"/>
      <c r="N96" s="18"/>
      <c r="O96" s="18"/>
      <c r="P96" s="18"/>
      <c r="Q96" s="18"/>
      <c r="R96" s="18"/>
      <c r="S96" s="18"/>
      <c r="T96" s="18"/>
      <c r="U96" s="18"/>
      <c r="V96" s="18"/>
      <c r="W96" s="18"/>
      <c r="X96" s="18"/>
      <c r="Y96" s="18"/>
      <c r="Z96" s="18"/>
      <c r="AA96" s="18"/>
      <c r="AB96" s="24"/>
      <c r="AC96" s="24"/>
      <c r="AD96" s="24"/>
      <c r="AE96" s="18"/>
      <c r="AF96" s="18"/>
      <c r="AG96" s="25"/>
      <c r="AH96" s="18"/>
      <c r="AI96" s="18"/>
      <c r="AJ96" s="18"/>
    </row>
    <row r="97" spans="1:36">
      <c r="A97" s="18"/>
      <c r="B97" s="45"/>
      <c r="C97" s="18"/>
      <c r="D97" s="19"/>
      <c r="E97" s="18"/>
      <c r="F97" s="74"/>
      <c r="G97" s="57"/>
      <c r="H97" s="18"/>
      <c r="I97" s="18"/>
      <c r="J97" s="18"/>
      <c r="K97" s="18"/>
      <c r="L97" s="18"/>
      <c r="M97" s="29"/>
      <c r="N97" s="18"/>
      <c r="O97" s="18"/>
      <c r="P97" s="18"/>
      <c r="Q97" s="18"/>
      <c r="R97" s="18"/>
      <c r="S97" s="18"/>
      <c r="T97" s="18"/>
      <c r="U97" s="18"/>
      <c r="V97" s="18"/>
      <c r="W97" s="18"/>
      <c r="X97" s="18"/>
      <c r="Y97" s="18"/>
      <c r="Z97" s="18"/>
      <c r="AA97" s="18"/>
      <c r="AB97" s="24"/>
      <c r="AC97" s="24"/>
      <c r="AD97" s="24"/>
      <c r="AE97" s="18"/>
      <c r="AF97" s="18"/>
      <c r="AG97" s="25"/>
      <c r="AH97" s="18"/>
      <c r="AI97" s="18"/>
      <c r="AJ97" s="18"/>
    </row>
    <row r="98" spans="1:36">
      <c r="A98" s="18"/>
      <c r="B98" s="45"/>
      <c r="C98" s="18"/>
      <c r="D98" s="19"/>
      <c r="E98" s="18"/>
      <c r="F98" s="74"/>
      <c r="G98" s="57"/>
      <c r="H98" s="18"/>
      <c r="I98" s="18"/>
      <c r="J98" s="18"/>
      <c r="K98" s="18"/>
      <c r="L98" s="18"/>
      <c r="M98" s="29"/>
      <c r="N98" s="18"/>
      <c r="O98" s="18"/>
      <c r="P98" s="18"/>
      <c r="Q98" s="18"/>
      <c r="R98" s="18"/>
      <c r="S98" s="18"/>
      <c r="T98" s="18"/>
      <c r="U98" s="18"/>
      <c r="V98" s="18"/>
      <c r="W98" s="18"/>
      <c r="X98" s="18"/>
      <c r="Y98" s="18"/>
      <c r="Z98" s="18"/>
      <c r="AA98" s="18"/>
      <c r="AB98" s="24"/>
      <c r="AC98" s="24"/>
      <c r="AD98" s="24"/>
      <c r="AE98" s="18"/>
      <c r="AF98" s="18"/>
      <c r="AG98" s="25"/>
      <c r="AH98" s="18"/>
      <c r="AI98" s="18"/>
      <c r="AJ98" s="18"/>
    </row>
    <row r="99" spans="1:36">
      <c r="A99" s="18"/>
      <c r="B99" s="45"/>
      <c r="C99" s="18"/>
      <c r="D99" s="19"/>
      <c r="E99" s="18"/>
      <c r="F99" s="74"/>
      <c r="G99" s="57"/>
      <c r="H99" s="18"/>
      <c r="I99" s="18"/>
      <c r="J99" s="18"/>
      <c r="K99" s="18"/>
      <c r="L99" s="18"/>
      <c r="M99" s="29"/>
      <c r="N99" s="18"/>
      <c r="O99" s="18"/>
      <c r="P99" s="18"/>
      <c r="Q99" s="18"/>
      <c r="R99" s="18"/>
      <c r="S99" s="18"/>
      <c r="T99" s="18"/>
      <c r="U99" s="18"/>
      <c r="V99" s="18"/>
      <c r="W99" s="18"/>
      <c r="X99" s="18"/>
      <c r="Y99" s="18"/>
      <c r="Z99" s="18"/>
      <c r="AA99" s="18"/>
      <c r="AB99" s="24"/>
      <c r="AC99" s="24"/>
      <c r="AD99" s="24"/>
      <c r="AE99" s="18"/>
      <c r="AF99" s="18"/>
      <c r="AG99" s="25"/>
      <c r="AH99" s="18"/>
      <c r="AI99" s="18"/>
      <c r="AJ99" s="18"/>
    </row>
    <row r="100" spans="1:36">
      <c r="A100" s="18"/>
      <c r="B100" s="45"/>
      <c r="C100" s="18"/>
      <c r="D100" s="19"/>
      <c r="E100" s="18"/>
      <c r="F100" s="74"/>
      <c r="G100" s="57"/>
      <c r="H100" s="18"/>
      <c r="I100" s="18"/>
      <c r="J100" s="18"/>
      <c r="K100" s="18"/>
      <c r="L100" s="18"/>
      <c r="M100" s="29"/>
      <c r="N100" s="18"/>
      <c r="O100" s="18"/>
      <c r="P100" s="18"/>
      <c r="Q100" s="18"/>
      <c r="R100" s="18"/>
      <c r="S100" s="18"/>
      <c r="T100" s="18"/>
      <c r="U100" s="18"/>
      <c r="V100" s="18"/>
      <c r="W100" s="18"/>
      <c r="X100" s="18"/>
      <c r="Y100" s="18"/>
      <c r="Z100" s="18"/>
      <c r="AA100" s="18"/>
      <c r="AB100" s="24"/>
      <c r="AC100" s="24"/>
      <c r="AD100" s="24"/>
      <c r="AE100" s="18"/>
      <c r="AF100" s="18"/>
      <c r="AG100" s="25"/>
      <c r="AH100" s="18"/>
      <c r="AI100" s="18"/>
      <c r="AJ100" s="18"/>
    </row>
    <row r="101" spans="1:36">
      <c r="A101" s="18"/>
      <c r="B101" s="45"/>
      <c r="C101" s="18"/>
      <c r="D101" s="19"/>
      <c r="E101" s="18"/>
      <c r="F101" s="74"/>
      <c r="G101" s="57"/>
      <c r="H101" s="18"/>
      <c r="I101" s="18"/>
      <c r="J101" s="18"/>
      <c r="K101" s="18"/>
      <c r="L101" s="18"/>
      <c r="M101" s="29"/>
      <c r="N101" s="18"/>
      <c r="O101" s="18"/>
      <c r="P101" s="18"/>
      <c r="Q101" s="18"/>
      <c r="R101" s="18"/>
      <c r="S101" s="18"/>
      <c r="T101" s="18"/>
      <c r="U101" s="18"/>
      <c r="V101" s="18"/>
      <c r="W101" s="18"/>
      <c r="X101" s="18"/>
      <c r="Y101" s="18"/>
      <c r="Z101" s="18"/>
      <c r="AA101" s="18"/>
      <c r="AB101" s="24"/>
      <c r="AC101" s="24"/>
      <c r="AD101" s="24"/>
      <c r="AE101" s="18"/>
      <c r="AF101" s="18"/>
      <c r="AG101" s="25"/>
      <c r="AH101" s="18"/>
      <c r="AI101" s="18"/>
      <c r="AJ101" s="18"/>
    </row>
    <row r="102" spans="1:36" ht="14.25" customHeight="1">
      <c r="A102" s="18"/>
      <c r="B102" s="45"/>
      <c r="C102" s="33"/>
      <c r="D102" s="19"/>
      <c r="E102" s="18"/>
      <c r="F102" s="74"/>
      <c r="G102" s="57"/>
      <c r="H102" s="33"/>
      <c r="I102" s="33"/>
      <c r="J102" s="33"/>
      <c r="K102" s="33"/>
      <c r="L102" s="34"/>
      <c r="M102" s="29"/>
      <c r="N102" s="33"/>
      <c r="O102" s="33"/>
      <c r="P102" s="33"/>
      <c r="Q102" s="33"/>
      <c r="R102" s="33"/>
      <c r="S102" s="33"/>
      <c r="T102" s="33"/>
      <c r="U102" s="33"/>
      <c r="V102" s="33"/>
      <c r="W102" s="33"/>
      <c r="X102" s="33"/>
      <c r="Y102" s="33"/>
      <c r="Z102" s="33"/>
      <c r="AA102" s="33"/>
      <c r="AB102" s="35"/>
      <c r="AC102" s="35"/>
      <c r="AD102" s="35"/>
      <c r="AE102" s="33"/>
      <c r="AF102" s="33"/>
      <c r="AG102" s="36"/>
      <c r="AH102" s="33"/>
      <c r="AI102" s="37"/>
      <c r="AJ102" s="37"/>
    </row>
    <row r="103" spans="1:36">
      <c r="A103" s="18"/>
      <c r="B103" s="45"/>
      <c r="C103" s="38"/>
      <c r="D103" s="19"/>
      <c r="E103" s="18"/>
      <c r="F103" s="74"/>
      <c r="G103" s="57"/>
      <c r="H103" s="38"/>
      <c r="I103" s="38"/>
      <c r="J103" s="38"/>
      <c r="K103" s="38"/>
      <c r="L103" s="22"/>
      <c r="M103" s="29"/>
      <c r="N103" s="38"/>
      <c r="O103" s="38"/>
      <c r="P103" s="38"/>
      <c r="Q103" s="38"/>
      <c r="R103" s="38"/>
      <c r="S103" s="38"/>
      <c r="T103" s="38"/>
      <c r="U103" s="38"/>
      <c r="V103" s="38"/>
      <c r="W103" s="38"/>
      <c r="X103" s="38"/>
      <c r="Y103" s="38"/>
      <c r="Z103" s="38"/>
      <c r="AA103" s="38"/>
      <c r="AB103" s="39"/>
      <c r="AC103" s="39"/>
      <c r="AD103" s="39"/>
      <c r="AE103" s="38"/>
      <c r="AF103" s="38"/>
      <c r="AG103" s="40"/>
      <c r="AH103" s="38"/>
      <c r="AI103" s="41"/>
      <c r="AJ103" s="41"/>
    </row>
    <row r="104" spans="1:36">
      <c r="A104" s="18"/>
      <c r="B104" s="45"/>
      <c r="C104" s="33"/>
      <c r="D104" s="19"/>
      <c r="E104" s="18"/>
      <c r="F104" s="74"/>
      <c r="G104" s="57"/>
      <c r="H104" s="33"/>
      <c r="I104" s="33"/>
      <c r="J104" s="33"/>
      <c r="K104" s="33"/>
      <c r="L104" s="34"/>
      <c r="M104" s="29"/>
      <c r="N104" s="33"/>
      <c r="O104" s="33"/>
      <c r="P104" s="33"/>
      <c r="Q104" s="33"/>
      <c r="R104" s="33"/>
      <c r="S104" s="33"/>
      <c r="T104" s="33"/>
      <c r="U104" s="33"/>
      <c r="V104" s="33"/>
      <c r="W104" s="33"/>
      <c r="X104" s="33"/>
      <c r="Y104" s="33"/>
      <c r="Z104" s="33"/>
      <c r="AA104" s="33"/>
      <c r="AB104" s="35"/>
      <c r="AC104" s="35"/>
      <c r="AD104" s="35"/>
      <c r="AE104" s="33"/>
      <c r="AF104" s="33"/>
      <c r="AG104" s="36"/>
      <c r="AH104" s="33"/>
      <c r="AI104" s="37"/>
      <c r="AJ104" s="37"/>
    </row>
    <row r="105" spans="1:36">
      <c r="A105" s="18"/>
      <c r="B105" s="45"/>
      <c r="C105" s="38"/>
      <c r="D105" s="19"/>
      <c r="E105" s="18"/>
      <c r="F105" s="74"/>
      <c r="G105" s="57"/>
      <c r="H105" s="38"/>
      <c r="I105" s="38"/>
      <c r="J105" s="38"/>
      <c r="K105" s="38"/>
      <c r="L105" s="22"/>
      <c r="M105" s="29"/>
      <c r="N105" s="38"/>
      <c r="O105" s="38"/>
      <c r="P105" s="38"/>
      <c r="Q105" s="38"/>
      <c r="R105" s="38"/>
      <c r="S105" s="38"/>
      <c r="T105" s="38"/>
      <c r="U105" s="38"/>
      <c r="V105" s="38"/>
      <c r="W105" s="38"/>
      <c r="X105" s="38"/>
      <c r="Y105" s="38"/>
      <c r="Z105" s="38"/>
      <c r="AA105" s="38"/>
      <c r="AB105" s="39"/>
      <c r="AC105" s="39"/>
      <c r="AD105" s="39"/>
      <c r="AE105" s="38"/>
      <c r="AF105" s="38"/>
      <c r="AG105" s="40"/>
      <c r="AH105" s="38"/>
      <c r="AI105" s="41"/>
      <c r="AJ105" s="41"/>
    </row>
    <row r="106" spans="1:36">
      <c r="A106" s="18"/>
      <c r="B106" s="45"/>
      <c r="C106" s="33"/>
      <c r="D106" s="19"/>
      <c r="E106" s="18"/>
      <c r="F106" s="74"/>
      <c r="G106" s="57"/>
      <c r="H106" s="33"/>
      <c r="I106" s="33"/>
      <c r="J106" s="33"/>
      <c r="K106" s="33"/>
      <c r="L106" s="34"/>
      <c r="M106" s="29"/>
      <c r="N106" s="33"/>
      <c r="O106" s="33"/>
      <c r="P106" s="33"/>
      <c r="Q106" s="33"/>
      <c r="R106" s="33"/>
      <c r="S106" s="33"/>
      <c r="T106" s="33"/>
      <c r="U106" s="33"/>
      <c r="V106" s="33"/>
      <c r="W106" s="33"/>
      <c r="X106" s="33"/>
      <c r="Y106" s="33"/>
      <c r="Z106" s="33"/>
      <c r="AA106" s="33"/>
      <c r="AB106" s="35"/>
      <c r="AC106" s="35"/>
      <c r="AD106" s="35"/>
      <c r="AE106" s="33"/>
      <c r="AF106" s="33"/>
      <c r="AG106" s="36"/>
      <c r="AH106" s="33"/>
      <c r="AI106" s="37"/>
      <c r="AJ106" s="37"/>
    </row>
    <row r="107" spans="1:36">
      <c r="A107" s="18"/>
      <c r="B107" s="45"/>
      <c r="C107" s="38"/>
      <c r="D107" s="19"/>
      <c r="E107" s="18"/>
      <c r="F107" s="74"/>
      <c r="G107" s="57"/>
      <c r="H107" s="38"/>
      <c r="I107" s="38"/>
      <c r="J107" s="38"/>
      <c r="K107" s="38"/>
      <c r="L107" s="22"/>
      <c r="M107" s="29"/>
      <c r="N107" s="38"/>
      <c r="O107" s="38"/>
      <c r="P107" s="38"/>
      <c r="Q107" s="38"/>
      <c r="R107" s="38"/>
      <c r="S107" s="38"/>
      <c r="T107" s="38"/>
      <c r="U107" s="38"/>
      <c r="V107" s="38"/>
      <c r="W107" s="38"/>
      <c r="X107" s="38"/>
      <c r="Y107" s="38"/>
      <c r="Z107" s="38"/>
      <c r="AA107" s="38"/>
      <c r="AB107" s="39"/>
      <c r="AC107" s="39"/>
      <c r="AD107" s="39"/>
      <c r="AE107" s="38"/>
      <c r="AF107" s="38"/>
      <c r="AG107" s="40"/>
      <c r="AH107" s="38"/>
      <c r="AI107" s="41"/>
      <c r="AJ107" s="41"/>
    </row>
    <row r="108" spans="1:36">
      <c r="A108" s="18"/>
      <c r="B108" s="45"/>
      <c r="C108" s="33"/>
      <c r="D108" s="19"/>
      <c r="E108" s="18"/>
      <c r="F108" s="74"/>
      <c r="G108" s="57"/>
      <c r="H108" s="33"/>
      <c r="I108" s="33"/>
      <c r="J108" s="33"/>
      <c r="K108" s="33"/>
      <c r="L108" s="34"/>
      <c r="M108" s="29"/>
      <c r="N108" s="33"/>
      <c r="O108" s="33"/>
      <c r="P108" s="33"/>
      <c r="Q108" s="33"/>
      <c r="R108" s="33"/>
      <c r="S108" s="33"/>
      <c r="T108" s="33"/>
      <c r="U108" s="33"/>
      <c r="V108" s="33"/>
      <c r="W108" s="33"/>
      <c r="X108" s="33"/>
      <c r="Y108" s="33"/>
      <c r="Z108" s="33"/>
      <c r="AA108" s="33"/>
      <c r="AB108" s="35"/>
      <c r="AC108" s="35"/>
      <c r="AD108" s="35"/>
      <c r="AE108" s="33"/>
      <c r="AF108" s="33"/>
      <c r="AG108" s="36"/>
      <c r="AH108" s="33"/>
      <c r="AI108" s="37"/>
      <c r="AJ108" s="37"/>
    </row>
    <row r="109" spans="1:36">
      <c r="A109" s="18"/>
      <c r="B109" s="45"/>
      <c r="C109" s="38"/>
      <c r="D109" s="19"/>
      <c r="E109" s="18"/>
      <c r="F109" s="74"/>
      <c r="G109" s="57"/>
      <c r="H109" s="38"/>
      <c r="I109" s="38"/>
      <c r="J109" s="38"/>
      <c r="K109" s="38"/>
      <c r="L109" s="22"/>
      <c r="M109" s="29"/>
      <c r="N109" s="38"/>
      <c r="O109" s="38"/>
      <c r="P109" s="38"/>
      <c r="Q109" s="38"/>
      <c r="R109" s="38"/>
      <c r="S109" s="38"/>
      <c r="T109" s="38"/>
      <c r="U109" s="38"/>
      <c r="V109" s="38"/>
      <c r="W109" s="38"/>
      <c r="X109" s="38"/>
      <c r="Y109" s="38"/>
      <c r="Z109" s="38"/>
      <c r="AA109" s="38"/>
      <c r="AB109" s="39"/>
      <c r="AC109" s="39"/>
      <c r="AD109" s="39"/>
      <c r="AE109" s="38"/>
      <c r="AF109" s="38"/>
      <c r="AG109" s="40"/>
      <c r="AH109" s="38"/>
      <c r="AI109" s="41"/>
      <c r="AJ109" s="41"/>
    </row>
    <row r="110" spans="1:36">
      <c r="A110" s="18"/>
      <c r="B110" s="45"/>
      <c r="C110" s="33"/>
      <c r="D110" s="19"/>
      <c r="E110" s="18"/>
      <c r="F110" s="74"/>
      <c r="G110" s="57"/>
      <c r="H110" s="33"/>
      <c r="I110" s="33"/>
      <c r="J110" s="33"/>
      <c r="K110" s="33"/>
      <c r="L110" s="34"/>
      <c r="M110" s="29"/>
      <c r="N110" s="33"/>
      <c r="O110" s="33"/>
      <c r="P110" s="33"/>
      <c r="Q110" s="33"/>
      <c r="R110" s="33"/>
      <c r="S110" s="33"/>
      <c r="T110" s="33"/>
      <c r="U110" s="33"/>
      <c r="V110" s="33"/>
      <c r="W110" s="33"/>
      <c r="X110" s="33"/>
      <c r="Y110" s="33"/>
      <c r="Z110" s="33"/>
      <c r="AA110" s="33"/>
      <c r="AB110" s="35"/>
      <c r="AC110" s="35"/>
      <c r="AD110" s="35"/>
      <c r="AE110" s="33"/>
      <c r="AF110" s="33"/>
      <c r="AG110" s="36"/>
      <c r="AH110" s="33"/>
      <c r="AI110" s="37"/>
      <c r="AJ110" s="37"/>
    </row>
    <row r="111" spans="1:36">
      <c r="A111" s="18"/>
      <c r="B111" s="45"/>
      <c r="C111" s="38"/>
      <c r="D111" s="19"/>
      <c r="E111" s="18"/>
      <c r="F111" s="74"/>
      <c r="G111" s="57"/>
      <c r="H111" s="38"/>
      <c r="I111" s="38"/>
      <c r="J111" s="38"/>
      <c r="K111" s="38"/>
      <c r="L111" s="22"/>
      <c r="M111" s="29"/>
      <c r="N111" s="38"/>
      <c r="O111" s="38"/>
      <c r="P111" s="38"/>
      <c r="Q111" s="38"/>
      <c r="R111" s="38"/>
      <c r="S111" s="38"/>
      <c r="T111" s="38"/>
      <c r="U111" s="38"/>
      <c r="V111" s="38"/>
      <c r="W111" s="38"/>
      <c r="X111" s="38"/>
      <c r="Y111" s="38"/>
      <c r="Z111" s="38"/>
      <c r="AA111" s="38"/>
      <c r="AB111" s="39"/>
      <c r="AC111" s="39"/>
      <c r="AD111" s="39"/>
      <c r="AE111" s="38"/>
      <c r="AF111" s="38"/>
      <c r="AG111" s="40"/>
      <c r="AH111" s="38"/>
      <c r="AI111" s="41"/>
      <c r="AJ111" s="41"/>
    </row>
    <row r="112" spans="1:36">
      <c r="A112" s="18"/>
      <c r="B112" s="45"/>
      <c r="C112" s="33"/>
      <c r="D112" s="19"/>
      <c r="E112" s="18"/>
      <c r="F112" s="74"/>
      <c r="G112" s="57"/>
      <c r="H112" s="33"/>
      <c r="I112" s="33"/>
      <c r="J112" s="33"/>
      <c r="K112" s="33"/>
      <c r="L112" s="34"/>
      <c r="M112" s="29"/>
      <c r="N112" s="33"/>
      <c r="O112" s="33"/>
      <c r="P112" s="33"/>
      <c r="Q112" s="33"/>
      <c r="R112" s="33"/>
      <c r="S112" s="33"/>
      <c r="T112" s="33"/>
      <c r="U112" s="33"/>
      <c r="V112" s="33"/>
      <c r="W112" s="33"/>
      <c r="X112" s="33"/>
      <c r="Y112" s="33"/>
      <c r="Z112" s="33"/>
      <c r="AA112" s="33"/>
      <c r="AB112" s="35"/>
      <c r="AC112" s="35"/>
      <c r="AD112" s="35"/>
      <c r="AE112" s="33"/>
      <c r="AF112" s="33"/>
      <c r="AG112" s="36"/>
      <c r="AH112" s="33"/>
      <c r="AI112" s="37"/>
      <c r="AJ112" s="37"/>
    </row>
    <row r="113" spans="1:36">
      <c r="A113" s="18"/>
      <c r="B113" s="45"/>
      <c r="C113" s="38"/>
      <c r="D113" s="19"/>
      <c r="E113" s="18"/>
      <c r="F113" s="74"/>
      <c r="G113" s="57"/>
      <c r="H113" s="38"/>
      <c r="I113" s="38"/>
      <c r="J113" s="38"/>
      <c r="K113" s="38"/>
      <c r="L113" s="22"/>
      <c r="M113" s="29"/>
      <c r="N113" s="38"/>
      <c r="O113" s="38"/>
      <c r="P113" s="38"/>
      <c r="Q113" s="38"/>
      <c r="R113" s="38"/>
      <c r="S113" s="38"/>
      <c r="T113" s="38"/>
      <c r="U113" s="38"/>
      <c r="V113" s="38"/>
      <c r="W113" s="38"/>
      <c r="X113" s="38"/>
      <c r="Y113" s="38"/>
      <c r="Z113" s="38"/>
      <c r="AA113" s="38"/>
      <c r="AB113" s="39"/>
      <c r="AC113" s="39"/>
      <c r="AD113" s="39"/>
      <c r="AE113" s="38"/>
      <c r="AF113" s="38"/>
      <c r="AG113" s="40"/>
      <c r="AH113" s="38"/>
      <c r="AI113" s="41"/>
      <c r="AJ113" s="41"/>
    </row>
    <row r="114" spans="1:36">
      <c r="A114" s="18"/>
      <c r="B114" s="45"/>
      <c r="C114" s="33"/>
      <c r="D114" s="19"/>
      <c r="E114" s="18"/>
      <c r="F114" s="74"/>
      <c r="G114" s="57"/>
      <c r="H114" s="33"/>
      <c r="I114" s="33"/>
      <c r="J114" s="33"/>
      <c r="K114" s="33"/>
      <c r="L114" s="34"/>
      <c r="M114" s="29"/>
      <c r="N114" s="33"/>
      <c r="O114" s="33"/>
      <c r="P114" s="33"/>
      <c r="Q114" s="33"/>
      <c r="R114" s="33"/>
      <c r="S114" s="33"/>
      <c r="T114" s="33"/>
      <c r="U114" s="33"/>
      <c r="V114" s="33"/>
      <c r="W114" s="33"/>
      <c r="X114" s="33"/>
      <c r="Y114" s="33"/>
      <c r="Z114" s="33"/>
      <c r="AA114" s="33"/>
      <c r="AB114" s="35"/>
      <c r="AC114" s="35"/>
      <c r="AD114" s="35"/>
      <c r="AE114" s="33"/>
      <c r="AF114" s="33"/>
      <c r="AG114" s="36"/>
      <c r="AH114" s="33"/>
      <c r="AI114" s="37"/>
      <c r="AJ114" s="37"/>
    </row>
    <row r="115" spans="1:36">
      <c r="A115" s="18"/>
      <c r="B115" s="45"/>
      <c r="C115" s="38"/>
      <c r="D115" s="19"/>
      <c r="E115" s="18"/>
      <c r="F115" s="74"/>
      <c r="G115" s="57"/>
      <c r="H115" s="38"/>
      <c r="I115" s="38"/>
      <c r="J115" s="38"/>
      <c r="K115" s="38"/>
      <c r="L115" s="22"/>
      <c r="M115" s="29"/>
      <c r="N115" s="38"/>
      <c r="O115" s="38"/>
      <c r="P115" s="38"/>
      <c r="Q115" s="38"/>
      <c r="R115" s="38"/>
      <c r="S115" s="38"/>
      <c r="T115" s="38"/>
      <c r="U115" s="38"/>
      <c r="V115" s="38"/>
      <c r="W115" s="38"/>
      <c r="X115" s="38"/>
      <c r="Y115" s="38"/>
      <c r="Z115" s="38"/>
      <c r="AA115" s="38"/>
      <c r="AB115" s="39"/>
      <c r="AC115" s="39"/>
      <c r="AD115" s="39"/>
      <c r="AE115" s="38"/>
      <c r="AF115" s="38"/>
      <c r="AG115" s="40"/>
      <c r="AH115" s="38"/>
      <c r="AI115" s="41"/>
      <c r="AJ115" s="41"/>
    </row>
    <row r="116" spans="1:36">
      <c r="A116" s="18"/>
      <c r="B116" s="45"/>
      <c r="C116" s="33"/>
      <c r="D116" s="19"/>
      <c r="E116" s="18"/>
      <c r="F116" s="74"/>
      <c r="G116" s="57"/>
      <c r="H116" s="33"/>
      <c r="I116" s="33"/>
      <c r="J116" s="33"/>
      <c r="K116" s="33"/>
      <c r="L116" s="34"/>
      <c r="M116" s="29"/>
      <c r="N116" s="33"/>
      <c r="O116" s="33"/>
      <c r="P116" s="33"/>
      <c r="Q116" s="33"/>
      <c r="R116" s="33"/>
      <c r="S116" s="33"/>
      <c r="T116" s="33"/>
      <c r="U116" s="33"/>
      <c r="V116" s="33"/>
      <c r="W116" s="33"/>
      <c r="X116" s="33"/>
      <c r="Y116" s="33"/>
      <c r="Z116" s="33"/>
      <c r="AA116" s="33"/>
      <c r="AB116" s="35"/>
      <c r="AC116" s="35"/>
      <c r="AD116" s="35"/>
      <c r="AE116" s="33"/>
      <c r="AF116" s="33"/>
      <c r="AG116" s="36"/>
      <c r="AH116" s="33"/>
      <c r="AI116" s="37"/>
      <c r="AJ116" s="37"/>
    </row>
    <row r="117" spans="1:36">
      <c r="A117" s="18"/>
      <c r="B117" s="45"/>
      <c r="C117" s="38"/>
      <c r="D117" s="19"/>
      <c r="E117" s="18"/>
      <c r="F117" s="74"/>
      <c r="G117" s="57"/>
      <c r="H117" s="38"/>
      <c r="I117" s="38"/>
      <c r="J117" s="38"/>
      <c r="K117" s="38"/>
      <c r="L117" s="22"/>
      <c r="M117" s="29"/>
      <c r="N117" s="38"/>
      <c r="O117" s="38"/>
      <c r="P117" s="38"/>
      <c r="Q117" s="38"/>
      <c r="R117" s="38"/>
      <c r="S117" s="38"/>
      <c r="T117" s="38"/>
      <c r="U117" s="38"/>
      <c r="V117" s="38"/>
      <c r="W117" s="38"/>
      <c r="X117" s="38"/>
      <c r="Y117" s="38"/>
      <c r="Z117" s="38"/>
      <c r="AA117" s="38"/>
      <c r="AB117" s="39"/>
      <c r="AC117" s="39"/>
      <c r="AD117" s="39"/>
      <c r="AE117" s="38"/>
      <c r="AF117" s="38"/>
      <c r="AG117" s="40"/>
      <c r="AH117" s="38"/>
      <c r="AI117" s="41"/>
      <c r="AJ117" s="41"/>
    </row>
    <row r="118" spans="1:36">
      <c r="A118" s="18"/>
      <c r="B118" s="45"/>
      <c r="C118" s="33"/>
      <c r="D118" s="19"/>
      <c r="E118" s="18"/>
      <c r="F118" s="74"/>
      <c r="G118" s="57"/>
      <c r="H118" s="33"/>
      <c r="I118" s="33"/>
      <c r="J118" s="33"/>
      <c r="K118" s="33"/>
      <c r="L118" s="34"/>
      <c r="M118" s="29"/>
      <c r="N118" s="33"/>
      <c r="O118" s="33"/>
      <c r="P118" s="33"/>
      <c r="Q118" s="33"/>
      <c r="R118" s="33"/>
      <c r="S118" s="33"/>
      <c r="T118" s="33"/>
      <c r="U118" s="33"/>
      <c r="V118" s="33"/>
      <c r="W118" s="33"/>
      <c r="X118" s="33"/>
      <c r="Y118" s="33"/>
      <c r="Z118" s="33"/>
      <c r="AA118" s="33"/>
      <c r="AB118" s="35"/>
      <c r="AC118" s="35"/>
      <c r="AD118" s="35"/>
      <c r="AE118" s="33"/>
      <c r="AF118" s="33"/>
      <c r="AG118" s="36"/>
      <c r="AH118" s="33"/>
      <c r="AI118" s="37"/>
      <c r="AJ118" s="37"/>
    </row>
    <row r="119" spans="1:36">
      <c r="A119" s="18"/>
      <c r="B119" s="45"/>
      <c r="C119" s="38"/>
      <c r="D119" s="19"/>
      <c r="E119" s="18"/>
      <c r="F119" s="74"/>
      <c r="G119" s="57"/>
      <c r="H119" s="38"/>
      <c r="I119" s="38"/>
      <c r="J119" s="38"/>
      <c r="K119" s="38"/>
      <c r="L119" s="22"/>
      <c r="M119" s="29"/>
      <c r="N119" s="38"/>
      <c r="O119" s="38"/>
      <c r="P119" s="38"/>
      <c r="Q119" s="38"/>
      <c r="R119" s="38"/>
      <c r="S119" s="38"/>
      <c r="T119" s="38"/>
      <c r="U119" s="38"/>
      <c r="V119" s="38"/>
      <c r="W119" s="38"/>
      <c r="X119" s="38"/>
      <c r="Y119" s="38"/>
      <c r="Z119" s="38"/>
      <c r="AA119" s="38"/>
      <c r="AB119" s="39"/>
      <c r="AC119" s="39"/>
      <c r="AD119" s="39"/>
      <c r="AE119" s="38"/>
      <c r="AF119" s="38"/>
      <c r="AG119" s="40"/>
      <c r="AH119" s="38"/>
      <c r="AI119" s="41"/>
      <c r="AJ119" s="41"/>
    </row>
    <row r="120" spans="1:36">
      <c r="A120" s="18"/>
      <c r="B120" s="45"/>
      <c r="C120" s="33"/>
      <c r="D120" s="19"/>
      <c r="E120" s="18"/>
      <c r="F120" s="74"/>
      <c r="G120" s="57"/>
      <c r="H120" s="33"/>
      <c r="I120" s="33"/>
      <c r="J120" s="33"/>
      <c r="K120" s="33"/>
      <c r="L120" s="34"/>
      <c r="M120" s="29"/>
      <c r="N120" s="33"/>
      <c r="O120" s="33"/>
      <c r="P120" s="33"/>
      <c r="Q120" s="33"/>
      <c r="R120" s="33"/>
      <c r="S120" s="33"/>
      <c r="T120" s="33"/>
      <c r="U120" s="33"/>
      <c r="V120" s="33"/>
      <c r="W120" s="33"/>
      <c r="X120" s="33"/>
      <c r="Y120" s="33"/>
      <c r="Z120" s="33"/>
      <c r="AA120" s="33"/>
      <c r="AB120" s="35"/>
      <c r="AC120" s="35"/>
      <c r="AD120" s="35"/>
      <c r="AE120" s="33"/>
      <c r="AF120" s="33"/>
      <c r="AG120" s="36"/>
      <c r="AH120" s="33"/>
      <c r="AI120" s="37"/>
      <c r="AJ120" s="37"/>
    </row>
    <row r="121" spans="1:36">
      <c r="A121" s="18"/>
      <c r="B121" s="45"/>
      <c r="C121" s="38"/>
      <c r="D121" s="19"/>
      <c r="E121" s="18"/>
      <c r="F121" s="74"/>
      <c r="G121" s="57"/>
      <c r="H121" s="38"/>
      <c r="I121" s="38"/>
      <c r="J121" s="38"/>
      <c r="K121" s="38"/>
      <c r="L121" s="22"/>
      <c r="M121" s="29"/>
      <c r="N121" s="38"/>
      <c r="O121" s="38"/>
      <c r="P121" s="38"/>
      <c r="Q121" s="38"/>
      <c r="R121" s="38"/>
      <c r="S121" s="38"/>
      <c r="T121" s="38"/>
      <c r="U121" s="38"/>
      <c r="V121" s="38"/>
      <c r="W121" s="38"/>
      <c r="X121" s="38"/>
      <c r="Y121" s="38"/>
      <c r="Z121" s="38"/>
      <c r="AA121" s="38"/>
      <c r="AB121" s="39"/>
      <c r="AC121" s="39"/>
      <c r="AD121" s="39"/>
      <c r="AE121" s="38"/>
      <c r="AF121" s="38"/>
      <c r="AG121" s="40"/>
      <c r="AH121" s="38"/>
      <c r="AI121" s="41"/>
      <c r="AJ121" s="41"/>
    </row>
    <row r="122" spans="1:36">
      <c r="A122" s="18"/>
      <c r="B122" s="45"/>
      <c r="C122" s="33"/>
      <c r="D122" s="19"/>
      <c r="E122" s="18"/>
      <c r="F122" s="74"/>
      <c r="G122" s="57"/>
      <c r="H122" s="33"/>
      <c r="I122" s="33"/>
      <c r="J122" s="33"/>
      <c r="K122" s="33"/>
      <c r="L122" s="34"/>
      <c r="M122" s="29"/>
      <c r="N122" s="33"/>
      <c r="O122" s="33"/>
      <c r="P122" s="33"/>
      <c r="Q122" s="33"/>
      <c r="R122" s="33"/>
      <c r="S122" s="33"/>
      <c r="T122" s="33"/>
      <c r="U122" s="33"/>
      <c r="V122" s="33"/>
      <c r="W122" s="33"/>
      <c r="X122" s="33"/>
      <c r="Y122" s="33"/>
      <c r="Z122" s="33"/>
      <c r="AA122" s="33"/>
      <c r="AB122" s="35"/>
      <c r="AC122" s="35"/>
      <c r="AD122" s="35"/>
      <c r="AE122" s="33"/>
      <c r="AF122" s="33"/>
      <c r="AG122" s="36"/>
      <c r="AH122" s="33"/>
      <c r="AI122" s="37"/>
      <c r="AJ122" s="37"/>
    </row>
    <row r="123" spans="1:36">
      <c r="A123" s="18"/>
      <c r="B123" s="45"/>
      <c r="C123" s="38"/>
      <c r="D123" s="19"/>
      <c r="E123" s="18"/>
      <c r="F123" s="74"/>
      <c r="G123" s="57"/>
      <c r="H123" s="38"/>
      <c r="I123" s="38"/>
      <c r="J123" s="38"/>
      <c r="K123" s="38"/>
      <c r="L123" s="22"/>
      <c r="M123" s="29"/>
      <c r="N123" s="38"/>
      <c r="O123" s="38"/>
      <c r="P123" s="38"/>
      <c r="Q123" s="38"/>
      <c r="R123" s="38"/>
      <c r="S123" s="38"/>
      <c r="T123" s="38"/>
      <c r="U123" s="38"/>
      <c r="V123" s="38"/>
      <c r="W123" s="38"/>
      <c r="X123" s="38"/>
      <c r="Y123" s="38"/>
      <c r="Z123" s="38"/>
      <c r="AA123" s="38"/>
      <c r="AB123" s="39"/>
      <c r="AC123" s="39"/>
      <c r="AD123" s="39"/>
      <c r="AE123" s="38"/>
      <c r="AF123" s="38"/>
      <c r="AG123" s="40"/>
      <c r="AH123" s="38"/>
      <c r="AI123" s="41"/>
      <c r="AJ123" s="41"/>
    </row>
    <row r="124" spans="1:36">
      <c r="A124" s="18"/>
      <c r="B124" s="45"/>
      <c r="C124" s="33"/>
      <c r="D124" s="19"/>
      <c r="E124" s="18"/>
      <c r="F124" s="74"/>
      <c r="G124" s="57"/>
      <c r="H124" s="33"/>
      <c r="I124" s="33"/>
      <c r="J124" s="33"/>
      <c r="K124" s="33"/>
      <c r="L124" s="34"/>
      <c r="M124" s="29"/>
      <c r="N124" s="33"/>
      <c r="O124" s="33"/>
      <c r="P124" s="33"/>
      <c r="Q124" s="33"/>
      <c r="R124" s="33"/>
      <c r="S124" s="33"/>
      <c r="T124" s="33"/>
      <c r="U124" s="33"/>
      <c r="V124" s="33"/>
      <c r="W124" s="33"/>
      <c r="X124" s="33"/>
      <c r="Y124" s="33"/>
      <c r="Z124" s="33"/>
      <c r="AA124" s="33"/>
      <c r="AB124" s="35"/>
      <c r="AC124" s="35"/>
      <c r="AD124" s="35"/>
      <c r="AE124" s="33"/>
      <c r="AF124" s="33"/>
      <c r="AG124" s="36"/>
      <c r="AH124" s="33"/>
      <c r="AI124" s="37"/>
      <c r="AJ124" s="37"/>
    </row>
    <row r="125" spans="1:36">
      <c r="A125" s="18"/>
      <c r="B125" s="45"/>
      <c r="C125" s="38"/>
      <c r="D125" s="19"/>
      <c r="E125" s="18"/>
      <c r="F125" s="74"/>
      <c r="G125" s="57"/>
      <c r="H125" s="38"/>
      <c r="I125" s="38"/>
      <c r="J125" s="38"/>
      <c r="K125" s="38"/>
      <c r="L125" s="22"/>
      <c r="M125" s="29"/>
      <c r="N125" s="38"/>
      <c r="O125" s="38"/>
      <c r="P125" s="38"/>
      <c r="Q125" s="38"/>
      <c r="R125" s="38"/>
      <c r="S125" s="38"/>
      <c r="T125" s="38"/>
      <c r="U125" s="38"/>
      <c r="V125" s="38"/>
      <c r="W125" s="38"/>
      <c r="X125" s="38"/>
      <c r="Y125" s="38"/>
      <c r="Z125" s="38"/>
      <c r="AA125" s="38"/>
      <c r="AB125" s="39"/>
      <c r="AC125" s="39"/>
      <c r="AD125" s="39"/>
      <c r="AE125" s="38"/>
      <c r="AF125" s="38"/>
      <c r="AG125" s="40"/>
      <c r="AH125" s="38"/>
      <c r="AI125" s="41"/>
      <c r="AJ125" s="41"/>
    </row>
    <row r="126" spans="1:36">
      <c r="A126" s="18"/>
      <c r="B126" s="45"/>
      <c r="C126" s="33"/>
      <c r="D126" s="19"/>
      <c r="E126" s="18"/>
      <c r="F126" s="74"/>
      <c r="G126" s="57"/>
      <c r="H126" s="33"/>
      <c r="I126" s="33"/>
      <c r="J126" s="33"/>
      <c r="K126" s="33"/>
      <c r="L126" s="34"/>
      <c r="M126" s="29"/>
      <c r="N126" s="33"/>
      <c r="O126" s="33"/>
      <c r="P126" s="33"/>
      <c r="Q126" s="33"/>
      <c r="R126" s="33"/>
      <c r="S126" s="33"/>
      <c r="T126" s="33"/>
      <c r="U126" s="33"/>
      <c r="V126" s="33"/>
      <c r="W126" s="33"/>
      <c r="X126" s="33"/>
      <c r="Y126" s="33"/>
      <c r="Z126" s="33"/>
      <c r="AA126" s="33"/>
      <c r="AB126" s="35"/>
      <c r="AC126" s="35"/>
      <c r="AD126" s="35"/>
      <c r="AE126" s="33"/>
      <c r="AF126" s="33"/>
      <c r="AG126" s="36"/>
      <c r="AH126" s="33"/>
      <c r="AI126" s="37"/>
      <c r="AJ126" s="37"/>
    </row>
    <row r="127" spans="1:36">
      <c r="A127" s="18"/>
      <c r="B127" s="45"/>
      <c r="C127" s="38"/>
      <c r="D127" s="19"/>
      <c r="E127" s="18"/>
      <c r="F127" s="74"/>
      <c r="G127" s="57"/>
      <c r="H127" s="38"/>
      <c r="I127" s="38"/>
      <c r="J127" s="38"/>
      <c r="K127" s="38"/>
      <c r="L127" s="22"/>
      <c r="M127" s="29"/>
      <c r="N127" s="38"/>
      <c r="O127" s="38"/>
      <c r="P127" s="38"/>
      <c r="Q127" s="38"/>
      <c r="R127" s="38"/>
      <c r="S127" s="38"/>
      <c r="T127" s="38"/>
      <c r="U127" s="38"/>
      <c r="V127" s="38"/>
      <c r="W127" s="38"/>
      <c r="X127" s="38"/>
      <c r="Y127" s="38"/>
      <c r="Z127" s="38"/>
      <c r="AA127" s="38"/>
      <c r="AB127" s="39"/>
      <c r="AC127" s="39"/>
      <c r="AD127" s="39"/>
      <c r="AE127" s="38"/>
      <c r="AF127" s="38"/>
      <c r="AG127" s="40"/>
      <c r="AH127" s="38"/>
      <c r="AI127" s="41"/>
      <c r="AJ127" s="41"/>
    </row>
    <row r="128" spans="1:36">
      <c r="A128" s="18"/>
      <c r="B128" s="45"/>
      <c r="C128" s="33"/>
      <c r="D128" s="19"/>
      <c r="E128" s="18"/>
      <c r="F128" s="74"/>
      <c r="G128" s="57"/>
      <c r="H128" s="33"/>
      <c r="I128" s="33"/>
      <c r="J128" s="33"/>
      <c r="K128" s="33"/>
      <c r="L128" s="34"/>
      <c r="M128" s="29"/>
      <c r="N128" s="33"/>
      <c r="O128" s="33"/>
      <c r="P128" s="33"/>
      <c r="Q128" s="33"/>
      <c r="R128" s="33"/>
      <c r="S128" s="33"/>
      <c r="T128" s="33"/>
      <c r="U128" s="33"/>
      <c r="V128" s="33"/>
      <c r="W128" s="33"/>
      <c r="X128" s="33"/>
      <c r="Y128" s="33"/>
      <c r="Z128" s="33"/>
      <c r="AA128" s="33"/>
      <c r="AB128" s="35"/>
      <c r="AC128" s="35"/>
      <c r="AD128" s="35"/>
      <c r="AE128" s="33"/>
      <c r="AF128" s="33"/>
      <c r="AG128" s="36"/>
      <c r="AH128" s="33"/>
      <c r="AI128" s="37"/>
      <c r="AJ128" s="37"/>
    </row>
    <row r="129" spans="1:36">
      <c r="A129" s="18"/>
      <c r="B129" s="45"/>
      <c r="C129" s="38"/>
      <c r="D129" s="19"/>
      <c r="E129" s="18"/>
      <c r="F129" s="74"/>
      <c r="G129" s="57"/>
      <c r="H129" s="38"/>
      <c r="I129" s="38"/>
      <c r="J129" s="38"/>
      <c r="K129" s="38"/>
      <c r="L129" s="22"/>
      <c r="M129" s="29"/>
      <c r="N129" s="38"/>
      <c r="O129" s="38"/>
      <c r="P129" s="38"/>
      <c r="Q129" s="38"/>
      <c r="R129" s="38"/>
      <c r="S129" s="38"/>
      <c r="T129" s="38"/>
      <c r="U129" s="38"/>
      <c r="V129" s="38"/>
      <c r="W129" s="38"/>
      <c r="X129" s="38"/>
      <c r="Y129" s="38"/>
      <c r="Z129" s="38"/>
      <c r="AA129" s="38"/>
      <c r="AB129" s="39"/>
      <c r="AC129" s="39"/>
      <c r="AD129" s="39"/>
      <c r="AE129" s="38"/>
      <c r="AF129" s="38"/>
      <c r="AG129" s="40"/>
      <c r="AH129" s="38"/>
      <c r="AI129" s="41"/>
      <c r="AJ129" s="41"/>
    </row>
    <row r="130" spans="1:36">
      <c r="A130" s="18"/>
      <c r="B130" s="45"/>
      <c r="C130" s="33"/>
      <c r="D130" s="19"/>
      <c r="E130" s="18"/>
      <c r="F130" s="74"/>
      <c r="G130" s="57"/>
      <c r="H130" s="33"/>
      <c r="I130" s="33"/>
      <c r="J130" s="33"/>
      <c r="K130" s="33"/>
      <c r="L130" s="34"/>
      <c r="M130" s="29"/>
      <c r="N130" s="33"/>
      <c r="O130" s="33"/>
      <c r="P130" s="33"/>
      <c r="Q130" s="33"/>
      <c r="R130" s="33"/>
      <c r="S130" s="33"/>
      <c r="T130" s="33"/>
      <c r="U130" s="33"/>
      <c r="V130" s="33"/>
      <c r="W130" s="33"/>
      <c r="X130" s="33"/>
      <c r="Y130" s="33"/>
      <c r="Z130" s="33"/>
      <c r="AA130" s="33"/>
      <c r="AB130" s="35"/>
      <c r="AC130" s="35"/>
      <c r="AD130" s="35"/>
      <c r="AE130" s="33"/>
      <c r="AF130" s="33"/>
      <c r="AG130" s="36"/>
      <c r="AH130" s="33"/>
      <c r="AI130" s="37"/>
      <c r="AJ130" s="37"/>
    </row>
    <row r="131" spans="1:36">
      <c r="A131" s="18"/>
      <c r="B131" s="45"/>
      <c r="C131" s="38"/>
      <c r="D131" s="19"/>
      <c r="E131" s="18"/>
      <c r="F131" s="74"/>
      <c r="G131" s="57"/>
      <c r="H131" s="38"/>
      <c r="I131" s="38"/>
      <c r="J131" s="38"/>
      <c r="K131" s="38"/>
      <c r="L131" s="22"/>
      <c r="M131" s="29"/>
      <c r="N131" s="38"/>
      <c r="O131" s="38"/>
      <c r="P131" s="38"/>
      <c r="Q131" s="38"/>
      <c r="R131" s="38"/>
      <c r="S131" s="38"/>
      <c r="T131" s="38"/>
      <c r="U131" s="38"/>
      <c r="V131" s="38"/>
      <c r="W131" s="38"/>
      <c r="X131" s="38"/>
      <c r="Y131" s="38"/>
      <c r="Z131" s="38"/>
      <c r="AA131" s="38"/>
      <c r="AB131" s="39"/>
      <c r="AC131" s="39"/>
      <c r="AD131" s="39"/>
      <c r="AE131" s="38"/>
      <c r="AF131" s="38"/>
      <c r="AG131" s="40"/>
      <c r="AH131" s="38"/>
      <c r="AI131" s="41"/>
      <c r="AJ131" s="41"/>
    </row>
    <row r="132" spans="1:36">
      <c r="A132" s="18"/>
      <c r="B132" s="45"/>
      <c r="C132" s="33"/>
      <c r="D132" s="19"/>
      <c r="E132" s="18"/>
      <c r="F132" s="74"/>
      <c r="G132" s="57"/>
      <c r="H132" s="33"/>
      <c r="I132" s="33"/>
      <c r="J132" s="33"/>
      <c r="K132" s="33"/>
      <c r="L132" s="34"/>
      <c r="M132" s="29"/>
      <c r="N132" s="33"/>
      <c r="O132" s="33"/>
      <c r="P132" s="33"/>
      <c r="Q132" s="33"/>
      <c r="R132" s="33"/>
      <c r="S132" s="33"/>
      <c r="T132" s="33"/>
      <c r="U132" s="33"/>
      <c r="V132" s="33"/>
      <c r="W132" s="33"/>
      <c r="X132" s="33"/>
      <c r="Y132" s="33"/>
      <c r="Z132" s="33"/>
      <c r="AA132" s="33"/>
      <c r="AB132" s="35"/>
      <c r="AC132" s="35"/>
      <c r="AD132" s="35"/>
      <c r="AE132" s="33"/>
      <c r="AF132" s="33"/>
      <c r="AG132" s="36"/>
      <c r="AH132" s="33"/>
      <c r="AI132" s="37"/>
      <c r="AJ132" s="37"/>
    </row>
    <row r="133" spans="1:36">
      <c r="A133" s="18"/>
      <c r="B133" s="45"/>
      <c r="C133" s="38"/>
      <c r="D133" s="19"/>
      <c r="E133" s="18"/>
      <c r="F133" s="74"/>
      <c r="G133" s="57"/>
      <c r="H133" s="38"/>
      <c r="I133" s="38"/>
      <c r="J133" s="38"/>
      <c r="K133" s="38"/>
      <c r="L133" s="22"/>
      <c r="M133" s="29"/>
      <c r="N133" s="38"/>
      <c r="O133" s="38"/>
      <c r="P133" s="38"/>
      <c r="Q133" s="38"/>
      <c r="R133" s="38"/>
      <c r="S133" s="38"/>
      <c r="T133" s="38"/>
      <c r="U133" s="38"/>
      <c r="V133" s="38"/>
      <c r="W133" s="38"/>
      <c r="X133" s="38"/>
      <c r="Y133" s="38"/>
      <c r="Z133" s="38"/>
      <c r="AA133" s="38"/>
      <c r="AB133" s="39"/>
      <c r="AC133" s="39"/>
      <c r="AD133" s="39"/>
      <c r="AE133" s="38"/>
      <c r="AF133" s="38"/>
      <c r="AG133" s="40"/>
      <c r="AH133" s="38"/>
      <c r="AI133" s="41"/>
      <c r="AJ133" s="41"/>
    </row>
    <row r="134" spans="1:36">
      <c r="A134" s="18"/>
      <c r="B134" s="45"/>
      <c r="C134" s="33"/>
      <c r="D134" s="19"/>
      <c r="E134" s="18"/>
      <c r="F134" s="74"/>
      <c r="G134" s="57"/>
      <c r="H134" s="33"/>
      <c r="I134" s="33"/>
      <c r="J134" s="33"/>
      <c r="K134" s="33"/>
      <c r="L134" s="34"/>
      <c r="M134" s="29"/>
      <c r="N134" s="33"/>
      <c r="O134" s="33"/>
      <c r="P134" s="33"/>
      <c r="Q134" s="33"/>
      <c r="R134" s="33"/>
      <c r="S134" s="33"/>
      <c r="T134" s="33"/>
      <c r="U134" s="33"/>
      <c r="V134" s="33"/>
      <c r="W134" s="33"/>
      <c r="X134" s="33"/>
      <c r="Y134" s="33"/>
      <c r="Z134" s="33"/>
      <c r="AA134" s="33"/>
      <c r="AB134" s="35"/>
      <c r="AC134" s="35"/>
      <c r="AD134" s="35"/>
      <c r="AE134" s="33"/>
      <c r="AF134" s="33"/>
      <c r="AG134" s="36"/>
      <c r="AH134" s="33"/>
      <c r="AI134" s="37"/>
      <c r="AJ134" s="37"/>
    </row>
    <row r="135" spans="1:36">
      <c r="A135" s="18"/>
      <c r="B135" s="45"/>
      <c r="C135" s="38"/>
      <c r="D135" s="19"/>
      <c r="E135" s="18"/>
      <c r="F135" s="74"/>
      <c r="G135" s="57"/>
      <c r="H135" s="38"/>
      <c r="I135" s="38"/>
      <c r="J135" s="38"/>
      <c r="K135" s="38"/>
      <c r="L135" s="22"/>
      <c r="M135" s="29"/>
      <c r="N135" s="38"/>
      <c r="O135" s="38"/>
      <c r="P135" s="38"/>
      <c r="Q135" s="38"/>
      <c r="R135" s="38"/>
      <c r="S135" s="38"/>
      <c r="T135" s="38"/>
      <c r="U135" s="38"/>
      <c r="V135" s="38"/>
      <c r="W135" s="38"/>
      <c r="X135" s="38"/>
      <c r="Y135" s="38"/>
      <c r="Z135" s="38"/>
      <c r="AA135" s="38"/>
      <c r="AB135" s="39"/>
      <c r="AC135" s="39"/>
      <c r="AD135" s="39"/>
      <c r="AE135" s="38"/>
      <c r="AF135" s="38"/>
      <c r="AG135" s="40"/>
      <c r="AH135" s="38"/>
      <c r="AI135" s="41"/>
      <c r="AJ135" s="41"/>
    </row>
    <row r="136" spans="1:36">
      <c r="A136" s="18"/>
      <c r="B136" s="45"/>
      <c r="C136" s="33"/>
      <c r="D136" s="19"/>
      <c r="E136" s="18"/>
      <c r="F136" s="74"/>
      <c r="G136" s="57"/>
      <c r="H136" s="33"/>
      <c r="I136" s="33"/>
      <c r="J136" s="33"/>
      <c r="K136" s="33"/>
      <c r="L136" s="34"/>
      <c r="M136" s="29"/>
      <c r="N136" s="33"/>
      <c r="O136" s="33"/>
      <c r="P136" s="33"/>
      <c r="Q136" s="33"/>
      <c r="R136" s="33"/>
      <c r="S136" s="33"/>
      <c r="T136" s="33"/>
      <c r="U136" s="33"/>
      <c r="V136" s="33"/>
      <c r="W136" s="33"/>
      <c r="X136" s="33"/>
      <c r="Y136" s="33"/>
      <c r="Z136" s="33"/>
      <c r="AA136" s="33"/>
      <c r="AB136" s="35"/>
      <c r="AC136" s="35"/>
      <c r="AD136" s="35"/>
      <c r="AE136" s="33"/>
      <c r="AF136" s="33"/>
      <c r="AG136" s="36"/>
      <c r="AH136" s="33"/>
      <c r="AI136" s="37"/>
      <c r="AJ136" s="37"/>
    </row>
    <row r="137" spans="1:36">
      <c r="A137" s="18"/>
      <c r="B137" s="45"/>
      <c r="C137" s="38"/>
      <c r="D137" s="19"/>
      <c r="E137" s="18"/>
      <c r="F137" s="74"/>
      <c r="G137" s="57"/>
      <c r="H137" s="38"/>
      <c r="I137" s="38"/>
      <c r="J137" s="38"/>
      <c r="K137" s="38"/>
      <c r="L137" s="22"/>
      <c r="M137" s="29"/>
      <c r="N137" s="38"/>
      <c r="O137" s="38"/>
      <c r="P137" s="38"/>
      <c r="Q137" s="38"/>
      <c r="R137" s="38"/>
      <c r="S137" s="38"/>
      <c r="T137" s="38"/>
      <c r="U137" s="38"/>
      <c r="V137" s="38"/>
      <c r="W137" s="38"/>
      <c r="X137" s="38"/>
      <c r="Y137" s="38"/>
      <c r="Z137" s="38"/>
      <c r="AA137" s="38"/>
      <c r="AB137" s="39"/>
      <c r="AC137" s="39"/>
      <c r="AD137" s="39"/>
      <c r="AE137" s="38"/>
      <c r="AF137" s="38"/>
      <c r="AG137" s="40"/>
      <c r="AH137" s="38"/>
      <c r="AI137" s="41"/>
      <c r="AJ137" s="41"/>
    </row>
    <row r="138" spans="1:36">
      <c r="A138" s="18"/>
      <c r="B138" s="45"/>
      <c r="C138" s="33"/>
      <c r="D138" s="19"/>
      <c r="E138" s="18"/>
      <c r="F138" s="74"/>
      <c r="G138" s="57"/>
      <c r="H138" s="33"/>
      <c r="I138" s="33"/>
      <c r="J138" s="33"/>
      <c r="K138" s="33"/>
      <c r="L138" s="34"/>
      <c r="M138" s="29"/>
      <c r="N138" s="33"/>
      <c r="O138" s="33"/>
      <c r="P138" s="33"/>
      <c r="Q138" s="33"/>
      <c r="R138" s="33"/>
      <c r="S138" s="33"/>
      <c r="T138" s="33"/>
      <c r="U138" s="33"/>
      <c r="V138" s="33"/>
      <c r="W138" s="33"/>
      <c r="X138" s="33"/>
      <c r="Y138" s="33"/>
      <c r="Z138" s="33"/>
      <c r="AA138" s="33"/>
      <c r="AB138" s="35"/>
      <c r="AC138" s="35"/>
      <c r="AD138" s="35"/>
      <c r="AE138" s="33"/>
      <c r="AF138" s="33"/>
      <c r="AG138" s="36"/>
      <c r="AH138" s="33"/>
      <c r="AI138" s="37"/>
      <c r="AJ138" s="37"/>
    </row>
    <row r="139" spans="1:36">
      <c r="A139" s="18"/>
      <c r="B139" s="45"/>
      <c r="C139" s="38"/>
      <c r="D139" s="19"/>
      <c r="E139" s="18"/>
      <c r="F139" s="74"/>
      <c r="G139" s="57"/>
      <c r="H139" s="38"/>
      <c r="I139" s="38"/>
      <c r="J139" s="38"/>
      <c r="K139" s="38"/>
      <c r="L139" s="22"/>
      <c r="M139" s="29"/>
      <c r="N139" s="38"/>
      <c r="O139" s="38"/>
      <c r="P139" s="38"/>
      <c r="Q139" s="38"/>
      <c r="R139" s="38"/>
      <c r="S139" s="38"/>
      <c r="T139" s="38"/>
      <c r="U139" s="38"/>
      <c r="V139" s="38"/>
      <c r="W139" s="38"/>
      <c r="X139" s="38"/>
      <c r="Y139" s="38"/>
      <c r="Z139" s="38"/>
      <c r="AA139" s="38"/>
      <c r="AB139" s="39"/>
      <c r="AC139" s="39"/>
      <c r="AD139" s="39"/>
      <c r="AE139" s="38"/>
      <c r="AF139" s="38"/>
      <c r="AG139" s="40"/>
      <c r="AH139" s="38"/>
      <c r="AI139" s="41"/>
      <c r="AJ139" s="41"/>
    </row>
    <row r="140" spans="1:36">
      <c r="A140" s="18"/>
      <c r="B140" s="45"/>
      <c r="C140" s="33"/>
      <c r="D140" s="19"/>
      <c r="E140" s="18"/>
      <c r="F140" s="74"/>
      <c r="G140" s="57"/>
      <c r="H140" s="33"/>
      <c r="I140" s="33"/>
      <c r="J140" s="33"/>
      <c r="K140" s="33"/>
      <c r="L140" s="34"/>
      <c r="M140" s="29"/>
      <c r="N140" s="33"/>
      <c r="O140" s="33"/>
      <c r="P140" s="33"/>
      <c r="Q140" s="33"/>
      <c r="R140" s="33"/>
      <c r="S140" s="33"/>
      <c r="T140" s="33"/>
      <c r="U140" s="33"/>
      <c r="V140" s="33"/>
      <c r="W140" s="33"/>
      <c r="X140" s="33"/>
      <c r="Y140" s="33"/>
      <c r="Z140" s="33"/>
      <c r="AA140" s="33"/>
      <c r="AB140" s="35"/>
      <c r="AC140" s="35"/>
      <c r="AD140" s="35"/>
      <c r="AE140" s="33"/>
      <c r="AF140" s="33"/>
      <c r="AG140" s="36"/>
      <c r="AH140" s="33"/>
      <c r="AI140" s="37"/>
      <c r="AJ140" s="37"/>
    </row>
    <row r="141" spans="1:36">
      <c r="A141" s="18"/>
      <c r="B141" s="45"/>
      <c r="C141" s="38"/>
      <c r="D141" s="19"/>
      <c r="E141" s="18"/>
      <c r="F141" s="74"/>
      <c r="G141" s="57"/>
      <c r="H141" s="38"/>
      <c r="I141" s="38"/>
      <c r="J141" s="38"/>
      <c r="K141" s="38"/>
      <c r="L141" s="22"/>
      <c r="M141" s="29"/>
      <c r="N141" s="38"/>
      <c r="O141" s="38"/>
      <c r="P141" s="38"/>
      <c r="Q141" s="38"/>
      <c r="R141" s="38"/>
      <c r="S141" s="38"/>
      <c r="T141" s="38"/>
      <c r="U141" s="38"/>
      <c r="V141" s="38"/>
      <c r="W141" s="38"/>
      <c r="X141" s="38"/>
      <c r="Y141" s="38"/>
      <c r="Z141" s="38"/>
      <c r="AA141" s="38"/>
      <c r="AB141" s="39"/>
      <c r="AC141" s="39"/>
      <c r="AD141" s="39"/>
      <c r="AE141" s="38"/>
      <c r="AF141" s="38"/>
      <c r="AG141" s="40"/>
      <c r="AH141" s="38"/>
      <c r="AI141" s="41"/>
      <c r="AJ141" s="41"/>
    </row>
    <row r="142" spans="1:36">
      <c r="A142" s="18"/>
      <c r="B142" s="45"/>
      <c r="C142" s="33"/>
      <c r="D142" s="19"/>
      <c r="E142" s="18"/>
      <c r="F142" s="74"/>
      <c r="G142" s="57"/>
      <c r="H142" s="33"/>
      <c r="I142" s="33"/>
      <c r="J142" s="33"/>
      <c r="K142" s="33"/>
      <c r="L142" s="34"/>
      <c r="M142" s="29"/>
      <c r="N142" s="33"/>
      <c r="O142" s="33"/>
      <c r="P142" s="33"/>
      <c r="Q142" s="33"/>
      <c r="R142" s="33"/>
      <c r="S142" s="33"/>
      <c r="T142" s="33"/>
      <c r="U142" s="33"/>
      <c r="V142" s="33"/>
      <c r="W142" s="33"/>
      <c r="X142" s="33"/>
      <c r="Y142" s="33"/>
      <c r="Z142" s="33"/>
      <c r="AA142" s="33"/>
      <c r="AB142" s="35"/>
      <c r="AC142" s="35"/>
      <c r="AD142" s="35"/>
      <c r="AE142" s="33"/>
      <c r="AF142" s="33"/>
      <c r="AG142" s="36"/>
      <c r="AH142" s="33"/>
      <c r="AI142" s="37"/>
      <c r="AJ142" s="37"/>
    </row>
    <row r="143" spans="1:36">
      <c r="A143" s="18"/>
      <c r="B143" s="45"/>
      <c r="C143" s="38"/>
      <c r="D143" s="19"/>
      <c r="E143" s="18"/>
      <c r="F143" s="74"/>
      <c r="G143" s="57"/>
      <c r="H143" s="38"/>
      <c r="I143" s="38"/>
      <c r="J143" s="38"/>
      <c r="K143" s="38"/>
      <c r="L143" s="22"/>
      <c r="M143" s="29"/>
      <c r="N143" s="38"/>
      <c r="O143" s="38"/>
      <c r="P143" s="38"/>
      <c r="Q143" s="38"/>
      <c r="R143" s="38"/>
      <c r="S143" s="38"/>
      <c r="T143" s="38"/>
      <c r="U143" s="38"/>
      <c r="V143" s="38"/>
      <c r="W143" s="38"/>
      <c r="X143" s="38"/>
      <c r="Y143" s="38"/>
      <c r="Z143" s="38"/>
      <c r="AA143" s="38"/>
      <c r="AB143" s="39"/>
      <c r="AC143" s="39"/>
      <c r="AD143" s="39"/>
      <c r="AE143" s="38"/>
      <c r="AF143" s="38"/>
      <c r="AG143" s="40"/>
      <c r="AH143" s="38"/>
      <c r="AI143" s="41"/>
      <c r="AJ143" s="41"/>
    </row>
    <row r="144" spans="1:36">
      <c r="A144" s="18"/>
      <c r="B144" s="45"/>
      <c r="C144" s="33"/>
      <c r="D144" s="19"/>
      <c r="E144" s="18"/>
      <c r="F144" s="74"/>
      <c r="G144" s="57"/>
      <c r="H144" s="33"/>
      <c r="I144" s="33"/>
      <c r="J144" s="33"/>
      <c r="K144" s="33"/>
      <c r="L144" s="34"/>
      <c r="M144" s="29"/>
      <c r="N144" s="33"/>
      <c r="O144" s="33"/>
      <c r="P144" s="33"/>
      <c r="Q144" s="33"/>
      <c r="R144" s="33"/>
      <c r="S144" s="33"/>
      <c r="T144" s="33"/>
      <c r="U144" s="33"/>
      <c r="V144" s="33"/>
      <c r="W144" s="33"/>
      <c r="X144" s="33"/>
      <c r="Y144" s="33"/>
      <c r="Z144" s="33"/>
      <c r="AA144" s="33"/>
      <c r="AB144" s="35"/>
      <c r="AC144" s="35"/>
      <c r="AD144" s="35"/>
      <c r="AE144" s="33"/>
      <c r="AF144" s="33"/>
      <c r="AG144" s="36"/>
      <c r="AH144" s="33"/>
      <c r="AI144" s="37"/>
      <c r="AJ144" s="37"/>
    </row>
    <row r="145" spans="1:36">
      <c r="A145" s="18"/>
      <c r="B145" s="45"/>
      <c r="C145" s="38"/>
      <c r="D145" s="19"/>
      <c r="E145" s="18"/>
      <c r="F145" s="74"/>
      <c r="G145" s="57"/>
      <c r="H145" s="38"/>
      <c r="I145" s="38"/>
      <c r="J145" s="38"/>
      <c r="K145" s="38"/>
      <c r="L145" s="22"/>
      <c r="M145" s="29"/>
      <c r="N145" s="38"/>
      <c r="O145" s="38"/>
      <c r="P145" s="38"/>
      <c r="Q145" s="38"/>
      <c r="R145" s="38"/>
      <c r="S145" s="38"/>
      <c r="T145" s="38"/>
      <c r="U145" s="38"/>
      <c r="V145" s="38"/>
      <c r="W145" s="38"/>
      <c r="X145" s="38"/>
      <c r="Y145" s="38"/>
      <c r="Z145" s="38"/>
      <c r="AA145" s="38"/>
      <c r="AB145" s="39"/>
      <c r="AC145" s="39"/>
      <c r="AD145" s="39"/>
      <c r="AE145" s="38"/>
      <c r="AF145" s="38"/>
      <c r="AG145" s="40"/>
      <c r="AH145" s="38"/>
      <c r="AI145" s="41"/>
      <c r="AJ145" s="41"/>
    </row>
    <row r="146" spans="1:36">
      <c r="A146" s="18"/>
      <c r="B146" s="45"/>
      <c r="C146" s="33"/>
      <c r="D146" s="19"/>
      <c r="E146" s="18"/>
      <c r="F146" s="74"/>
      <c r="G146" s="57"/>
      <c r="H146" s="33"/>
      <c r="I146" s="33"/>
      <c r="J146" s="33"/>
      <c r="K146" s="33"/>
      <c r="L146" s="34"/>
      <c r="M146" s="29"/>
      <c r="N146" s="33"/>
      <c r="O146" s="33"/>
      <c r="P146" s="33"/>
      <c r="Q146" s="33"/>
      <c r="R146" s="33"/>
      <c r="S146" s="33"/>
      <c r="T146" s="33"/>
      <c r="U146" s="33"/>
      <c r="V146" s="33"/>
      <c r="W146" s="33"/>
      <c r="X146" s="33"/>
      <c r="Y146" s="33"/>
      <c r="Z146" s="33"/>
      <c r="AA146" s="33"/>
      <c r="AB146" s="35"/>
      <c r="AC146" s="35"/>
      <c r="AD146" s="35"/>
      <c r="AE146" s="33"/>
      <c r="AF146" s="33"/>
      <c r="AG146" s="36"/>
      <c r="AH146" s="33"/>
      <c r="AI146" s="37"/>
      <c r="AJ146" s="37"/>
    </row>
    <row r="147" spans="1:36">
      <c r="A147" s="18"/>
      <c r="B147" s="45"/>
      <c r="C147" s="38"/>
      <c r="D147" s="19"/>
      <c r="E147" s="18"/>
      <c r="F147" s="74"/>
      <c r="G147" s="57"/>
      <c r="H147" s="38"/>
      <c r="I147" s="38"/>
      <c r="J147" s="38"/>
      <c r="K147" s="38"/>
      <c r="L147" s="22"/>
      <c r="M147" s="29"/>
      <c r="N147" s="38"/>
      <c r="O147" s="38"/>
      <c r="P147" s="38"/>
      <c r="Q147" s="38"/>
      <c r="R147" s="38"/>
      <c r="S147" s="38"/>
      <c r="T147" s="38"/>
      <c r="U147" s="38"/>
      <c r="V147" s="38"/>
      <c r="W147" s="38"/>
      <c r="X147" s="38"/>
      <c r="Y147" s="38"/>
      <c r="Z147" s="38"/>
      <c r="AA147" s="38"/>
      <c r="AB147" s="39"/>
      <c r="AC147" s="39"/>
      <c r="AD147" s="39"/>
      <c r="AE147" s="38"/>
      <c r="AF147" s="38"/>
      <c r="AG147" s="40"/>
      <c r="AH147" s="38"/>
      <c r="AI147" s="41"/>
      <c r="AJ147" s="41"/>
    </row>
    <row r="148" spans="1:36">
      <c r="A148" s="18"/>
      <c r="B148" s="45"/>
      <c r="C148" s="33"/>
      <c r="D148" s="19"/>
      <c r="E148" s="18"/>
      <c r="F148" s="74"/>
      <c r="G148" s="57"/>
      <c r="H148" s="33"/>
      <c r="I148" s="33"/>
      <c r="J148" s="33"/>
      <c r="K148" s="33"/>
      <c r="L148" s="34"/>
      <c r="M148" s="29"/>
      <c r="N148" s="33"/>
      <c r="O148" s="33"/>
      <c r="P148" s="33"/>
      <c r="Q148" s="33"/>
      <c r="R148" s="33"/>
      <c r="S148" s="33"/>
      <c r="T148" s="33"/>
      <c r="U148" s="33"/>
      <c r="V148" s="33"/>
      <c r="W148" s="33"/>
      <c r="X148" s="33"/>
      <c r="Y148" s="33"/>
      <c r="Z148" s="33"/>
      <c r="AA148" s="33"/>
      <c r="AB148" s="35"/>
      <c r="AC148" s="35"/>
      <c r="AD148" s="35"/>
      <c r="AE148" s="33"/>
      <c r="AF148" s="33"/>
      <c r="AG148" s="36"/>
      <c r="AH148" s="33"/>
      <c r="AI148" s="37"/>
      <c r="AJ148" s="37"/>
    </row>
    <row r="149" spans="1:36">
      <c r="A149" s="18"/>
      <c r="B149" s="45"/>
      <c r="C149" s="38"/>
      <c r="D149" s="19"/>
      <c r="E149" s="18"/>
      <c r="F149" s="74"/>
      <c r="G149" s="57"/>
      <c r="H149" s="38"/>
      <c r="I149" s="38"/>
      <c r="J149" s="38"/>
      <c r="K149" s="38"/>
      <c r="L149" s="22"/>
      <c r="M149" s="29"/>
      <c r="N149" s="38"/>
      <c r="O149" s="38"/>
      <c r="P149" s="38"/>
      <c r="Q149" s="38"/>
      <c r="R149" s="38"/>
      <c r="S149" s="38"/>
      <c r="T149" s="38"/>
      <c r="U149" s="38"/>
      <c r="V149" s="38"/>
      <c r="W149" s="38"/>
      <c r="X149" s="38"/>
      <c r="Y149" s="38"/>
      <c r="Z149" s="38"/>
      <c r="AA149" s="38"/>
      <c r="AB149" s="39"/>
      <c r="AC149" s="39"/>
      <c r="AD149" s="39"/>
      <c r="AE149" s="38"/>
      <c r="AF149" s="38"/>
      <c r="AG149" s="40"/>
      <c r="AH149" s="38"/>
      <c r="AI149" s="41"/>
      <c r="AJ149" s="41"/>
    </row>
    <row r="150" spans="1:36">
      <c r="A150" s="18"/>
      <c r="B150" s="45"/>
      <c r="C150" s="33"/>
      <c r="D150" s="19"/>
      <c r="E150" s="18"/>
      <c r="F150" s="74"/>
      <c r="G150" s="57"/>
      <c r="H150" s="33"/>
      <c r="I150" s="33"/>
      <c r="J150" s="33"/>
      <c r="K150" s="33"/>
      <c r="L150" s="34"/>
      <c r="M150" s="29"/>
      <c r="N150" s="33"/>
      <c r="O150" s="33"/>
      <c r="P150" s="33"/>
      <c r="Q150" s="33"/>
      <c r="R150" s="33"/>
      <c r="S150" s="33"/>
      <c r="T150" s="33"/>
      <c r="U150" s="33"/>
      <c r="V150" s="33"/>
      <c r="W150" s="33"/>
      <c r="X150" s="33"/>
      <c r="Y150" s="33"/>
      <c r="Z150" s="33"/>
      <c r="AA150" s="33"/>
      <c r="AB150" s="35"/>
      <c r="AC150" s="35"/>
      <c r="AD150" s="35"/>
      <c r="AE150" s="33"/>
      <c r="AF150" s="33"/>
      <c r="AG150" s="36"/>
      <c r="AH150" s="33"/>
      <c r="AI150" s="37"/>
      <c r="AJ150" s="37"/>
    </row>
    <row r="151" spans="1:36">
      <c r="A151" s="18"/>
      <c r="B151" s="45"/>
      <c r="C151" s="38"/>
      <c r="D151" s="19"/>
      <c r="E151" s="18"/>
      <c r="F151" s="74"/>
      <c r="G151" s="57"/>
      <c r="H151" s="38"/>
      <c r="I151" s="38"/>
      <c r="J151" s="38"/>
      <c r="K151" s="38"/>
      <c r="L151" s="22"/>
      <c r="M151" s="29"/>
      <c r="N151" s="38"/>
      <c r="O151" s="38"/>
      <c r="P151" s="38"/>
      <c r="Q151" s="38"/>
      <c r="R151" s="38"/>
      <c r="S151" s="38"/>
      <c r="T151" s="38"/>
      <c r="U151" s="38"/>
      <c r="V151" s="38"/>
      <c r="W151" s="38"/>
      <c r="X151" s="38"/>
      <c r="Y151" s="38"/>
      <c r="Z151" s="38"/>
      <c r="AA151" s="38"/>
      <c r="AB151" s="39"/>
      <c r="AC151" s="39"/>
      <c r="AD151" s="39"/>
      <c r="AE151" s="38"/>
      <c r="AF151" s="38"/>
      <c r="AG151" s="40"/>
      <c r="AH151" s="38"/>
      <c r="AI151" s="41"/>
      <c r="AJ151" s="41"/>
    </row>
    <row r="152" spans="1:36">
      <c r="A152" s="18"/>
      <c r="B152" s="45"/>
      <c r="C152" s="33"/>
      <c r="D152" s="19"/>
      <c r="E152" s="18"/>
      <c r="F152" s="74"/>
      <c r="G152" s="57"/>
      <c r="H152" s="33"/>
      <c r="I152" s="33"/>
      <c r="J152" s="33"/>
      <c r="K152" s="33"/>
      <c r="L152" s="34"/>
      <c r="M152" s="29"/>
      <c r="N152" s="33"/>
      <c r="O152" s="33"/>
      <c r="P152" s="33"/>
      <c r="Q152" s="33"/>
      <c r="R152" s="33"/>
      <c r="S152" s="33"/>
      <c r="T152" s="33"/>
      <c r="U152" s="33"/>
      <c r="V152" s="33"/>
      <c r="W152" s="33"/>
      <c r="X152" s="33"/>
      <c r="Y152" s="33"/>
      <c r="Z152" s="33"/>
      <c r="AA152" s="33"/>
      <c r="AB152" s="35"/>
      <c r="AC152" s="35"/>
      <c r="AD152" s="35"/>
      <c r="AE152" s="33"/>
      <c r="AF152" s="33"/>
      <c r="AG152" s="36"/>
      <c r="AH152" s="33"/>
      <c r="AI152" s="37"/>
      <c r="AJ152" s="37"/>
    </row>
    <row r="153" spans="1:36">
      <c r="A153" s="18"/>
      <c r="B153" s="45"/>
      <c r="C153" s="38"/>
      <c r="D153" s="19"/>
      <c r="E153" s="18"/>
      <c r="F153" s="74"/>
      <c r="G153" s="57"/>
      <c r="H153" s="38"/>
      <c r="I153" s="38"/>
      <c r="J153" s="38"/>
      <c r="K153" s="38"/>
      <c r="L153" s="22"/>
      <c r="M153" s="29"/>
      <c r="N153" s="38"/>
      <c r="O153" s="38"/>
      <c r="P153" s="38"/>
      <c r="Q153" s="38"/>
      <c r="R153" s="38"/>
      <c r="S153" s="38"/>
      <c r="T153" s="38"/>
      <c r="U153" s="38"/>
      <c r="V153" s="38"/>
      <c r="W153" s="38"/>
      <c r="X153" s="38"/>
      <c r="Y153" s="38"/>
      <c r="Z153" s="38"/>
      <c r="AA153" s="38"/>
      <c r="AB153" s="39"/>
      <c r="AC153" s="39"/>
      <c r="AD153" s="39"/>
      <c r="AE153" s="38"/>
      <c r="AF153" s="38"/>
      <c r="AG153" s="40"/>
      <c r="AH153" s="38"/>
      <c r="AI153" s="41"/>
      <c r="AJ153" s="41"/>
    </row>
    <row r="154" spans="1:36">
      <c r="A154" s="18"/>
      <c r="B154" s="45"/>
      <c r="C154" s="33"/>
      <c r="D154" s="19"/>
      <c r="E154" s="33"/>
      <c r="F154" s="74"/>
      <c r="G154" s="57"/>
      <c r="H154" s="33"/>
      <c r="I154" s="33"/>
      <c r="J154" s="33"/>
      <c r="K154" s="33"/>
      <c r="L154" s="34"/>
      <c r="M154" s="29"/>
      <c r="N154" s="33"/>
      <c r="O154" s="33"/>
      <c r="P154" s="33"/>
      <c r="Q154" s="33"/>
      <c r="R154" s="33"/>
      <c r="S154" s="33"/>
      <c r="T154" s="33"/>
      <c r="U154" s="33"/>
      <c r="V154" s="33"/>
      <c r="W154" s="33"/>
      <c r="X154" s="33"/>
      <c r="Y154" s="33"/>
      <c r="Z154" s="33"/>
      <c r="AA154" s="33"/>
      <c r="AB154" s="35"/>
      <c r="AC154" s="35"/>
      <c r="AD154" s="35"/>
      <c r="AE154" s="33"/>
      <c r="AF154" s="33"/>
      <c r="AG154" s="36"/>
      <c r="AH154" s="33"/>
      <c r="AI154" s="37"/>
      <c r="AJ154" s="37"/>
    </row>
    <row r="155" spans="1:36">
      <c r="A155" s="18"/>
      <c r="B155" s="45"/>
      <c r="C155" s="38"/>
      <c r="D155" s="19"/>
      <c r="E155" s="33"/>
      <c r="F155" s="74"/>
      <c r="G155" s="57"/>
      <c r="H155" s="38"/>
      <c r="I155" s="38"/>
      <c r="J155" s="38"/>
      <c r="K155" s="38"/>
      <c r="L155" s="22"/>
      <c r="M155" s="29"/>
      <c r="N155" s="38"/>
      <c r="O155" s="38"/>
      <c r="P155" s="38"/>
      <c r="Q155" s="38"/>
      <c r="R155" s="38"/>
      <c r="S155" s="38"/>
      <c r="T155" s="38"/>
      <c r="U155" s="38"/>
      <c r="V155" s="38"/>
      <c r="W155" s="38"/>
      <c r="X155" s="38"/>
      <c r="Y155" s="38"/>
      <c r="Z155" s="38"/>
      <c r="AA155" s="38"/>
      <c r="AB155" s="39"/>
      <c r="AC155" s="39"/>
      <c r="AD155" s="39"/>
      <c r="AE155" s="38"/>
      <c r="AF155" s="38"/>
      <c r="AG155" s="40"/>
      <c r="AH155" s="38"/>
      <c r="AI155" s="41"/>
      <c r="AJ155" s="41"/>
    </row>
    <row r="156" spans="1:36">
      <c r="A156" s="18"/>
      <c r="B156" s="45"/>
      <c r="C156" s="33"/>
      <c r="D156" s="19"/>
      <c r="E156" s="33"/>
      <c r="F156" s="74"/>
      <c r="G156" s="57"/>
      <c r="H156" s="33"/>
      <c r="I156" s="33"/>
      <c r="J156" s="33"/>
      <c r="K156" s="33"/>
      <c r="L156" s="34"/>
      <c r="M156" s="29"/>
      <c r="N156" s="33"/>
      <c r="O156" s="33"/>
      <c r="P156" s="33"/>
      <c r="Q156" s="33"/>
      <c r="R156" s="33"/>
      <c r="S156" s="33"/>
      <c r="T156" s="33"/>
      <c r="U156" s="33"/>
      <c r="V156" s="33"/>
      <c r="W156" s="33"/>
      <c r="X156" s="33"/>
      <c r="Y156" s="33"/>
      <c r="Z156" s="33"/>
      <c r="AA156" s="33"/>
      <c r="AB156" s="35"/>
      <c r="AC156" s="35"/>
      <c r="AD156" s="35"/>
      <c r="AE156" s="33"/>
      <c r="AF156" s="33"/>
      <c r="AG156" s="36"/>
      <c r="AH156" s="33"/>
      <c r="AI156" s="37"/>
      <c r="AJ156" s="37"/>
    </row>
    <row r="157" spans="1:36">
      <c r="A157" s="18"/>
      <c r="B157" s="45"/>
      <c r="C157" s="38"/>
      <c r="D157" s="19"/>
      <c r="E157" s="33"/>
      <c r="F157" s="74"/>
      <c r="G157" s="57"/>
      <c r="H157" s="38"/>
      <c r="I157" s="38"/>
      <c r="J157" s="38"/>
      <c r="K157" s="38"/>
      <c r="L157" s="22"/>
      <c r="M157" s="29"/>
      <c r="N157" s="38"/>
      <c r="O157" s="38"/>
      <c r="P157" s="38"/>
      <c r="Q157" s="38"/>
      <c r="R157" s="38"/>
      <c r="S157" s="38"/>
      <c r="T157" s="38"/>
      <c r="U157" s="38"/>
      <c r="V157" s="38"/>
      <c r="W157" s="38"/>
      <c r="X157" s="38"/>
      <c r="Y157" s="38"/>
      <c r="Z157" s="38"/>
      <c r="AA157" s="38"/>
      <c r="AB157" s="39"/>
      <c r="AC157" s="39"/>
      <c r="AD157" s="39"/>
      <c r="AE157" s="38"/>
      <c r="AF157" s="38"/>
      <c r="AG157" s="40"/>
      <c r="AH157" s="38"/>
      <c r="AI157" s="41"/>
      <c r="AJ157" s="41"/>
    </row>
    <row r="158" spans="1:36">
      <c r="A158" s="18"/>
      <c r="B158" s="45"/>
      <c r="C158" s="33"/>
      <c r="D158" s="19"/>
      <c r="E158" s="33"/>
      <c r="F158" s="74"/>
      <c r="G158" s="57"/>
      <c r="H158" s="33"/>
      <c r="I158" s="33"/>
      <c r="J158" s="33"/>
      <c r="K158" s="33"/>
      <c r="L158" s="34"/>
      <c r="M158" s="29"/>
      <c r="N158" s="33"/>
      <c r="O158" s="33"/>
      <c r="P158" s="33"/>
      <c r="Q158" s="33"/>
      <c r="R158" s="33"/>
      <c r="S158" s="33"/>
      <c r="T158" s="33"/>
      <c r="U158" s="33"/>
      <c r="V158" s="33"/>
      <c r="W158" s="33"/>
      <c r="X158" s="33"/>
      <c r="Y158" s="33"/>
      <c r="Z158" s="33"/>
      <c r="AA158" s="33"/>
      <c r="AB158" s="35"/>
      <c r="AC158" s="35"/>
      <c r="AD158" s="35"/>
      <c r="AE158" s="33"/>
      <c r="AF158" s="33"/>
      <c r="AG158" s="36"/>
      <c r="AH158" s="33"/>
      <c r="AI158" s="37"/>
      <c r="AJ158" s="37"/>
    </row>
    <row r="159" spans="1:36">
      <c r="A159" s="18"/>
      <c r="B159" s="45"/>
      <c r="C159" s="38"/>
      <c r="D159" s="19"/>
      <c r="E159" s="33"/>
      <c r="F159" s="74"/>
      <c r="G159" s="57"/>
      <c r="H159" s="38"/>
      <c r="I159" s="38"/>
      <c r="J159" s="38"/>
      <c r="K159" s="38"/>
      <c r="L159" s="22"/>
      <c r="M159" s="29"/>
      <c r="N159" s="38"/>
      <c r="O159" s="38"/>
      <c r="P159" s="38"/>
      <c r="Q159" s="38"/>
      <c r="R159" s="38"/>
      <c r="S159" s="38"/>
      <c r="T159" s="38"/>
      <c r="U159" s="38"/>
      <c r="V159" s="38"/>
      <c r="W159" s="38"/>
      <c r="X159" s="38"/>
      <c r="Y159" s="38"/>
      <c r="Z159" s="38"/>
      <c r="AA159" s="38"/>
      <c r="AB159" s="39"/>
      <c r="AC159" s="39"/>
      <c r="AD159" s="39"/>
      <c r="AE159" s="38"/>
      <c r="AF159" s="38"/>
      <c r="AG159" s="40"/>
      <c r="AH159" s="38"/>
      <c r="AI159" s="41"/>
      <c r="AJ159" s="41"/>
    </row>
    <row r="160" spans="1:36">
      <c r="A160" s="18"/>
      <c r="B160" s="45"/>
      <c r="C160" s="33"/>
      <c r="D160" s="19"/>
      <c r="E160" s="33"/>
      <c r="F160" s="74"/>
      <c r="G160" s="57"/>
      <c r="H160" s="33"/>
      <c r="I160" s="33"/>
      <c r="J160" s="33"/>
      <c r="K160" s="33"/>
      <c r="L160" s="34"/>
      <c r="M160" s="29"/>
      <c r="N160" s="33"/>
      <c r="O160" s="33"/>
      <c r="P160" s="33"/>
      <c r="Q160" s="33"/>
      <c r="R160" s="33"/>
      <c r="S160" s="33"/>
      <c r="T160" s="33"/>
      <c r="U160" s="33"/>
      <c r="V160" s="33"/>
      <c r="W160" s="33"/>
      <c r="X160" s="33"/>
      <c r="Y160" s="33"/>
      <c r="Z160" s="33"/>
      <c r="AA160" s="33"/>
      <c r="AB160" s="35"/>
      <c r="AC160" s="35"/>
      <c r="AD160" s="35"/>
      <c r="AE160" s="33"/>
      <c r="AF160" s="33"/>
      <c r="AG160" s="36"/>
      <c r="AH160" s="33"/>
      <c r="AI160" s="37"/>
      <c r="AJ160" s="37"/>
    </row>
    <row r="161" spans="1:36">
      <c r="A161" s="18"/>
      <c r="B161" s="45"/>
      <c r="C161" s="38"/>
      <c r="D161" s="19"/>
      <c r="E161" s="33"/>
      <c r="F161" s="74"/>
      <c r="G161" s="57"/>
      <c r="H161" s="38"/>
      <c r="I161" s="38"/>
      <c r="J161" s="38"/>
      <c r="K161" s="38"/>
      <c r="L161" s="22"/>
      <c r="M161" s="29"/>
      <c r="N161" s="38"/>
      <c r="O161" s="38"/>
      <c r="P161" s="38"/>
      <c r="Q161" s="38"/>
      <c r="R161" s="38"/>
      <c r="S161" s="38"/>
      <c r="T161" s="38"/>
      <c r="U161" s="38"/>
      <c r="V161" s="38"/>
      <c r="W161" s="38"/>
      <c r="X161" s="38"/>
      <c r="Y161" s="38"/>
      <c r="Z161" s="38"/>
      <c r="AA161" s="38"/>
      <c r="AB161" s="39"/>
      <c r="AC161" s="39"/>
      <c r="AD161" s="39"/>
      <c r="AE161" s="38"/>
      <c r="AF161" s="38"/>
      <c r="AG161" s="40"/>
      <c r="AH161" s="38"/>
      <c r="AI161" s="41"/>
      <c r="AJ161" s="41"/>
    </row>
    <row r="162" spans="1:36">
      <c r="A162" s="18"/>
      <c r="B162" s="45"/>
      <c r="C162" s="33"/>
      <c r="D162" s="19"/>
      <c r="E162" s="33"/>
      <c r="F162" s="74"/>
      <c r="G162" s="57"/>
      <c r="H162" s="33"/>
      <c r="I162" s="33"/>
      <c r="J162" s="33"/>
      <c r="K162" s="33"/>
      <c r="L162" s="34"/>
      <c r="M162" s="29"/>
      <c r="N162" s="33"/>
      <c r="O162" s="33"/>
      <c r="P162" s="33"/>
      <c r="Q162" s="33"/>
      <c r="R162" s="33"/>
      <c r="S162" s="33"/>
      <c r="T162" s="33"/>
      <c r="U162" s="33"/>
      <c r="V162" s="33"/>
      <c r="W162" s="33"/>
      <c r="X162" s="33"/>
      <c r="Y162" s="33"/>
      <c r="Z162" s="33"/>
      <c r="AA162" s="33"/>
      <c r="AB162" s="35"/>
      <c r="AC162" s="35"/>
      <c r="AD162" s="35"/>
      <c r="AE162" s="33"/>
      <c r="AF162" s="33"/>
      <c r="AG162" s="36"/>
      <c r="AH162" s="33"/>
      <c r="AI162" s="37"/>
      <c r="AJ162" s="37"/>
    </row>
    <row r="163" spans="1:36">
      <c r="A163" s="18"/>
      <c r="B163" s="45"/>
      <c r="C163" s="38"/>
      <c r="D163" s="19"/>
      <c r="E163" s="33"/>
      <c r="F163" s="74"/>
      <c r="G163" s="57"/>
      <c r="H163" s="38"/>
      <c r="I163" s="38"/>
      <c r="J163" s="38"/>
      <c r="K163" s="38"/>
      <c r="L163" s="22"/>
      <c r="M163" s="29"/>
      <c r="N163" s="38"/>
      <c r="O163" s="38"/>
      <c r="P163" s="38"/>
      <c r="Q163" s="38"/>
      <c r="R163" s="38"/>
      <c r="S163" s="38"/>
      <c r="T163" s="38"/>
      <c r="U163" s="38"/>
      <c r="V163" s="38"/>
      <c r="W163" s="38"/>
      <c r="X163" s="38"/>
      <c r="Y163" s="38"/>
      <c r="Z163" s="38"/>
      <c r="AA163" s="38"/>
      <c r="AB163" s="39"/>
      <c r="AC163" s="39"/>
      <c r="AD163" s="39"/>
      <c r="AE163" s="38"/>
      <c r="AF163" s="38"/>
      <c r="AG163" s="40"/>
      <c r="AH163" s="38"/>
      <c r="AI163" s="41"/>
      <c r="AJ163" s="41"/>
    </row>
    <row r="164" spans="1:36">
      <c r="A164" s="18"/>
      <c r="B164" s="45"/>
      <c r="C164" s="33"/>
      <c r="D164" s="19"/>
      <c r="E164" s="33"/>
      <c r="F164" s="74"/>
      <c r="G164" s="57"/>
      <c r="H164" s="33"/>
      <c r="I164" s="33"/>
      <c r="J164" s="33"/>
      <c r="K164" s="33"/>
      <c r="L164" s="34"/>
      <c r="M164" s="29"/>
      <c r="N164" s="33"/>
      <c r="O164" s="33"/>
      <c r="P164" s="33"/>
      <c r="Q164" s="33"/>
      <c r="R164" s="33"/>
      <c r="S164" s="33"/>
      <c r="T164" s="33"/>
      <c r="U164" s="33"/>
      <c r="V164" s="33"/>
      <c r="W164" s="33"/>
      <c r="X164" s="33"/>
      <c r="Y164" s="33"/>
      <c r="Z164" s="33"/>
      <c r="AA164" s="33"/>
      <c r="AB164" s="35"/>
      <c r="AC164" s="35"/>
      <c r="AD164" s="35"/>
      <c r="AE164" s="33"/>
      <c r="AF164" s="33"/>
      <c r="AG164" s="36"/>
      <c r="AH164" s="33"/>
      <c r="AI164" s="37"/>
      <c r="AJ164" s="37"/>
    </row>
    <row r="165" spans="1:36">
      <c r="A165" s="18"/>
      <c r="B165" s="45"/>
      <c r="C165" s="38"/>
      <c r="D165" s="19"/>
      <c r="E165" s="33"/>
      <c r="F165" s="74"/>
      <c r="G165" s="57"/>
      <c r="H165" s="38"/>
      <c r="I165" s="38"/>
      <c r="J165" s="38"/>
      <c r="K165" s="38"/>
      <c r="L165" s="22"/>
      <c r="M165" s="29"/>
      <c r="N165" s="38"/>
      <c r="O165" s="38"/>
      <c r="P165" s="38"/>
      <c r="Q165" s="38"/>
      <c r="R165" s="38"/>
      <c r="S165" s="38"/>
      <c r="T165" s="38"/>
      <c r="U165" s="38"/>
      <c r="V165" s="38"/>
      <c r="W165" s="38"/>
      <c r="X165" s="38"/>
      <c r="Y165" s="38"/>
      <c r="Z165" s="38"/>
      <c r="AA165" s="38"/>
      <c r="AB165" s="39"/>
      <c r="AC165" s="39"/>
      <c r="AD165" s="39"/>
      <c r="AE165" s="38"/>
      <c r="AF165" s="38"/>
      <c r="AG165" s="40"/>
      <c r="AH165" s="38"/>
      <c r="AI165" s="41"/>
      <c r="AJ165" s="41"/>
    </row>
    <row r="166" spans="1:36">
      <c r="A166" s="18"/>
      <c r="B166" s="45"/>
      <c r="C166" s="33"/>
      <c r="D166" s="19"/>
      <c r="E166" s="33"/>
      <c r="F166" s="74"/>
      <c r="G166" s="57"/>
      <c r="H166" s="33"/>
      <c r="I166" s="33"/>
      <c r="J166" s="33"/>
      <c r="K166" s="33"/>
      <c r="L166" s="34"/>
      <c r="M166" s="29"/>
      <c r="N166" s="33"/>
      <c r="O166" s="33"/>
      <c r="P166" s="33"/>
      <c r="Q166" s="33"/>
      <c r="R166" s="33"/>
      <c r="S166" s="33"/>
      <c r="T166" s="33"/>
      <c r="U166" s="33"/>
      <c r="V166" s="33"/>
      <c r="W166" s="33"/>
      <c r="X166" s="33"/>
      <c r="Y166" s="33"/>
      <c r="Z166" s="33"/>
      <c r="AA166" s="33"/>
      <c r="AB166" s="35"/>
      <c r="AC166" s="35"/>
      <c r="AD166" s="35"/>
      <c r="AE166" s="33"/>
      <c r="AF166" s="33"/>
      <c r="AG166" s="36"/>
      <c r="AH166" s="33"/>
      <c r="AI166" s="37"/>
      <c r="AJ166" s="37"/>
    </row>
    <row r="167" spans="1:36">
      <c r="A167" s="18"/>
      <c r="B167" s="45"/>
      <c r="C167" s="38"/>
      <c r="D167" s="19"/>
      <c r="E167" s="33"/>
      <c r="F167" s="74"/>
      <c r="G167" s="57"/>
      <c r="H167" s="38"/>
      <c r="I167" s="38"/>
      <c r="J167" s="38"/>
      <c r="K167" s="38"/>
      <c r="L167" s="22"/>
      <c r="M167" s="29"/>
      <c r="N167" s="38"/>
      <c r="O167" s="38"/>
      <c r="P167" s="38"/>
      <c r="Q167" s="38"/>
      <c r="R167" s="38"/>
      <c r="S167" s="38"/>
      <c r="T167" s="38"/>
      <c r="U167" s="38"/>
      <c r="V167" s="38"/>
      <c r="W167" s="38"/>
      <c r="X167" s="38"/>
      <c r="Y167" s="38"/>
      <c r="Z167" s="38"/>
      <c r="AA167" s="38"/>
      <c r="AB167" s="39"/>
      <c r="AC167" s="39"/>
      <c r="AD167" s="39"/>
      <c r="AE167" s="38"/>
      <c r="AF167" s="38"/>
      <c r="AG167" s="40"/>
      <c r="AH167" s="38"/>
      <c r="AI167" s="41"/>
      <c r="AJ167" s="41"/>
    </row>
    <row r="168" spans="1:36">
      <c r="A168" s="18"/>
      <c r="B168" s="45"/>
      <c r="C168" s="33"/>
      <c r="D168" s="19"/>
      <c r="E168" s="33"/>
      <c r="F168" s="74"/>
      <c r="G168" s="57"/>
      <c r="H168" s="33"/>
      <c r="I168" s="33"/>
      <c r="J168" s="33"/>
      <c r="K168" s="33"/>
      <c r="L168" s="34"/>
      <c r="M168" s="29"/>
      <c r="N168" s="33"/>
      <c r="O168" s="33"/>
      <c r="P168" s="33"/>
      <c r="Q168" s="33"/>
      <c r="R168" s="33"/>
      <c r="S168" s="33"/>
      <c r="T168" s="33"/>
      <c r="U168" s="33"/>
      <c r="V168" s="33"/>
      <c r="W168" s="33"/>
      <c r="X168" s="33"/>
      <c r="Y168" s="33"/>
      <c r="Z168" s="33"/>
      <c r="AA168" s="33"/>
      <c r="AB168" s="35"/>
      <c r="AC168" s="35"/>
      <c r="AD168" s="35"/>
      <c r="AE168" s="33"/>
      <c r="AF168" s="33"/>
      <c r="AG168" s="36"/>
      <c r="AH168" s="33"/>
      <c r="AI168" s="37"/>
      <c r="AJ168" s="37"/>
    </row>
    <row r="169" spans="1:36">
      <c r="A169" s="18"/>
      <c r="B169" s="45"/>
      <c r="C169" s="38"/>
      <c r="D169" s="19"/>
      <c r="E169" s="33"/>
      <c r="F169" s="74"/>
      <c r="G169" s="57"/>
      <c r="H169" s="38"/>
      <c r="I169" s="38"/>
      <c r="J169" s="38"/>
      <c r="K169" s="38"/>
      <c r="L169" s="22"/>
      <c r="M169" s="29"/>
      <c r="N169" s="38"/>
      <c r="O169" s="38"/>
      <c r="P169" s="38"/>
      <c r="Q169" s="38"/>
      <c r="R169" s="38"/>
      <c r="S169" s="38"/>
      <c r="T169" s="38"/>
      <c r="U169" s="38"/>
      <c r="V169" s="38"/>
      <c r="W169" s="38"/>
      <c r="X169" s="38"/>
      <c r="Y169" s="38"/>
      <c r="Z169" s="38"/>
      <c r="AA169" s="38"/>
      <c r="AB169" s="39"/>
      <c r="AC169" s="39"/>
      <c r="AD169" s="39"/>
      <c r="AE169" s="38"/>
      <c r="AF169" s="38"/>
      <c r="AG169" s="40"/>
      <c r="AH169" s="38"/>
      <c r="AI169" s="41"/>
      <c r="AJ169" s="41"/>
    </row>
    <row r="170" spans="1:36">
      <c r="A170" s="18"/>
      <c r="B170" s="45"/>
      <c r="C170" s="33"/>
      <c r="D170" s="19"/>
      <c r="E170" s="33"/>
      <c r="F170" s="74"/>
      <c r="G170" s="57"/>
      <c r="H170" s="33"/>
      <c r="I170" s="33"/>
      <c r="J170" s="33"/>
      <c r="K170" s="33"/>
      <c r="L170" s="34"/>
      <c r="M170" s="29"/>
      <c r="N170" s="33"/>
      <c r="O170" s="33"/>
      <c r="P170" s="33"/>
      <c r="Q170" s="33"/>
      <c r="R170" s="33"/>
      <c r="S170" s="33"/>
      <c r="T170" s="33"/>
      <c r="U170" s="33"/>
      <c r="V170" s="33"/>
      <c r="W170" s="33"/>
      <c r="X170" s="33"/>
      <c r="Y170" s="33"/>
      <c r="Z170" s="33"/>
      <c r="AA170" s="33"/>
      <c r="AB170" s="35"/>
      <c r="AC170" s="35"/>
      <c r="AD170" s="35"/>
      <c r="AE170" s="33"/>
      <c r="AF170" s="33"/>
      <c r="AG170" s="36"/>
      <c r="AH170" s="33"/>
      <c r="AI170" s="37"/>
      <c r="AJ170" s="37"/>
    </row>
    <row r="171" spans="1:36">
      <c r="A171" s="18"/>
      <c r="B171" s="45"/>
      <c r="C171" s="38"/>
      <c r="D171" s="19"/>
      <c r="E171" s="33"/>
      <c r="F171" s="74"/>
      <c r="G171" s="57"/>
      <c r="H171" s="38"/>
      <c r="I171" s="38"/>
      <c r="J171" s="38"/>
      <c r="K171" s="38"/>
      <c r="L171" s="22"/>
      <c r="M171" s="29"/>
      <c r="N171" s="38"/>
      <c r="O171" s="38"/>
      <c r="P171" s="38"/>
      <c r="Q171" s="38"/>
      <c r="R171" s="38"/>
      <c r="S171" s="38"/>
      <c r="T171" s="38"/>
      <c r="U171" s="38"/>
      <c r="V171" s="38"/>
      <c r="W171" s="38"/>
      <c r="X171" s="38"/>
      <c r="Y171" s="38"/>
      <c r="Z171" s="38"/>
      <c r="AA171" s="38"/>
      <c r="AB171" s="39"/>
      <c r="AC171" s="39"/>
      <c r="AD171" s="39"/>
      <c r="AE171" s="38"/>
      <c r="AF171" s="38"/>
      <c r="AG171" s="40"/>
      <c r="AH171" s="38"/>
      <c r="AI171" s="41"/>
      <c r="AJ171" s="41"/>
    </row>
    <row r="172" spans="1:36">
      <c r="A172" s="18"/>
      <c r="B172" s="45"/>
      <c r="C172" s="33"/>
      <c r="D172" s="19"/>
      <c r="E172" s="33"/>
      <c r="F172" s="74"/>
      <c r="G172" s="57"/>
      <c r="H172" s="33"/>
      <c r="I172" s="33"/>
      <c r="J172" s="33"/>
      <c r="K172" s="33"/>
      <c r="L172" s="34"/>
      <c r="M172" s="29"/>
      <c r="N172" s="33"/>
      <c r="O172" s="33"/>
      <c r="P172" s="33"/>
      <c r="Q172" s="33"/>
      <c r="R172" s="33"/>
      <c r="S172" s="33"/>
      <c r="T172" s="33"/>
      <c r="U172" s="33"/>
      <c r="V172" s="33"/>
      <c r="W172" s="33"/>
      <c r="X172" s="33"/>
      <c r="Y172" s="33"/>
      <c r="Z172" s="33"/>
      <c r="AA172" s="33"/>
      <c r="AB172" s="35"/>
      <c r="AC172" s="35"/>
      <c r="AD172" s="35"/>
      <c r="AE172" s="33"/>
      <c r="AF172" s="33"/>
      <c r="AG172" s="36"/>
      <c r="AH172" s="33"/>
      <c r="AI172" s="37"/>
      <c r="AJ172" s="37"/>
    </row>
    <row r="173" spans="1:36">
      <c r="A173" s="18"/>
      <c r="B173" s="45"/>
      <c r="C173" s="38"/>
      <c r="D173" s="19"/>
      <c r="E173" s="38"/>
      <c r="F173" s="74"/>
      <c r="G173" s="57"/>
      <c r="H173" s="38"/>
      <c r="I173" s="38"/>
      <c r="J173" s="38"/>
      <c r="K173" s="38"/>
      <c r="L173" s="22"/>
      <c r="M173" s="29"/>
      <c r="N173" s="38"/>
      <c r="O173" s="38"/>
      <c r="P173" s="38"/>
      <c r="Q173" s="38"/>
      <c r="R173" s="38"/>
      <c r="S173" s="38"/>
      <c r="T173" s="38"/>
      <c r="U173" s="38"/>
      <c r="V173" s="38"/>
      <c r="W173" s="38"/>
      <c r="X173" s="38"/>
      <c r="Y173" s="38"/>
      <c r="Z173" s="38"/>
      <c r="AA173" s="38"/>
      <c r="AB173" s="39"/>
      <c r="AC173" s="39"/>
      <c r="AD173" s="39"/>
      <c r="AE173" s="38"/>
      <c r="AF173" s="38"/>
      <c r="AG173" s="40"/>
      <c r="AH173" s="38"/>
      <c r="AI173" s="41"/>
      <c r="AJ173" s="41"/>
    </row>
    <row r="174" spans="1:36">
      <c r="A174" s="18"/>
      <c r="B174" s="45"/>
      <c r="C174" s="33"/>
      <c r="D174" s="19"/>
      <c r="E174" s="38"/>
      <c r="F174" s="74"/>
      <c r="G174" s="57"/>
      <c r="H174" s="33"/>
      <c r="I174" s="33"/>
      <c r="J174" s="33"/>
      <c r="K174" s="33"/>
      <c r="L174" s="34"/>
      <c r="M174" s="29"/>
      <c r="N174" s="33"/>
      <c r="O174" s="33"/>
      <c r="P174" s="33"/>
      <c r="Q174" s="33"/>
      <c r="R174" s="33"/>
      <c r="S174" s="33"/>
      <c r="T174" s="33"/>
      <c r="U174" s="33"/>
      <c r="V174" s="33"/>
      <c r="W174" s="33"/>
      <c r="X174" s="33"/>
      <c r="Y174" s="33"/>
      <c r="Z174" s="33"/>
      <c r="AA174" s="33"/>
      <c r="AB174" s="35"/>
      <c r="AC174" s="35"/>
      <c r="AD174" s="35"/>
      <c r="AE174" s="33"/>
      <c r="AF174" s="33"/>
      <c r="AG174" s="36"/>
      <c r="AH174" s="33"/>
      <c r="AI174" s="37"/>
      <c r="AJ174" s="37"/>
    </row>
    <row r="175" spans="1:36">
      <c r="A175" s="18"/>
      <c r="B175" s="45"/>
      <c r="C175" s="38"/>
      <c r="D175" s="19"/>
      <c r="E175" s="38"/>
      <c r="F175" s="74"/>
      <c r="G175" s="57"/>
      <c r="H175" s="38"/>
      <c r="I175" s="38"/>
      <c r="J175" s="38"/>
      <c r="K175" s="38"/>
      <c r="L175" s="22"/>
      <c r="M175" s="29"/>
      <c r="N175" s="38"/>
      <c r="O175" s="38"/>
      <c r="P175" s="38"/>
      <c r="Q175" s="38"/>
      <c r="R175" s="38"/>
      <c r="S175" s="38"/>
      <c r="T175" s="38"/>
      <c r="U175" s="38"/>
      <c r="V175" s="38"/>
      <c r="W175" s="38"/>
      <c r="X175" s="38"/>
      <c r="Y175" s="38"/>
      <c r="Z175" s="38"/>
      <c r="AA175" s="38"/>
      <c r="AB175" s="39"/>
      <c r="AC175" s="39"/>
      <c r="AD175" s="39"/>
      <c r="AE175" s="38"/>
      <c r="AF175" s="38"/>
      <c r="AG175" s="40"/>
      <c r="AH175" s="38"/>
      <c r="AI175" s="41"/>
      <c r="AJ175" s="41"/>
    </row>
    <row r="176" spans="1:36">
      <c r="A176" s="18"/>
      <c r="B176" s="45"/>
      <c r="C176" s="33"/>
      <c r="D176" s="19"/>
      <c r="E176" s="38"/>
      <c r="F176" s="74"/>
      <c r="G176" s="57"/>
      <c r="H176" s="33"/>
      <c r="I176" s="33"/>
      <c r="J176" s="33"/>
      <c r="K176" s="33"/>
      <c r="L176" s="34"/>
      <c r="M176" s="29"/>
      <c r="N176" s="33"/>
      <c r="O176" s="33"/>
      <c r="P176" s="33"/>
      <c r="Q176" s="33"/>
      <c r="R176" s="33"/>
      <c r="S176" s="33"/>
      <c r="T176" s="33"/>
      <c r="U176" s="33"/>
      <c r="V176" s="33"/>
      <c r="W176" s="33"/>
      <c r="X176" s="33"/>
      <c r="Y176" s="33"/>
      <c r="Z176" s="33"/>
      <c r="AA176" s="33"/>
      <c r="AB176" s="35"/>
      <c r="AC176" s="35"/>
      <c r="AD176" s="35"/>
      <c r="AE176" s="33"/>
      <c r="AF176" s="33"/>
      <c r="AG176" s="36"/>
      <c r="AH176" s="33"/>
      <c r="AI176" s="37"/>
      <c r="AJ176" s="37"/>
    </row>
    <row r="177" spans="1:49">
      <c r="A177" s="18"/>
      <c r="B177" s="45"/>
      <c r="C177" s="31"/>
      <c r="D177" s="19"/>
      <c r="E177" s="38"/>
      <c r="F177" s="74"/>
      <c r="G177" s="57"/>
      <c r="H177" s="31"/>
      <c r="I177" s="31"/>
      <c r="J177" s="31"/>
      <c r="K177" s="31"/>
      <c r="L177" s="22"/>
      <c r="M177" s="29"/>
      <c r="N177" s="31"/>
      <c r="O177" s="31"/>
      <c r="P177" s="31"/>
      <c r="Q177" s="31"/>
      <c r="R177" s="31"/>
      <c r="S177" s="31"/>
      <c r="T177" s="31"/>
      <c r="U177" s="31"/>
      <c r="V177" s="31"/>
      <c r="W177" s="31"/>
      <c r="X177" s="31"/>
      <c r="Y177" s="31"/>
      <c r="Z177" s="31"/>
      <c r="AA177" s="31"/>
      <c r="AB177" s="42"/>
      <c r="AC177" s="42"/>
      <c r="AD177" s="42"/>
      <c r="AE177" s="31"/>
      <c r="AF177" s="31"/>
      <c r="AG177" s="43"/>
      <c r="AH177" s="31"/>
      <c r="AI177" s="44"/>
      <c r="AJ177" s="44"/>
    </row>
    <row r="178" spans="1:49">
      <c r="A178" s="18"/>
      <c r="B178" s="45"/>
      <c r="C178" s="31"/>
      <c r="D178" s="19"/>
      <c r="E178" s="38"/>
      <c r="F178" s="74"/>
      <c r="G178" s="57"/>
      <c r="H178" s="31"/>
      <c r="I178" s="31"/>
      <c r="J178" s="31"/>
      <c r="K178" s="31"/>
      <c r="L178" s="22"/>
      <c r="M178" s="29"/>
      <c r="N178" s="31"/>
      <c r="O178" s="31"/>
      <c r="P178" s="31"/>
      <c r="Q178" s="31"/>
      <c r="R178" s="31"/>
      <c r="S178" s="31"/>
      <c r="T178" s="31"/>
      <c r="U178" s="31"/>
      <c r="V178" s="31"/>
      <c r="W178" s="31"/>
      <c r="X178" s="31"/>
      <c r="Y178" s="31"/>
      <c r="Z178" s="31"/>
      <c r="AA178" s="31"/>
      <c r="AB178" s="42"/>
      <c r="AC178" s="42"/>
      <c r="AD178" s="42"/>
      <c r="AE178" s="31"/>
      <c r="AF178" s="31"/>
      <c r="AG178" s="43"/>
      <c r="AH178" s="31"/>
      <c r="AI178" s="44"/>
      <c r="AJ178" s="44"/>
      <c r="AK178" s="33"/>
      <c r="AL178" s="33"/>
      <c r="AM178" s="33"/>
      <c r="AN178" s="33"/>
      <c r="AO178" s="33"/>
      <c r="AP178" s="35"/>
      <c r="AQ178" s="35"/>
      <c r="AR178" s="35"/>
      <c r="AS178" s="33"/>
      <c r="AT178" s="33"/>
      <c r="AU178" s="36"/>
      <c r="AV178" s="33"/>
      <c r="AW178" s="37"/>
    </row>
    <row r="179" spans="1:49">
      <c r="A179" s="18"/>
      <c r="B179" s="45"/>
      <c r="C179" s="31"/>
      <c r="D179" s="19"/>
      <c r="E179" s="38"/>
      <c r="F179" s="74"/>
      <c r="G179" s="57"/>
      <c r="H179" s="31"/>
      <c r="I179" s="31"/>
      <c r="J179" s="31"/>
      <c r="K179" s="31"/>
      <c r="L179" s="22"/>
      <c r="M179" s="29"/>
      <c r="N179" s="31"/>
      <c r="O179" s="31"/>
      <c r="P179" s="31"/>
      <c r="Q179" s="31"/>
      <c r="R179" s="31"/>
      <c r="S179" s="31"/>
      <c r="T179" s="31"/>
      <c r="U179" s="31"/>
      <c r="V179" s="31"/>
      <c r="W179" s="31"/>
      <c r="X179" s="31"/>
      <c r="Y179" s="31"/>
      <c r="Z179" s="31"/>
      <c r="AA179" s="31"/>
      <c r="AB179" s="42"/>
      <c r="AC179" s="42"/>
      <c r="AD179" s="42"/>
      <c r="AE179" s="31"/>
      <c r="AF179" s="31"/>
      <c r="AG179" s="43"/>
      <c r="AH179" s="31"/>
      <c r="AI179" s="44"/>
      <c r="AJ179" s="44"/>
      <c r="AK179" s="38"/>
      <c r="AL179" s="38"/>
      <c r="AM179" s="38"/>
      <c r="AN179" s="38"/>
      <c r="AO179" s="38"/>
      <c r="AP179" s="39"/>
      <c r="AQ179" s="39"/>
      <c r="AR179" s="39"/>
      <c r="AS179" s="38"/>
      <c r="AT179" s="38"/>
      <c r="AU179" s="40"/>
      <c r="AV179" s="38"/>
      <c r="AW179" s="41"/>
    </row>
    <row r="180" spans="1:49">
      <c r="A180" s="18"/>
      <c r="B180" s="45"/>
      <c r="C180" s="31"/>
      <c r="D180" s="19"/>
      <c r="E180" s="38"/>
      <c r="F180" s="74"/>
      <c r="G180" s="57"/>
      <c r="H180" s="31"/>
      <c r="I180" s="31"/>
      <c r="J180" s="31"/>
      <c r="K180" s="31"/>
      <c r="L180" s="22"/>
      <c r="M180" s="29"/>
      <c r="N180" s="31"/>
      <c r="O180" s="31"/>
      <c r="P180" s="31"/>
      <c r="Q180" s="31"/>
      <c r="R180" s="31"/>
      <c r="S180" s="31"/>
      <c r="T180" s="31"/>
      <c r="U180" s="31"/>
      <c r="V180" s="31"/>
      <c r="W180" s="31"/>
      <c r="X180" s="31"/>
      <c r="Y180" s="31"/>
      <c r="Z180" s="31"/>
      <c r="AA180" s="31"/>
      <c r="AB180" s="42"/>
      <c r="AC180" s="42"/>
      <c r="AD180" s="42"/>
      <c r="AE180" s="31"/>
      <c r="AF180" s="31"/>
      <c r="AG180" s="43"/>
      <c r="AH180" s="31"/>
      <c r="AI180" s="44"/>
      <c r="AJ180" s="44"/>
      <c r="AK180" s="33"/>
      <c r="AL180" s="33"/>
      <c r="AM180" s="33"/>
      <c r="AN180" s="33"/>
      <c r="AO180" s="33"/>
      <c r="AP180" s="35"/>
      <c r="AQ180" s="35"/>
      <c r="AR180" s="35"/>
      <c r="AS180" s="33"/>
      <c r="AT180" s="33"/>
      <c r="AU180" s="36"/>
      <c r="AV180" s="33"/>
      <c r="AW180" s="37"/>
    </row>
    <row r="181" spans="1:49">
      <c r="A181" s="18"/>
      <c r="B181" s="45"/>
      <c r="C181" s="31"/>
      <c r="D181" s="19"/>
      <c r="E181" s="38"/>
      <c r="F181" s="74"/>
      <c r="G181" s="57"/>
      <c r="H181" s="31"/>
      <c r="I181" s="31"/>
      <c r="J181" s="31"/>
      <c r="K181" s="31"/>
      <c r="L181" s="22"/>
      <c r="M181" s="29"/>
      <c r="N181" s="31"/>
      <c r="O181" s="31"/>
      <c r="P181" s="31"/>
      <c r="Q181" s="31"/>
      <c r="R181" s="31"/>
      <c r="S181" s="31"/>
      <c r="T181" s="31"/>
      <c r="U181" s="31"/>
      <c r="V181" s="31"/>
      <c r="W181" s="31"/>
      <c r="X181" s="31"/>
      <c r="Y181" s="31"/>
      <c r="Z181" s="31"/>
      <c r="AA181" s="31"/>
      <c r="AB181" s="42"/>
      <c r="AC181" s="42"/>
      <c r="AD181" s="42"/>
      <c r="AE181" s="31"/>
      <c r="AF181" s="31"/>
      <c r="AG181" s="43"/>
      <c r="AH181" s="31"/>
      <c r="AI181" s="44"/>
      <c r="AJ181" s="44"/>
      <c r="AK181" s="38"/>
      <c r="AL181" s="38"/>
      <c r="AM181" s="38"/>
      <c r="AN181" s="38"/>
      <c r="AO181" s="38"/>
      <c r="AP181" s="39"/>
      <c r="AQ181" s="39"/>
      <c r="AR181" s="39"/>
      <c r="AS181" s="38"/>
      <c r="AT181" s="38"/>
      <c r="AU181" s="40"/>
      <c r="AV181" s="38"/>
      <c r="AW181" s="41"/>
    </row>
    <row r="182" spans="1:49">
      <c r="A182" s="18"/>
      <c r="B182" s="45"/>
      <c r="C182" s="31"/>
      <c r="D182" s="19"/>
      <c r="E182" s="38"/>
      <c r="F182" s="74"/>
      <c r="G182" s="57"/>
      <c r="H182" s="31"/>
      <c r="I182" s="31"/>
      <c r="J182" s="31"/>
      <c r="K182" s="31"/>
      <c r="L182" s="22"/>
      <c r="M182" s="29"/>
      <c r="N182" s="31"/>
      <c r="O182" s="31"/>
      <c r="P182" s="31"/>
      <c r="Q182" s="31"/>
      <c r="R182" s="31"/>
      <c r="S182" s="31"/>
      <c r="T182" s="31"/>
      <c r="U182" s="31"/>
      <c r="V182" s="31"/>
      <c r="W182" s="31"/>
      <c r="X182" s="31"/>
      <c r="Y182" s="31"/>
      <c r="Z182" s="31"/>
      <c r="AA182" s="31"/>
      <c r="AB182" s="42"/>
      <c r="AC182" s="42"/>
      <c r="AD182" s="42"/>
      <c r="AE182" s="31"/>
      <c r="AF182" s="31"/>
      <c r="AG182" s="43"/>
      <c r="AH182" s="31"/>
      <c r="AI182" s="44"/>
      <c r="AJ182" s="44"/>
      <c r="AK182" s="33"/>
      <c r="AL182" s="33"/>
      <c r="AM182" s="33"/>
      <c r="AN182" s="33"/>
      <c r="AO182" s="33"/>
      <c r="AP182" s="35"/>
      <c r="AQ182" s="35"/>
      <c r="AR182" s="35"/>
      <c r="AS182" s="33"/>
      <c r="AT182" s="33"/>
      <c r="AU182" s="36"/>
      <c r="AV182" s="33"/>
      <c r="AW182" s="37"/>
    </row>
    <row r="183" spans="1:49">
      <c r="A183" s="18"/>
      <c r="B183" s="45"/>
      <c r="C183" s="31"/>
      <c r="D183" s="19"/>
      <c r="E183" s="38"/>
      <c r="F183" s="74"/>
      <c r="G183" s="57"/>
      <c r="H183" s="31"/>
      <c r="I183" s="31"/>
      <c r="J183" s="31"/>
      <c r="K183" s="31"/>
      <c r="L183" s="22"/>
      <c r="M183" s="29"/>
      <c r="N183" s="31"/>
      <c r="O183" s="31"/>
      <c r="P183" s="31"/>
      <c r="Q183" s="31"/>
      <c r="R183" s="31"/>
      <c r="S183" s="31"/>
      <c r="T183" s="31"/>
      <c r="U183" s="31"/>
      <c r="V183" s="31"/>
      <c r="W183" s="31"/>
      <c r="X183" s="31"/>
      <c r="Y183" s="31"/>
      <c r="Z183" s="31"/>
      <c r="AA183" s="31"/>
      <c r="AB183" s="42"/>
      <c r="AC183" s="42"/>
      <c r="AD183" s="42"/>
      <c r="AE183" s="31"/>
      <c r="AF183" s="31"/>
      <c r="AG183" s="43"/>
      <c r="AH183" s="31"/>
      <c r="AI183" s="44"/>
      <c r="AJ183" s="44"/>
      <c r="AK183" s="38"/>
      <c r="AL183" s="38"/>
      <c r="AM183" s="38"/>
      <c r="AN183" s="38"/>
      <c r="AO183" s="38"/>
      <c r="AP183" s="39"/>
      <c r="AQ183" s="39"/>
      <c r="AR183" s="39"/>
      <c r="AS183" s="38"/>
      <c r="AT183" s="38"/>
      <c r="AU183" s="40"/>
      <c r="AV183" s="38"/>
      <c r="AW183" s="41"/>
    </row>
    <row r="184" spans="1:49">
      <c r="A184" s="18"/>
      <c r="B184" s="45"/>
      <c r="C184" s="31"/>
      <c r="D184" s="19"/>
      <c r="E184" s="38"/>
      <c r="F184" s="74"/>
      <c r="G184" s="57"/>
      <c r="H184" s="31"/>
      <c r="I184" s="31"/>
      <c r="J184" s="31"/>
      <c r="K184" s="31"/>
      <c r="L184" s="22"/>
      <c r="M184" s="29"/>
      <c r="N184" s="31"/>
      <c r="O184" s="31"/>
      <c r="P184" s="31"/>
      <c r="Q184" s="31"/>
      <c r="R184" s="31"/>
      <c r="S184" s="31"/>
      <c r="T184" s="31"/>
      <c r="U184" s="31"/>
      <c r="V184" s="31"/>
      <c r="W184" s="31"/>
      <c r="X184" s="31"/>
      <c r="Y184" s="31"/>
      <c r="Z184" s="31"/>
      <c r="AA184" s="31"/>
      <c r="AB184" s="42"/>
      <c r="AC184" s="42"/>
      <c r="AD184" s="42"/>
      <c r="AE184" s="31"/>
      <c r="AF184" s="31"/>
      <c r="AG184" s="43"/>
      <c r="AH184" s="31"/>
      <c r="AI184" s="44"/>
      <c r="AJ184" s="44"/>
      <c r="AK184" s="33"/>
      <c r="AL184" s="33"/>
      <c r="AM184" s="33"/>
      <c r="AN184" s="33"/>
      <c r="AO184" s="33"/>
      <c r="AP184" s="35"/>
      <c r="AQ184" s="35"/>
      <c r="AR184" s="35"/>
      <c r="AS184" s="33"/>
      <c r="AT184" s="33"/>
      <c r="AU184" s="36"/>
      <c r="AV184" s="33"/>
      <c r="AW184" s="37"/>
    </row>
    <row r="185" spans="1:49">
      <c r="A185" s="18"/>
      <c r="B185" s="45"/>
      <c r="C185" s="31"/>
      <c r="D185" s="19"/>
      <c r="E185" s="38"/>
      <c r="F185" s="74"/>
      <c r="G185" s="57"/>
      <c r="H185" s="31"/>
      <c r="I185" s="31"/>
      <c r="J185" s="31"/>
      <c r="K185" s="31"/>
      <c r="L185" s="22"/>
      <c r="M185" s="29"/>
      <c r="N185" s="31"/>
      <c r="O185" s="31"/>
      <c r="P185" s="31"/>
      <c r="Q185" s="31"/>
      <c r="R185" s="31"/>
      <c r="S185" s="31"/>
      <c r="T185" s="31"/>
      <c r="U185" s="31"/>
      <c r="V185" s="31"/>
      <c r="W185" s="31"/>
      <c r="X185" s="31"/>
      <c r="Y185" s="31"/>
      <c r="Z185" s="31"/>
      <c r="AA185" s="31"/>
      <c r="AB185" s="42"/>
      <c r="AC185" s="42"/>
      <c r="AD185" s="42"/>
      <c r="AE185" s="31"/>
      <c r="AF185" s="31"/>
      <c r="AG185" s="43"/>
      <c r="AH185" s="31"/>
      <c r="AI185" s="44"/>
      <c r="AJ185" s="44"/>
      <c r="AK185" s="38"/>
      <c r="AL185" s="38"/>
      <c r="AM185" s="38"/>
      <c r="AN185" s="38"/>
      <c r="AO185" s="38"/>
      <c r="AP185" s="39"/>
      <c r="AQ185" s="39"/>
      <c r="AR185" s="39"/>
      <c r="AS185" s="38"/>
      <c r="AT185" s="38"/>
      <c r="AU185" s="40"/>
      <c r="AV185" s="38"/>
      <c r="AW185" s="41"/>
    </row>
    <row r="186" spans="1:49">
      <c r="A186" s="18"/>
      <c r="B186" s="45"/>
      <c r="C186" s="31"/>
      <c r="D186" s="19"/>
      <c r="E186" s="38"/>
      <c r="F186" s="74"/>
      <c r="G186" s="57"/>
      <c r="H186" s="31"/>
      <c r="I186" s="31"/>
      <c r="J186" s="31"/>
      <c r="K186" s="31"/>
      <c r="L186" s="22"/>
      <c r="M186" s="29"/>
      <c r="N186" s="31"/>
      <c r="O186" s="31"/>
      <c r="P186" s="31"/>
      <c r="Q186" s="31"/>
      <c r="R186" s="31"/>
      <c r="S186" s="31"/>
      <c r="T186" s="31"/>
      <c r="U186" s="31"/>
      <c r="V186" s="31"/>
      <c r="W186" s="31"/>
      <c r="X186" s="31"/>
      <c r="Y186" s="31"/>
      <c r="Z186" s="31"/>
      <c r="AA186" s="31"/>
      <c r="AB186" s="42"/>
      <c r="AC186" s="42"/>
      <c r="AD186" s="42"/>
      <c r="AE186" s="31"/>
      <c r="AF186" s="31"/>
      <c r="AG186" s="43"/>
      <c r="AH186" s="31"/>
      <c r="AI186" s="44"/>
      <c r="AJ186" s="44"/>
      <c r="AK186" s="33"/>
      <c r="AL186" s="33"/>
      <c r="AM186" s="33"/>
      <c r="AN186" s="33"/>
      <c r="AO186" s="33"/>
      <c r="AP186" s="35"/>
      <c r="AQ186" s="35"/>
      <c r="AR186" s="35"/>
      <c r="AS186" s="33"/>
      <c r="AT186" s="33"/>
      <c r="AU186" s="36"/>
      <c r="AV186" s="33"/>
      <c r="AW186" s="37"/>
    </row>
    <row r="187" spans="1:49">
      <c r="A187" s="18"/>
      <c r="B187" s="45"/>
      <c r="C187" s="31"/>
      <c r="D187" s="19"/>
      <c r="E187" s="38"/>
      <c r="F187" s="74"/>
      <c r="G187" s="57"/>
      <c r="H187" s="31"/>
      <c r="I187" s="31"/>
      <c r="J187" s="31"/>
      <c r="K187" s="31"/>
      <c r="L187" s="22"/>
      <c r="M187" s="29"/>
      <c r="N187" s="31"/>
      <c r="O187" s="31"/>
      <c r="P187" s="31"/>
      <c r="Q187" s="31"/>
      <c r="R187" s="31"/>
      <c r="S187" s="31"/>
      <c r="T187" s="31"/>
      <c r="U187" s="31"/>
      <c r="V187" s="31"/>
      <c r="W187" s="31"/>
      <c r="X187" s="31"/>
      <c r="Y187" s="31"/>
      <c r="Z187" s="31"/>
      <c r="AA187" s="31"/>
      <c r="AB187" s="42"/>
      <c r="AC187" s="42"/>
      <c r="AD187" s="42"/>
      <c r="AE187" s="31"/>
      <c r="AF187" s="31"/>
      <c r="AG187" s="43"/>
      <c r="AH187" s="31"/>
      <c r="AI187" s="44"/>
      <c r="AJ187" s="44"/>
      <c r="AK187" s="38"/>
      <c r="AL187" s="38"/>
      <c r="AM187" s="38"/>
      <c r="AN187" s="38"/>
      <c r="AO187" s="38"/>
      <c r="AP187" s="39"/>
      <c r="AQ187" s="39"/>
      <c r="AR187" s="39"/>
      <c r="AS187" s="38"/>
      <c r="AT187" s="38"/>
      <c r="AU187" s="40"/>
      <c r="AV187" s="38"/>
      <c r="AW187" s="41"/>
    </row>
    <row r="188" spans="1:49">
      <c r="A188" s="18"/>
      <c r="B188" s="45"/>
      <c r="C188" s="31"/>
      <c r="D188" s="19"/>
      <c r="E188" s="31"/>
      <c r="F188" s="74"/>
      <c r="G188" s="57"/>
      <c r="H188" s="31"/>
      <c r="I188" s="31"/>
      <c r="J188" s="31"/>
      <c r="K188" s="31"/>
      <c r="L188" s="22"/>
      <c r="M188" s="29"/>
      <c r="N188" s="31"/>
      <c r="O188" s="31"/>
      <c r="P188" s="31"/>
      <c r="Q188" s="31"/>
      <c r="R188" s="31"/>
      <c r="S188" s="31"/>
      <c r="T188" s="31"/>
      <c r="U188" s="31"/>
      <c r="V188" s="31"/>
      <c r="W188" s="31"/>
      <c r="X188" s="31"/>
      <c r="Y188" s="31"/>
      <c r="Z188" s="31"/>
      <c r="AA188" s="31"/>
      <c r="AB188" s="42"/>
      <c r="AC188" s="42"/>
      <c r="AD188" s="42"/>
      <c r="AE188" s="31"/>
      <c r="AF188" s="31"/>
      <c r="AG188" s="43"/>
      <c r="AH188" s="31"/>
      <c r="AI188" s="44"/>
      <c r="AJ188" s="44"/>
      <c r="AK188" s="33"/>
      <c r="AL188" s="33"/>
      <c r="AM188" s="33"/>
      <c r="AN188" s="33"/>
      <c r="AO188" s="33"/>
      <c r="AP188" s="35"/>
      <c r="AQ188" s="35"/>
      <c r="AR188" s="35"/>
      <c r="AS188" s="33"/>
      <c r="AT188" s="33"/>
      <c r="AU188" s="36"/>
      <c r="AV188" s="33"/>
      <c r="AW188" s="37"/>
    </row>
    <row r="189" spans="1:49">
      <c r="A189" s="18"/>
      <c r="B189" s="45"/>
      <c r="C189" s="31"/>
      <c r="D189" s="19"/>
      <c r="E189" s="31"/>
      <c r="F189" s="74"/>
      <c r="G189" s="57"/>
      <c r="H189" s="31"/>
      <c r="I189" s="31"/>
      <c r="J189" s="31"/>
      <c r="K189" s="31"/>
      <c r="L189" s="22"/>
      <c r="M189" s="29"/>
      <c r="N189" s="31"/>
      <c r="O189" s="31"/>
      <c r="P189" s="31"/>
      <c r="Q189" s="31"/>
      <c r="R189" s="31"/>
      <c r="S189" s="31"/>
      <c r="T189" s="31"/>
      <c r="U189" s="31"/>
      <c r="V189" s="31"/>
      <c r="W189" s="31"/>
      <c r="X189" s="31"/>
      <c r="Y189" s="31"/>
      <c r="Z189" s="31"/>
      <c r="AA189" s="31"/>
      <c r="AB189" s="42"/>
      <c r="AC189" s="42"/>
      <c r="AD189" s="42"/>
      <c r="AE189" s="31"/>
      <c r="AF189" s="31"/>
      <c r="AG189" s="43"/>
      <c r="AH189" s="31"/>
      <c r="AI189" s="44"/>
      <c r="AJ189" s="44"/>
      <c r="AK189" s="38"/>
      <c r="AL189" s="38"/>
      <c r="AM189" s="38"/>
      <c r="AN189" s="38"/>
      <c r="AO189" s="38"/>
      <c r="AP189" s="39"/>
      <c r="AQ189" s="39"/>
      <c r="AR189" s="39"/>
      <c r="AS189" s="38"/>
      <c r="AT189" s="38"/>
      <c r="AU189" s="40"/>
      <c r="AV189" s="38"/>
      <c r="AW189" s="41"/>
    </row>
    <row r="190" spans="1:49">
      <c r="A190" s="18"/>
      <c r="B190" s="45"/>
      <c r="C190" s="31"/>
      <c r="D190" s="19"/>
      <c r="E190" s="31"/>
      <c r="F190" s="74"/>
      <c r="G190" s="57"/>
      <c r="H190" s="31"/>
      <c r="I190" s="31"/>
      <c r="J190" s="31"/>
      <c r="K190" s="31"/>
      <c r="L190" s="22"/>
      <c r="M190" s="29"/>
      <c r="N190" s="31"/>
      <c r="O190" s="31"/>
      <c r="P190" s="31"/>
      <c r="Q190" s="31"/>
      <c r="R190" s="31"/>
      <c r="S190" s="31"/>
      <c r="T190" s="31"/>
      <c r="U190" s="31"/>
      <c r="V190" s="31"/>
      <c r="W190" s="31"/>
      <c r="X190" s="31"/>
      <c r="Y190" s="31"/>
      <c r="Z190" s="31"/>
      <c r="AA190" s="31"/>
      <c r="AB190" s="42"/>
      <c r="AC190" s="42"/>
      <c r="AD190" s="42"/>
      <c r="AE190" s="31"/>
      <c r="AF190" s="31"/>
      <c r="AG190" s="43"/>
      <c r="AH190" s="31"/>
      <c r="AI190" s="44"/>
      <c r="AJ190" s="44"/>
      <c r="AK190" s="33"/>
      <c r="AL190" s="33"/>
      <c r="AM190" s="33"/>
      <c r="AN190" s="33"/>
      <c r="AO190" s="33"/>
      <c r="AP190" s="35"/>
      <c r="AQ190" s="35"/>
      <c r="AR190" s="35"/>
      <c r="AS190" s="33"/>
      <c r="AT190" s="33"/>
      <c r="AU190" s="36"/>
      <c r="AV190" s="33"/>
      <c r="AW190" s="37"/>
    </row>
    <row r="191" spans="1:49">
      <c r="A191" s="18"/>
      <c r="B191" s="45"/>
      <c r="C191" s="31"/>
      <c r="D191" s="19"/>
      <c r="E191" s="31"/>
      <c r="F191" s="74"/>
      <c r="G191" s="57"/>
      <c r="H191" s="31"/>
      <c r="I191" s="31"/>
      <c r="J191" s="31"/>
      <c r="K191" s="31"/>
      <c r="L191" s="22"/>
      <c r="M191" s="29"/>
      <c r="N191" s="31"/>
      <c r="O191" s="31"/>
      <c r="P191" s="31"/>
      <c r="Q191" s="31"/>
      <c r="R191" s="31"/>
      <c r="S191" s="31"/>
      <c r="T191" s="31"/>
      <c r="U191" s="31"/>
      <c r="V191" s="31"/>
      <c r="W191" s="31"/>
      <c r="X191" s="31"/>
      <c r="Y191" s="31"/>
      <c r="Z191" s="31"/>
      <c r="AA191" s="31"/>
      <c r="AB191" s="42"/>
      <c r="AC191" s="42"/>
      <c r="AD191" s="42"/>
      <c r="AE191" s="31"/>
      <c r="AF191" s="31"/>
      <c r="AG191" s="43"/>
      <c r="AH191" s="31"/>
      <c r="AI191" s="44"/>
      <c r="AJ191" s="44"/>
      <c r="AK191" s="38"/>
      <c r="AL191" s="38"/>
      <c r="AM191" s="38"/>
      <c r="AN191" s="38"/>
      <c r="AO191" s="38"/>
      <c r="AP191" s="39"/>
      <c r="AQ191" s="39"/>
      <c r="AR191" s="39"/>
      <c r="AS191" s="38"/>
      <c r="AT191" s="38"/>
      <c r="AU191" s="40"/>
      <c r="AV191" s="38"/>
      <c r="AW191" s="41"/>
    </row>
    <row r="192" spans="1:49">
      <c r="A192" s="18"/>
      <c r="B192" s="45"/>
      <c r="C192" s="31"/>
      <c r="D192" s="19"/>
      <c r="E192" s="31"/>
      <c r="F192" s="74"/>
      <c r="G192" s="57"/>
      <c r="H192" s="31"/>
      <c r="I192" s="31"/>
      <c r="J192" s="31"/>
      <c r="K192" s="31"/>
      <c r="L192" s="22"/>
      <c r="M192" s="29"/>
      <c r="N192" s="31"/>
      <c r="O192" s="31"/>
      <c r="P192" s="31"/>
      <c r="Q192" s="31"/>
      <c r="R192" s="31"/>
      <c r="S192" s="31"/>
      <c r="T192" s="31"/>
      <c r="U192" s="31"/>
      <c r="V192" s="31"/>
      <c r="W192" s="31"/>
      <c r="X192" s="31"/>
      <c r="Y192" s="31"/>
      <c r="Z192" s="31"/>
      <c r="AA192" s="31"/>
      <c r="AB192" s="42"/>
      <c r="AC192" s="42"/>
      <c r="AD192" s="42"/>
      <c r="AE192" s="31"/>
      <c r="AF192" s="31"/>
      <c r="AG192" s="43"/>
      <c r="AH192" s="31"/>
      <c r="AI192" s="44"/>
      <c r="AJ192" s="44"/>
      <c r="AK192" s="33"/>
      <c r="AL192" s="33"/>
      <c r="AM192" s="33"/>
      <c r="AN192" s="33"/>
      <c r="AO192" s="33"/>
      <c r="AP192" s="35"/>
      <c r="AQ192" s="35"/>
      <c r="AR192" s="35"/>
      <c r="AS192" s="33"/>
      <c r="AT192" s="33"/>
      <c r="AU192" s="36"/>
      <c r="AV192" s="33"/>
      <c r="AW192" s="37"/>
    </row>
    <row r="193" spans="1:49">
      <c r="A193" s="18"/>
      <c r="B193" s="45"/>
      <c r="C193" s="31"/>
      <c r="D193" s="19"/>
      <c r="E193" s="31"/>
      <c r="F193" s="74"/>
      <c r="G193" s="57"/>
      <c r="H193" s="31"/>
      <c r="I193" s="31"/>
      <c r="J193" s="31"/>
      <c r="K193" s="31"/>
      <c r="L193" s="22"/>
      <c r="M193" s="29"/>
      <c r="N193" s="31"/>
      <c r="O193" s="31"/>
      <c r="P193" s="31"/>
      <c r="Q193" s="31"/>
      <c r="R193" s="31"/>
      <c r="S193" s="31"/>
      <c r="T193" s="31"/>
      <c r="U193" s="31"/>
      <c r="V193" s="31"/>
      <c r="W193" s="31"/>
      <c r="X193" s="31"/>
      <c r="Y193" s="31"/>
      <c r="Z193" s="31"/>
      <c r="AA193" s="31"/>
      <c r="AB193" s="42"/>
      <c r="AC193" s="42"/>
      <c r="AD193" s="42"/>
      <c r="AE193" s="31"/>
      <c r="AF193" s="31"/>
      <c r="AG193" s="43"/>
      <c r="AH193" s="31"/>
      <c r="AI193" s="44"/>
      <c r="AJ193" s="44"/>
      <c r="AK193" s="38"/>
      <c r="AL193" s="38"/>
      <c r="AM193" s="38"/>
      <c r="AN193" s="38"/>
      <c r="AO193" s="38"/>
      <c r="AP193" s="39"/>
      <c r="AQ193" s="39"/>
      <c r="AR193" s="39"/>
      <c r="AS193" s="38"/>
      <c r="AT193" s="38"/>
      <c r="AU193" s="40"/>
      <c r="AV193" s="38"/>
      <c r="AW193" s="41"/>
    </row>
    <row r="194" spans="1:49">
      <c r="A194" s="18"/>
      <c r="B194" s="45"/>
      <c r="C194" s="31"/>
      <c r="D194" s="19"/>
      <c r="E194" s="31"/>
      <c r="F194" s="74"/>
      <c r="G194" s="57"/>
      <c r="H194" s="31"/>
      <c r="I194" s="31"/>
      <c r="J194" s="31"/>
      <c r="K194" s="31"/>
      <c r="L194" s="22"/>
      <c r="M194" s="29"/>
      <c r="N194" s="31"/>
      <c r="O194" s="31"/>
      <c r="P194" s="31"/>
      <c r="Q194" s="31"/>
      <c r="R194" s="31"/>
      <c r="S194" s="31"/>
      <c r="T194" s="31"/>
      <c r="U194" s="31"/>
      <c r="V194" s="31"/>
      <c r="W194" s="31"/>
      <c r="X194" s="31"/>
      <c r="Y194" s="31"/>
      <c r="Z194" s="31"/>
      <c r="AA194" s="31"/>
      <c r="AB194" s="42"/>
      <c r="AC194" s="42"/>
      <c r="AD194" s="42"/>
      <c r="AE194" s="31"/>
      <c r="AF194" s="31"/>
      <c r="AG194" s="43"/>
      <c r="AH194" s="31"/>
      <c r="AI194" s="44"/>
      <c r="AJ194" s="44"/>
      <c r="AK194" s="33"/>
      <c r="AL194" s="33"/>
      <c r="AM194" s="33"/>
      <c r="AN194" s="33"/>
      <c r="AO194" s="33"/>
      <c r="AP194" s="35"/>
      <c r="AQ194" s="35"/>
      <c r="AR194" s="35"/>
      <c r="AS194" s="33"/>
      <c r="AT194" s="33"/>
      <c r="AU194" s="36"/>
      <c r="AV194" s="33"/>
      <c r="AW194" s="37"/>
    </row>
    <row r="195" spans="1:49">
      <c r="A195" s="18"/>
      <c r="B195" s="45"/>
      <c r="C195" s="31"/>
      <c r="D195" s="19"/>
      <c r="E195" s="31"/>
      <c r="F195" s="74"/>
      <c r="G195" s="57"/>
      <c r="H195" s="31"/>
      <c r="I195" s="31"/>
      <c r="J195" s="31"/>
      <c r="K195" s="31"/>
      <c r="L195" s="22"/>
      <c r="M195" s="29"/>
      <c r="N195" s="31"/>
      <c r="O195" s="31"/>
      <c r="P195" s="31"/>
      <c r="Q195" s="31"/>
      <c r="R195" s="31"/>
      <c r="S195" s="31"/>
      <c r="T195" s="31"/>
      <c r="U195" s="31"/>
      <c r="V195" s="31"/>
      <c r="W195" s="31"/>
      <c r="X195" s="31"/>
      <c r="Y195" s="31"/>
      <c r="Z195" s="31"/>
      <c r="AA195" s="31"/>
      <c r="AB195" s="42"/>
      <c r="AC195" s="42"/>
      <c r="AD195" s="42"/>
      <c r="AE195" s="31"/>
      <c r="AF195" s="31"/>
      <c r="AG195" s="43"/>
      <c r="AH195" s="31"/>
      <c r="AI195" s="44"/>
      <c r="AJ195" s="44"/>
      <c r="AK195" s="38"/>
      <c r="AL195" s="38"/>
      <c r="AM195" s="38"/>
      <c r="AN195" s="38"/>
      <c r="AO195" s="38"/>
      <c r="AP195" s="39"/>
      <c r="AQ195" s="39"/>
      <c r="AR195" s="39"/>
      <c r="AS195" s="38"/>
      <c r="AT195" s="38"/>
      <c r="AU195" s="40"/>
      <c r="AV195" s="38"/>
      <c r="AW195" s="41"/>
    </row>
    <row r="196" spans="1:49">
      <c r="A196" s="18"/>
      <c r="B196" s="45"/>
      <c r="C196" s="31"/>
      <c r="D196" s="19"/>
      <c r="E196" s="31"/>
      <c r="F196" s="74"/>
      <c r="G196" s="57"/>
      <c r="H196" s="31"/>
      <c r="I196" s="31"/>
      <c r="J196" s="31"/>
      <c r="K196" s="31"/>
      <c r="L196" s="22"/>
      <c r="M196" s="29"/>
      <c r="N196" s="31"/>
      <c r="O196" s="31"/>
      <c r="P196" s="31"/>
      <c r="Q196" s="31"/>
      <c r="R196" s="31"/>
      <c r="S196" s="31"/>
      <c r="T196" s="31"/>
      <c r="U196" s="31"/>
      <c r="V196" s="31"/>
      <c r="W196" s="31"/>
      <c r="X196" s="31"/>
      <c r="Y196" s="31"/>
      <c r="Z196" s="31"/>
      <c r="AA196" s="31"/>
      <c r="AB196" s="42"/>
      <c r="AC196" s="42"/>
      <c r="AD196" s="42"/>
      <c r="AE196" s="31"/>
      <c r="AF196" s="31"/>
      <c r="AG196" s="43"/>
      <c r="AH196" s="31"/>
      <c r="AI196" s="44"/>
      <c r="AJ196" s="44"/>
      <c r="AK196" s="33"/>
      <c r="AL196" s="33"/>
      <c r="AM196" s="33"/>
      <c r="AN196" s="33"/>
      <c r="AO196" s="33"/>
      <c r="AP196" s="35"/>
      <c r="AQ196" s="35"/>
      <c r="AR196" s="35"/>
      <c r="AS196" s="33"/>
      <c r="AT196" s="33"/>
      <c r="AU196" s="36"/>
      <c r="AV196" s="33"/>
      <c r="AW196" s="37"/>
    </row>
    <row r="197" spans="1:49">
      <c r="A197" s="18"/>
      <c r="B197" s="45"/>
      <c r="C197" s="31"/>
      <c r="D197" s="19"/>
      <c r="E197" s="31"/>
      <c r="F197" s="74"/>
      <c r="G197" s="57"/>
      <c r="H197" s="31"/>
      <c r="I197" s="31"/>
      <c r="J197" s="31"/>
      <c r="K197" s="31"/>
      <c r="L197" s="22"/>
      <c r="M197" s="29"/>
      <c r="N197" s="31"/>
      <c r="O197" s="31"/>
      <c r="P197" s="31"/>
      <c r="Q197" s="31"/>
      <c r="R197" s="31"/>
      <c r="S197" s="31"/>
      <c r="T197" s="31"/>
      <c r="U197" s="31"/>
      <c r="V197" s="31"/>
      <c r="W197" s="31"/>
      <c r="X197" s="31"/>
      <c r="Y197" s="31"/>
      <c r="Z197" s="31"/>
      <c r="AA197" s="31"/>
      <c r="AB197" s="42"/>
      <c r="AC197" s="42"/>
      <c r="AD197" s="42"/>
      <c r="AE197" s="31"/>
      <c r="AF197" s="31"/>
      <c r="AG197" s="43"/>
      <c r="AH197" s="31"/>
      <c r="AI197" s="44"/>
      <c r="AJ197" s="44"/>
      <c r="AK197" s="38"/>
      <c r="AL197" s="38"/>
      <c r="AM197" s="38"/>
      <c r="AN197" s="38"/>
      <c r="AO197" s="38"/>
      <c r="AP197" s="39"/>
      <c r="AQ197" s="39"/>
      <c r="AR197" s="39"/>
      <c r="AS197" s="38"/>
      <c r="AT197" s="38"/>
      <c r="AU197" s="40"/>
      <c r="AV197" s="38"/>
      <c r="AW197" s="41"/>
    </row>
    <row r="198" spans="1:49">
      <c r="A198" s="18"/>
      <c r="B198" s="45"/>
      <c r="C198" s="31"/>
      <c r="D198" s="19"/>
      <c r="E198" s="31"/>
      <c r="F198" s="74"/>
      <c r="G198" s="57"/>
      <c r="H198" s="31"/>
      <c r="I198" s="31"/>
      <c r="J198" s="31"/>
      <c r="K198" s="31"/>
      <c r="L198" s="22"/>
      <c r="M198" s="29"/>
      <c r="N198" s="31"/>
      <c r="O198" s="31"/>
      <c r="P198" s="31"/>
      <c r="Q198" s="31"/>
      <c r="R198" s="31"/>
      <c r="S198" s="31"/>
      <c r="T198" s="31"/>
      <c r="U198" s="31"/>
      <c r="V198" s="31"/>
      <c r="W198" s="31"/>
      <c r="X198" s="31"/>
      <c r="Y198" s="31"/>
      <c r="Z198" s="31"/>
      <c r="AA198" s="31"/>
      <c r="AB198" s="42"/>
      <c r="AC198" s="42"/>
      <c r="AD198" s="42"/>
      <c r="AE198" s="31"/>
      <c r="AF198" s="31"/>
      <c r="AG198" s="43"/>
      <c r="AH198" s="31"/>
      <c r="AI198" s="44"/>
      <c r="AJ198" s="44"/>
      <c r="AK198" s="33"/>
      <c r="AL198" s="33"/>
      <c r="AM198" s="33"/>
      <c r="AN198" s="33"/>
      <c r="AO198" s="33"/>
      <c r="AP198" s="35"/>
      <c r="AQ198" s="35"/>
      <c r="AR198" s="35"/>
      <c r="AS198" s="33"/>
      <c r="AT198" s="33"/>
      <c r="AU198" s="36"/>
      <c r="AV198" s="33"/>
      <c r="AW198" s="37"/>
    </row>
    <row r="199" spans="1:49">
      <c r="A199" s="18"/>
      <c r="B199" s="45"/>
      <c r="C199" s="31"/>
      <c r="D199" s="19"/>
      <c r="E199" s="31"/>
      <c r="F199" s="74"/>
      <c r="G199" s="57"/>
      <c r="H199" s="31"/>
      <c r="I199" s="31"/>
      <c r="J199" s="31"/>
      <c r="K199" s="31"/>
      <c r="L199" s="22"/>
      <c r="M199" s="29"/>
      <c r="N199" s="31"/>
      <c r="O199" s="31"/>
      <c r="P199" s="31"/>
      <c r="Q199" s="31"/>
      <c r="R199" s="31"/>
      <c r="S199" s="31"/>
      <c r="T199" s="31"/>
      <c r="U199" s="31"/>
      <c r="V199" s="31"/>
      <c r="W199" s="31"/>
      <c r="X199" s="31"/>
      <c r="Y199" s="31"/>
      <c r="Z199" s="31"/>
      <c r="AA199" s="31"/>
      <c r="AB199" s="42"/>
      <c r="AC199" s="42"/>
      <c r="AD199" s="42"/>
      <c r="AE199" s="31"/>
      <c r="AF199" s="31"/>
      <c r="AG199" s="43"/>
      <c r="AH199" s="31"/>
      <c r="AI199" s="44"/>
      <c r="AJ199" s="44"/>
      <c r="AK199" s="38"/>
      <c r="AL199" s="38"/>
      <c r="AM199" s="38"/>
      <c r="AN199" s="38"/>
      <c r="AO199" s="38"/>
      <c r="AP199" s="39"/>
      <c r="AQ199" s="39"/>
      <c r="AR199" s="39"/>
      <c r="AS199" s="38"/>
      <c r="AT199" s="38"/>
      <c r="AU199" s="40"/>
      <c r="AV199" s="38"/>
      <c r="AW199" s="41"/>
    </row>
    <row r="200" spans="1:49">
      <c r="A200" s="18"/>
      <c r="B200" s="45"/>
      <c r="C200" s="31"/>
      <c r="D200" s="19"/>
      <c r="E200" s="31"/>
      <c r="F200" s="74"/>
      <c r="G200" s="57"/>
      <c r="H200" s="31"/>
      <c r="I200" s="31"/>
      <c r="J200" s="31"/>
      <c r="K200" s="31"/>
      <c r="L200" s="22"/>
      <c r="M200" s="29"/>
      <c r="N200" s="31"/>
      <c r="O200" s="31"/>
      <c r="P200" s="31"/>
      <c r="Q200" s="31"/>
      <c r="R200" s="31"/>
      <c r="S200" s="31"/>
      <c r="T200" s="31"/>
      <c r="U200" s="31"/>
      <c r="V200" s="31"/>
      <c r="W200" s="31"/>
      <c r="X200" s="31"/>
      <c r="Y200" s="31"/>
      <c r="Z200" s="31"/>
      <c r="AA200" s="31"/>
      <c r="AB200" s="42"/>
      <c r="AC200" s="42"/>
      <c r="AD200" s="42"/>
      <c r="AE200" s="31"/>
      <c r="AF200" s="31"/>
      <c r="AG200" s="43"/>
      <c r="AH200" s="31"/>
      <c r="AI200" s="44"/>
      <c r="AJ200" s="44"/>
      <c r="AK200" s="33"/>
      <c r="AL200" s="33"/>
      <c r="AM200" s="33"/>
      <c r="AN200" s="33"/>
      <c r="AO200" s="33"/>
      <c r="AP200" s="35"/>
      <c r="AQ200" s="35"/>
      <c r="AR200" s="35"/>
      <c r="AS200" s="33"/>
      <c r="AT200" s="33"/>
      <c r="AU200" s="36"/>
      <c r="AV200" s="33"/>
      <c r="AW200" s="37"/>
    </row>
    <row r="201" spans="1:49">
      <c r="A201" s="18"/>
      <c r="B201" s="45"/>
      <c r="C201" s="31"/>
      <c r="D201" s="19"/>
      <c r="E201" s="31"/>
      <c r="F201" s="74"/>
      <c r="G201" s="57"/>
      <c r="H201" s="31"/>
      <c r="I201" s="31"/>
      <c r="J201" s="31"/>
      <c r="K201" s="31"/>
      <c r="L201" s="22"/>
      <c r="M201" s="29"/>
      <c r="N201" s="31"/>
      <c r="O201" s="31"/>
      <c r="P201" s="31"/>
      <c r="Q201" s="31"/>
      <c r="R201" s="31"/>
      <c r="S201" s="31"/>
      <c r="T201" s="31"/>
      <c r="U201" s="31"/>
      <c r="V201" s="31"/>
      <c r="W201" s="31"/>
      <c r="X201" s="31"/>
      <c r="Y201" s="31"/>
      <c r="Z201" s="31"/>
      <c r="AA201" s="31"/>
      <c r="AB201" s="42"/>
      <c r="AC201" s="42"/>
      <c r="AD201" s="42"/>
      <c r="AE201" s="31"/>
      <c r="AF201" s="31"/>
      <c r="AG201" s="43"/>
      <c r="AH201" s="31"/>
      <c r="AI201" s="44"/>
      <c r="AJ201" s="44"/>
      <c r="AK201" s="38"/>
      <c r="AL201" s="38"/>
      <c r="AM201" s="38"/>
      <c r="AN201" s="38"/>
      <c r="AO201" s="38"/>
      <c r="AP201" s="39"/>
      <c r="AQ201" s="39"/>
      <c r="AR201" s="39"/>
      <c r="AS201" s="38"/>
      <c r="AT201" s="38"/>
      <c r="AU201" s="40"/>
      <c r="AV201" s="38"/>
      <c r="AW201" s="41"/>
    </row>
    <row r="202" spans="1:49">
      <c r="A202" s="18"/>
      <c r="B202" s="45"/>
      <c r="C202" s="31"/>
      <c r="D202" s="19"/>
      <c r="E202" s="31"/>
      <c r="F202" s="74"/>
      <c r="G202" s="57"/>
      <c r="H202" s="31"/>
      <c r="I202" s="31"/>
      <c r="J202" s="31"/>
      <c r="K202" s="31"/>
      <c r="L202" s="22"/>
      <c r="M202" s="29"/>
      <c r="N202" s="31"/>
      <c r="O202" s="31"/>
      <c r="P202" s="31"/>
      <c r="Q202" s="31"/>
      <c r="R202" s="31"/>
      <c r="S202" s="31"/>
      <c r="T202" s="31"/>
      <c r="U202" s="31"/>
      <c r="V202" s="31"/>
      <c r="W202" s="31"/>
      <c r="X202" s="31"/>
      <c r="Y202" s="31"/>
      <c r="Z202" s="31"/>
      <c r="AA202" s="31"/>
      <c r="AB202" s="42"/>
      <c r="AC202" s="42"/>
      <c r="AD202" s="42"/>
      <c r="AE202" s="31"/>
      <c r="AF202" s="31"/>
      <c r="AG202" s="43"/>
      <c r="AH202" s="31"/>
      <c r="AI202" s="44"/>
      <c r="AJ202" s="44"/>
    </row>
    <row r="203" spans="1:49">
      <c r="A203" s="18"/>
      <c r="B203" s="45"/>
      <c r="C203" s="31"/>
      <c r="D203" s="19"/>
      <c r="E203" s="31"/>
      <c r="F203" s="74"/>
      <c r="G203" s="57"/>
      <c r="H203" s="31"/>
      <c r="I203" s="31"/>
      <c r="J203" s="31"/>
      <c r="K203" s="31"/>
      <c r="L203" s="22"/>
      <c r="M203" s="29"/>
      <c r="N203" s="31"/>
      <c r="O203" s="31"/>
      <c r="P203" s="31"/>
      <c r="Q203" s="31"/>
      <c r="R203" s="31"/>
      <c r="S203" s="31"/>
      <c r="T203" s="31"/>
      <c r="U203" s="31"/>
      <c r="V203" s="31"/>
      <c r="W203" s="31"/>
      <c r="X203" s="31"/>
      <c r="Y203" s="31"/>
      <c r="Z203" s="31"/>
      <c r="AA203" s="31"/>
      <c r="AB203" s="42"/>
      <c r="AC203" s="42"/>
      <c r="AD203" s="42"/>
      <c r="AE203" s="31"/>
      <c r="AF203" s="31"/>
      <c r="AG203" s="43"/>
      <c r="AH203" s="31"/>
      <c r="AI203" s="44"/>
      <c r="AJ203" s="44"/>
    </row>
    <row r="204" spans="1:49">
      <c r="A204" s="18"/>
      <c r="B204" s="45"/>
      <c r="C204" s="31"/>
      <c r="D204" s="19"/>
      <c r="E204" s="31"/>
      <c r="F204" s="74"/>
      <c r="G204" s="57"/>
      <c r="H204" s="31"/>
      <c r="I204" s="31"/>
      <c r="J204" s="31"/>
      <c r="K204" s="31"/>
      <c r="L204" s="22"/>
      <c r="M204" s="29"/>
      <c r="N204" s="31"/>
      <c r="O204" s="31"/>
      <c r="P204" s="31"/>
      <c r="Q204" s="31"/>
      <c r="R204" s="31"/>
      <c r="S204" s="31"/>
      <c r="T204" s="31"/>
      <c r="U204" s="31"/>
      <c r="V204" s="31"/>
      <c r="W204" s="31"/>
      <c r="X204" s="31"/>
      <c r="Y204" s="31"/>
      <c r="Z204" s="31"/>
      <c r="AA204" s="31"/>
      <c r="AB204" s="42"/>
      <c r="AC204" s="42"/>
      <c r="AD204" s="42"/>
      <c r="AE204" s="31"/>
      <c r="AF204" s="31"/>
      <c r="AG204" s="43"/>
      <c r="AH204" s="31"/>
      <c r="AI204" s="44"/>
      <c r="AJ204" s="44"/>
    </row>
    <row r="205" spans="1:49">
      <c r="A205" s="18"/>
      <c r="B205" s="45"/>
      <c r="C205" s="31"/>
      <c r="D205" s="19"/>
      <c r="E205" s="31"/>
      <c r="F205" s="74"/>
      <c r="G205" s="57"/>
      <c r="H205" s="31"/>
      <c r="I205" s="31"/>
      <c r="J205" s="31"/>
      <c r="K205" s="31"/>
      <c r="L205" s="22"/>
      <c r="M205" s="29"/>
      <c r="N205" s="31"/>
      <c r="O205" s="31"/>
      <c r="P205" s="31"/>
      <c r="Q205" s="31"/>
      <c r="R205" s="31"/>
      <c r="S205" s="31"/>
      <c r="T205" s="31"/>
      <c r="U205" s="31"/>
      <c r="V205" s="31"/>
      <c r="W205" s="31"/>
      <c r="X205" s="31"/>
      <c r="Y205" s="31"/>
      <c r="Z205" s="31"/>
      <c r="AA205" s="31"/>
      <c r="AB205" s="42"/>
      <c r="AC205" s="42"/>
      <c r="AD205" s="42"/>
      <c r="AE205" s="31"/>
      <c r="AF205" s="31"/>
      <c r="AG205" s="43"/>
      <c r="AH205" s="31"/>
      <c r="AI205" s="44"/>
      <c r="AJ205" s="44"/>
    </row>
    <row r="206" spans="1:49">
      <c r="A206" s="18"/>
      <c r="B206" s="45"/>
      <c r="C206" s="31"/>
      <c r="D206" s="19"/>
      <c r="E206" s="31"/>
      <c r="F206" s="74"/>
      <c r="G206" s="57"/>
      <c r="H206" s="31"/>
      <c r="I206" s="31"/>
      <c r="J206" s="31"/>
      <c r="K206" s="31"/>
      <c r="L206" s="22"/>
      <c r="M206" s="29"/>
      <c r="N206" s="31"/>
      <c r="O206" s="31"/>
      <c r="P206" s="31"/>
      <c r="Q206" s="31"/>
      <c r="R206" s="31"/>
      <c r="S206" s="31"/>
      <c r="T206" s="31"/>
      <c r="U206" s="31"/>
      <c r="V206" s="31"/>
      <c r="W206" s="31"/>
      <c r="X206" s="31"/>
      <c r="Y206" s="31"/>
      <c r="Z206" s="31"/>
      <c r="AA206" s="31"/>
      <c r="AB206" s="42"/>
      <c r="AC206" s="42"/>
      <c r="AD206" s="42"/>
      <c r="AE206" s="31"/>
      <c r="AF206" s="31"/>
      <c r="AG206" s="43"/>
      <c r="AH206" s="31"/>
      <c r="AI206" s="44"/>
      <c r="AJ206" s="44"/>
    </row>
    <row r="207" spans="1:49">
      <c r="A207" s="18"/>
      <c r="B207" s="45"/>
      <c r="C207" s="31"/>
      <c r="D207" s="19"/>
      <c r="E207" s="31"/>
      <c r="F207" s="74"/>
      <c r="G207" s="57"/>
      <c r="H207" s="31"/>
      <c r="I207" s="31"/>
      <c r="J207" s="31"/>
      <c r="K207" s="31"/>
      <c r="L207" s="22"/>
      <c r="M207" s="29"/>
      <c r="N207" s="31"/>
      <c r="O207" s="31"/>
      <c r="P207" s="31"/>
      <c r="Q207" s="31"/>
      <c r="R207" s="31"/>
      <c r="S207" s="31"/>
      <c r="T207" s="31"/>
      <c r="U207" s="31"/>
      <c r="V207" s="31"/>
      <c r="W207" s="31"/>
      <c r="X207" s="31"/>
      <c r="Y207" s="31"/>
      <c r="Z207" s="31"/>
      <c r="AA207" s="31"/>
      <c r="AB207" s="42"/>
      <c r="AC207" s="42"/>
      <c r="AD207" s="42"/>
      <c r="AE207" s="31"/>
      <c r="AF207" s="31"/>
      <c r="AG207" s="43"/>
      <c r="AH207" s="31"/>
      <c r="AI207" s="44"/>
      <c r="AJ207" s="44"/>
    </row>
    <row r="208" spans="1:49">
      <c r="A208" s="18"/>
      <c r="B208" s="45"/>
      <c r="C208" s="31"/>
      <c r="D208" s="19"/>
      <c r="E208" s="31"/>
      <c r="F208" s="74"/>
      <c r="G208" s="57"/>
      <c r="H208" s="31"/>
      <c r="I208" s="31"/>
      <c r="J208" s="31"/>
      <c r="K208" s="31"/>
      <c r="L208" s="22"/>
      <c r="M208" s="29"/>
      <c r="N208" s="31"/>
      <c r="O208" s="31"/>
      <c r="P208" s="31"/>
      <c r="Q208" s="31"/>
      <c r="R208" s="31"/>
      <c r="S208" s="31"/>
      <c r="T208" s="31"/>
      <c r="U208" s="31"/>
      <c r="V208" s="31"/>
      <c r="W208" s="31"/>
      <c r="X208" s="31"/>
      <c r="Y208" s="31"/>
      <c r="Z208" s="31"/>
      <c r="AA208" s="31"/>
      <c r="AB208" s="42"/>
      <c r="AC208" s="42"/>
      <c r="AD208" s="42"/>
      <c r="AE208" s="31"/>
      <c r="AF208" s="31"/>
      <c r="AG208" s="43"/>
      <c r="AH208" s="31"/>
      <c r="AI208" s="44"/>
      <c r="AJ208" s="44"/>
    </row>
    <row r="209" spans="1:36">
      <c r="A209" s="18"/>
      <c r="B209" s="45"/>
      <c r="C209" s="31"/>
      <c r="D209" s="19"/>
      <c r="E209" s="31"/>
      <c r="F209" s="74"/>
      <c r="G209" s="57"/>
      <c r="H209" s="31"/>
      <c r="I209" s="31"/>
      <c r="J209" s="31"/>
      <c r="K209" s="31"/>
      <c r="L209" s="22"/>
      <c r="M209" s="29"/>
      <c r="N209" s="31"/>
      <c r="O209" s="31"/>
      <c r="P209" s="31"/>
      <c r="Q209" s="31"/>
      <c r="R209" s="31"/>
      <c r="S209" s="31"/>
      <c r="T209" s="31"/>
      <c r="U209" s="31"/>
      <c r="V209" s="31"/>
      <c r="W209" s="31"/>
      <c r="X209" s="31"/>
      <c r="Y209" s="31"/>
      <c r="Z209" s="31"/>
      <c r="AA209" s="31"/>
      <c r="AB209" s="42"/>
      <c r="AC209" s="42"/>
      <c r="AD209" s="42"/>
      <c r="AE209" s="31"/>
      <c r="AF209" s="31"/>
      <c r="AG209" s="43"/>
      <c r="AH209" s="31"/>
      <c r="AI209" s="44"/>
      <c r="AJ209" s="44"/>
    </row>
    <row r="210" spans="1:36">
      <c r="A210" s="18"/>
      <c r="B210" s="45"/>
      <c r="C210" s="31"/>
      <c r="D210" s="19"/>
      <c r="E210" s="31"/>
      <c r="F210" s="74"/>
      <c r="G210" s="57"/>
      <c r="H210" s="31"/>
      <c r="I210" s="31"/>
      <c r="J210" s="31"/>
      <c r="K210" s="31"/>
      <c r="L210" s="22"/>
      <c r="M210" s="29"/>
      <c r="N210" s="31"/>
      <c r="O210" s="31"/>
      <c r="P210" s="31"/>
      <c r="Q210" s="31"/>
      <c r="R210" s="31"/>
      <c r="S210" s="31"/>
      <c r="T210" s="31"/>
      <c r="U210" s="31"/>
      <c r="V210" s="31"/>
      <c r="W210" s="31"/>
      <c r="X210" s="31"/>
      <c r="Y210" s="31"/>
      <c r="Z210" s="31"/>
      <c r="AA210" s="31"/>
      <c r="AB210" s="42"/>
      <c r="AC210" s="42"/>
      <c r="AD210" s="42"/>
      <c r="AE210" s="31"/>
      <c r="AF210" s="31"/>
      <c r="AG210" s="43"/>
      <c r="AH210" s="31"/>
      <c r="AI210" s="44"/>
      <c r="AJ210" s="44"/>
    </row>
    <row r="211" spans="1:36">
      <c r="A211" s="18"/>
      <c r="B211" s="45"/>
      <c r="C211" s="31"/>
      <c r="D211" s="19"/>
      <c r="E211" s="31"/>
      <c r="F211" s="74"/>
      <c r="G211" s="57"/>
      <c r="H211" s="31"/>
      <c r="I211" s="31"/>
      <c r="J211" s="31"/>
      <c r="K211" s="31"/>
      <c r="L211" s="22"/>
      <c r="M211" s="29"/>
      <c r="N211" s="31"/>
      <c r="O211" s="31"/>
      <c r="P211" s="31"/>
      <c r="Q211" s="31"/>
      <c r="R211" s="31"/>
      <c r="S211" s="31"/>
      <c r="T211" s="31"/>
      <c r="U211" s="31"/>
      <c r="V211" s="31"/>
      <c r="W211" s="31"/>
      <c r="X211" s="31"/>
      <c r="Y211" s="31"/>
      <c r="Z211" s="31"/>
      <c r="AA211" s="31"/>
      <c r="AB211" s="42"/>
      <c r="AC211" s="42"/>
      <c r="AD211" s="42"/>
      <c r="AE211" s="31"/>
      <c r="AF211" s="31"/>
      <c r="AG211" s="43"/>
      <c r="AH211" s="31"/>
      <c r="AI211" s="44"/>
      <c r="AJ211" s="44"/>
    </row>
    <row r="212" spans="1:36">
      <c r="A212" s="18"/>
      <c r="B212" s="45"/>
      <c r="C212" s="31"/>
      <c r="D212" s="19"/>
      <c r="E212" s="31"/>
      <c r="F212" s="74"/>
      <c r="G212" s="57"/>
      <c r="H212" s="31"/>
      <c r="I212" s="31"/>
      <c r="J212" s="31"/>
      <c r="K212" s="31"/>
      <c r="L212" s="22"/>
      <c r="M212" s="29"/>
      <c r="N212" s="31"/>
      <c r="O212" s="31"/>
      <c r="P212" s="31"/>
      <c r="Q212" s="31"/>
      <c r="R212" s="31"/>
      <c r="S212" s="31"/>
      <c r="T212" s="31"/>
      <c r="U212" s="31"/>
      <c r="V212" s="31"/>
      <c r="W212" s="31"/>
      <c r="X212" s="31"/>
      <c r="Y212" s="31"/>
      <c r="Z212" s="31"/>
      <c r="AA212" s="31"/>
      <c r="AB212" s="42"/>
      <c r="AC212" s="42"/>
      <c r="AD212" s="42"/>
      <c r="AE212" s="31"/>
      <c r="AF212" s="31"/>
      <c r="AG212" s="43"/>
      <c r="AH212" s="31"/>
      <c r="AI212" s="44"/>
      <c r="AJ212" s="44"/>
    </row>
    <row r="213" spans="1:36">
      <c r="A213" s="18"/>
      <c r="B213" s="45"/>
      <c r="C213" s="31"/>
      <c r="D213" s="19"/>
      <c r="E213" s="31"/>
      <c r="F213" s="74"/>
      <c r="G213" s="57"/>
      <c r="H213" s="31"/>
      <c r="I213" s="31"/>
      <c r="J213" s="31"/>
      <c r="K213" s="31"/>
      <c r="L213" s="22"/>
      <c r="M213" s="29"/>
      <c r="N213" s="31"/>
      <c r="O213" s="31"/>
      <c r="P213" s="31"/>
      <c r="Q213" s="31"/>
      <c r="R213" s="31"/>
      <c r="S213" s="31"/>
      <c r="T213" s="31"/>
      <c r="U213" s="31"/>
      <c r="V213" s="31"/>
      <c r="W213" s="31"/>
      <c r="X213" s="31"/>
      <c r="Y213" s="31"/>
      <c r="Z213" s="31"/>
      <c r="AA213" s="31"/>
      <c r="AB213" s="42"/>
      <c r="AC213" s="42"/>
      <c r="AD213" s="42"/>
      <c r="AE213" s="31"/>
      <c r="AF213" s="31"/>
      <c r="AG213" s="43"/>
      <c r="AH213" s="31"/>
      <c r="AI213" s="44"/>
      <c r="AJ213" s="44"/>
    </row>
    <row r="214" spans="1:36">
      <c r="A214" s="18"/>
      <c r="B214" s="45"/>
      <c r="C214" s="31"/>
      <c r="D214" s="19"/>
      <c r="E214" s="31"/>
      <c r="F214" s="74"/>
      <c r="G214" s="57"/>
      <c r="H214" s="31"/>
      <c r="I214" s="31"/>
      <c r="J214" s="31"/>
      <c r="K214" s="31"/>
      <c r="L214" s="22"/>
      <c r="M214" s="29"/>
      <c r="N214" s="31"/>
      <c r="O214" s="31"/>
      <c r="P214" s="31"/>
      <c r="Q214" s="31"/>
      <c r="R214" s="31"/>
      <c r="S214" s="31"/>
      <c r="T214" s="31"/>
      <c r="U214" s="31"/>
      <c r="V214" s="31"/>
      <c r="W214" s="31"/>
      <c r="X214" s="31"/>
      <c r="Y214" s="31"/>
      <c r="Z214" s="31"/>
      <c r="AA214" s="31"/>
      <c r="AB214" s="42"/>
      <c r="AC214" s="42"/>
      <c r="AD214" s="42"/>
      <c r="AE214" s="31"/>
      <c r="AF214" s="31"/>
      <c r="AG214" s="43"/>
      <c r="AH214" s="31"/>
      <c r="AI214" s="44"/>
      <c r="AJ214" s="44"/>
    </row>
    <row r="215" spans="1:36">
      <c r="A215" s="18"/>
      <c r="B215" s="45"/>
      <c r="C215" s="31"/>
      <c r="D215" s="19"/>
      <c r="E215" s="31"/>
      <c r="F215" s="74"/>
      <c r="G215" s="57"/>
      <c r="H215" s="31"/>
      <c r="I215" s="31"/>
      <c r="J215" s="31"/>
      <c r="K215" s="31"/>
      <c r="L215" s="22"/>
      <c r="M215" s="29"/>
      <c r="N215" s="31"/>
      <c r="O215" s="31"/>
      <c r="P215" s="31"/>
      <c r="Q215" s="31"/>
      <c r="R215" s="31"/>
      <c r="S215" s="31"/>
      <c r="T215" s="31"/>
      <c r="U215" s="31"/>
      <c r="V215" s="31"/>
      <c r="W215" s="31"/>
      <c r="X215" s="31"/>
      <c r="Y215" s="31"/>
      <c r="Z215" s="31"/>
      <c r="AA215" s="31"/>
      <c r="AB215" s="42"/>
      <c r="AC215" s="42"/>
      <c r="AD215" s="42"/>
      <c r="AE215" s="31"/>
      <c r="AF215" s="31"/>
      <c r="AG215" s="43"/>
      <c r="AH215" s="31"/>
      <c r="AI215" s="44"/>
      <c r="AJ215" s="44"/>
    </row>
    <row r="216" spans="1:36">
      <c r="A216" s="18"/>
      <c r="B216" s="45"/>
      <c r="C216" s="31"/>
      <c r="D216" s="19"/>
      <c r="E216" s="31"/>
      <c r="F216" s="74"/>
      <c r="G216" s="57"/>
      <c r="H216" s="31"/>
      <c r="I216" s="31"/>
      <c r="J216" s="31"/>
      <c r="K216" s="31"/>
      <c r="L216" s="22"/>
      <c r="M216" s="29"/>
      <c r="N216" s="31"/>
      <c r="O216" s="31"/>
      <c r="P216" s="31"/>
      <c r="Q216" s="31"/>
      <c r="R216" s="31"/>
      <c r="S216" s="31"/>
      <c r="T216" s="31"/>
      <c r="U216" s="31"/>
      <c r="V216" s="31"/>
      <c r="W216" s="31"/>
      <c r="X216" s="31"/>
      <c r="Y216" s="31"/>
      <c r="Z216" s="31"/>
      <c r="AA216" s="31"/>
      <c r="AB216" s="42"/>
      <c r="AC216" s="42"/>
      <c r="AD216" s="42"/>
      <c r="AE216" s="31"/>
      <c r="AF216" s="31"/>
      <c r="AG216" s="43"/>
      <c r="AH216" s="31"/>
      <c r="AI216" s="44"/>
      <c r="AJ216" s="44"/>
    </row>
    <row r="217" spans="1:36">
      <c r="A217" s="18"/>
      <c r="B217" s="45"/>
      <c r="C217" s="31"/>
      <c r="D217" s="19"/>
      <c r="E217" s="31"/>
      <c r="F217" s="74"/>
      <c r="G217" s="57"/>
      <c r="H217" s="31"/>
      <c r="I217" s="31"/>
      <c r="J217" s="31"/>
      <c r="K217" s="31"/>
      <c r="L217" s="22"/>
      <c r="M217" s="29"/>
      <c r="N217" s="31"/>
      <c r="O217" s="31"/>
      <c r="P217" s="31"/>
      <c r="Q217" s="31"/>
      <c r="R217" s="31"/>
      <c r="S217" s="31"/>
      <c r="T217" s="31"/>
      <c r="U217" s="31"/>
      <c r="V217" s="31"/>
      <c r="W217" s="31"/>
      <c r="X217" s="31"/>
      <c r="Y217" s="31"/>
      <c r="Z217" s="31"/>
      <c r="AA217" s="31"/>
      <c r="AB217" s="42"/>
      <c r="AC217" s="42"/>
      <c r="AD217" s="42"/>
      <c r="AE217" s="31"/>
      <c r="AF217" s="31"/>
      <c r="AG217" s="43"/>
      <c r="AH217" s="31"/>
      <c r="AI217" s="44"/>
      <c r="AJ217" s="44"/>
    </row>
    <row r="218" spans="1:36">
      <c r="A218" s="18"/>
      <c r="B218" s="45"/>
      <c r="C218" s="31"/>
      <c r="D218" s="19"/>
      <c r="E218" s="31"/>
      <c r="F218" s="74"/>
      <c r="G218" s="57"/>
      <c r="H218" s="31"/>
      <c r="I218" s="31"/>
      <c r="J218" s="31"/>
      <c r="K218" s="31"/>
      <c r="L218" s="22"/>
      <c r="M218" s="29"/>
      <c r="N218" s="31"/>
      <c r="O218" s="31"/>
      <c r="P218" s="31"/>
      <c r="Q218" s="31"/>
      <c r="R218" s="31"/>
      <c r="S218" s="31"/>
      <c r="T218" s="31"/>
      <c r="U218" s="31"/>
      <c r="V218" s="31"/>
      <c r="W218" s="31"/>
      <c r="X218" s="31"/>
      <c r="Y218" s="31"/>
      <c r="Z218" s="31"/>
      <c r="AA218" s="31"/>
      <c r="AB218" s="42"/>
      <c r="AC218" s="42"/>
      <c r="AD218" s="42"/>
      <c r="AE218" s="31"/>
      <c r="AF218" s="31"/>
      <c r="AG218" s="43"/>
      <c r="AH218" s="31"/>
      <c r="AI218" s="44"/>
      <c r="AJ218" s="44"/>
    </row>
    <row r="219" spans="1:36">
      <c r="A219" s="18"/>
      <c r="B219" s="45"/>
      <c r="C219" s="31"/>
      <c r="D219" s="19"/>
      <c r="E219" s="31"/>
      <c r="F219" s="74"/>
      <c r="G219" s="57"/>
      <c r="H219" s="31"/>
      <c r="I219" s="31"/>
      <c r="J219" s="31"/>
      <c r="K219" s="31"/>
      <c r="L219" s="22"/>
      <c r="M219" s="29"/>
      <c r="N219" s="31"/>
      <c r="O219" s="31"/>
      <c r="P219" s="31"/>
      <c r="Q219" s="31"/>
      <c r="R219" s="31"/>
      <c r="S219" s="31"/>
      <c r="T219" s="31"/>
      <c r="U219" s="31"/>
      <c r="V219" s="31"/>
      <c r="W219" s="31"/>
      <c r="X219" s="31"/>
      <c r="Y219" s="31"/>
      <c r="Z219" s="31"/>
      <c r="AA219" s="31"/>
      <c r="AB219" s="42"/>
      <c r="AC219" s="42"/>
      <c r="AD219" s="42"/>
      <c r="AE219" s="31"/>
      <c r="AF219" s="31"/>
      <c r="AG219" s="43"/>
      <c r="AH219" s="31"/>
      <c r="AI219" s="44"/>
      <c r="AJ219" s="44"/>
    </row>
    <row r="220" spans="1:36">
      <c r="A220" s="18"/>
      <c r="B220" s="45"/>
      <c r="C220" s="31"/>
      <c r="D220" s="19"/>
      <c r="E220" s="31"/>
      <c r="F220" s="74"/>
      <c r="G220" s="57"/>
      <c r="H220" s="31"/>
      <c r="I220" s="31"/>
      <c r="J220" s="31"/>
      <c r="K220" s="31"/>
      <c r="L220" s="22"/>
      <c r="M220" s="29"/>
      <c r="N220" s="31"/>
      <c r="O220" s="31"/>
      <c r="P220" s="31"/>
      <c r="Q220" s="31"/>
      <c r="R220" s="31"/>
      <c r="S220" s="31"/>
      <c r="T220" s="31"/>
      <c r="U220" s="31"/>
      <c r="V220" s="31"/>
      <c r="W220" s="31"/>
      <c r="X220" s="31"/>
      <c r="Y220" s="31"/>
      <c r="Z220" s="31"/>
      <c r="AA220" s="31"/>
      <c r="AB220" s="42"/>
      <c r="AC220" s="42"/>
      <c r="AD220" s="42"/>
      <c r="AE220" s="31"/>
      <c r="AF220" s="31"/>
      <c r="AG220" s="43"/>
      <c r="AH220" s="31"/>
      <c r="AI220" s="44"/>
      <c r="AJ220" s="44"/>
    </row>
    <row r="221" spans="1:36">
      <c r="A221" s="18"/>
      <c r="B221" s="45"/>
      <c r="C221" s="31"/>
      <c r="D221" s="19"/>
      <c r="E221" s="31"/>
      <c r="F221" s="74"/>
      <c r="G221" s="57"/>
      <c r="H221" s="31"/>
      <c r="I221" s="31"/>
      <c r="J221" s="31"/>
      <c r="K221" s="31"/>
      <c r="L221" s="22"/>
      <c r="M221" s="29"/>
      <c r="N221" s="31"/>
      <c r="O221" s="31"/>
      <c r="P221" s="31"/>
      <c r="Q221" s="31"/>
      <c r="R221" s="31"/>
      <c r="S221" s="31"/>
      <c r="T221" s="31"/>
      <c r="U221" s="31"/>
      <c r="V221" s="31"/>
      <c r="W221" s="31"/>
      <c r="X221" s="31"/>
      <c r="Y221" s="31"/>
      <c r="Z221" s="31"/>
      <c r="AA221" s="31"/>
      <c r="AB221" s="42"/>
      <c r="AC221" s="42"/>
      <c r="AD221" s="42"/>
      <c r="AE221" s="31"/>
      <c r="AF221" s="31"/>
      <c r="AG221" s="43"/>
      <c r="AH221" s="31"/>
      <c r="AI221" s="44"/>
      <c r="AJ221" s="44"/>
    </row>
    <row r="222" spans="1:36">
      <c r="A222" s="18"/>
      <c r="B222" s="45"/>
      <c r="C222" s="31"/>
      <c r="D222" s="19"/>
      <c r="E222" s="31"/>
      <c r="F222" s="74"/>
      <c r="G222" s="57"/>
      <c r="H222" s="31"/>
      <c r="I222" s="31"/>
      <c r="J222" s="31"/>
      <c r="K222" s="31"/>
      <c r="L222" s="22"/>
      <c r="M222" s="29"/>
      <c r="N222" s="31"/>
      <c r="O222" s="31"/>
      <c r="P222" s="31"/>
      <c r="Q222" s="31"/>
      <c r="R222" s="31"/>
      <c r="S222" s="31"/>
      <c r="T222" s="31"/>
      <c r="U222" s="31"/>
      <c r="V222" s="31"/>
      <c r="W222" s="31"/>
      <c r="X222" s="31"/>
      <c r="Y222" s="31"/>
      <c r="Z222" s="31"/>
      <c r="AA222" s="31"/>
      <c r="AB222" s="42"/>
      <c r="AC222" s="42"/>
      <c r="AD222" s="42"/>
      <c r="AE222" s="31"/>
      <c r="AF222" s="31"/>
      <c r="AG222" s="43"/>
      <c r="AH222" s="31"/>
      <c r="AI222" s="44"/>
      <c r="AJ222" s="44"/>
    </row>
    <row r="223" spans="1:36">
      <c r="A223" s="18"/>
      <c r="B223" s="45"/>
      <c r="C223" s="31"/>
      <c r="D223" s="19"/>
      <c r="E223" s="31"/>
      <c r="F223" s="74"/>
      <c r="G223" s="57"/>
      <c r="H223" s="31"/>
      <c r="I223" s="31"/>
      <c r="J223" s="31"/>
      <c r="K223" s="31"/>
      <c r="L223" s="22"/>
      <c r="M223" s="29"/>
      <c r="N223" s="31"/>
      <c r="O223" s="31"/>
      <c r="P223" s="31"/>
      <c r="Q223" s="31"/>
      <c r="R223" s="31"/>
      <c r="S223" s="31"/>
      <c r="T223" s="31"/>
      <c r="U223" s="31"/>
      <c r="V223" s="31"/>
      <c r="W223" s="31"/>
      <c r="X223" s="31"/>
      <c r="Y223" s="31"/>
      <c r="Z223" s="31"/>
      <c r="AA223" s="31"/>
      <c r="AB223" s="42"/>
      <c r="AC223" s="42"/>
      <c r="AD223" s="42"/>
      <c r="AE223" s="31"/>
      <c r="AF223" s="31"/>
      <c r="AG223" s="43"/>
      <c r="AH223" s="31"/>
      <c r="AI223" s="44"/>
      <c r="AJ223" s="44"/>
    </row>
    <row r="224" spans="1:36">
      <c r="A224" s="18"/>
      <c r="B224" s="45"/>
      <c r="C224" s="31"/>
      <c r="D224" s="19"/>
      <c r="E224" s="31"/>
      <c r="F224" s="74"/>
      <c r="G224" s="57"/>
      <c r="H224" s="31"/>
      <c r="I224" s="31"/>
      <c r="J224" s="31"/>
      <c r="K224" s="31"/>
      <c r="L224" s="22"/>
      <c r="M224" s="29"/>
      <c r="N224" s="31"/>
      <c r="O224" s="31"/>
      <c r="P224" s="31"/>
      <c r="Q224" s="31"/>
      <c r="R224" s="31"/>
      <c r="S224" s="31"/>
      <c r="T224" s="31"/>
      <c r="U224" s="31"/>
      <c r="V224" s="31"/>
      <c r="W224" s="31"/>
      <c r="X224" s="31"/>
      <c r="Y224" s="31"/>
      <c r="Z224" s="31"/>
      <c r="AA224" s="31"/>
      <c r="AB224" s="42"/>
      <c r="AC224" s="42"/>
      <c r="AD224" s="42"/>
      <c r="AE224" s="31"/>
      <c r="AF224" s="31"/>
      <c r="AG224" s="43"/>
      <c r="AH224" s="31"/>
      <c r="AI224" s="44"/>
      <c r="AJ224" s="44"/>
    </row>
    <row r="225" spans="1:36">
      <c r="A225" s="18"/>
      <c r="B225" s="45"/>
      <c r="C225" s="31"/>
      <c r="D225" s="19"/>
      <c r="E225" s="31"/>
      <c r="F225" s="74"/>
      <c r="G225" s="57"/>
      <c r="H225" s="31"/>
      <c r="I225" s="31"/>
      <c r="J225" s="31"/>
      <c r="K225" s="31"/>
      <c r="L225" s="22"/>
      <c r="M225" s="29"/>
      <c r="N225" s="31"/>
      <c r="O225" s="31"/>
      <c r="P225" s="31"/>
      <c r="Q225" s="31"/>
      <c r="R225" s="31"/>
      <c r="S225" s="31"/>
      <c r="T225" s="31"/>
      <c r="U225" s="31"/>
      <c r="V225" s="31"/>
      <c r="W225" s="31"/>
      <c r="X225" s="31"/>
      <c r="Y225" s="31"/>
      <c r="Z225" s="31"/>
      <c r="AA225" s="31"/>
      <c r="AB225" s="42"/>
      <c r="AC225" s="42"/>
      <c r="AD225" s="42"/>
      <c r="AE225" s="31"/>
      <c r="AF225" s="31"/>
      <c r="AG225" s="43"/>
      <c r="AH225" s="31"/>
      <c r="AI225" s="44"/>
      <c r="AJ225" s="44"/>
    </row>
    <row r="226" spans="1:36">
      <c r="A226" s="18"/>
      <c r="B226" s="45"/>
      <c r="C226" s="31"/>
      <c r="D226" s="19"/>
      <c r="E226" s="31"/>
      <c r="F226" s="74"/>
      <c r="G226" s="57"/>
      <c r="H226" s="31"/>
      <c r="I226" s="31"/>
      <c r="J226" s="31"/>
      <c r="K226" s="31"/>
      <c r="L226" s="22"/>
      <c r="M226" s="29"/>
      <c r="N226" s="31"/>
      <c r="O226" s="31"/>
      <c r="P226" s="31"/>
      <c r="Q226" s="31"/>
      <c r="R226" s="31"/>
      <c r="S226" s="31"/>
      <c r="T226" s="31"/>
      <c r="U226" s="31"/>
      <c r="V226" s="31"/>
      <c r="W226" s="31"/>
      <c r="X226" s="31"/>
      <c r="Y226" s="31"/>
      <c r="Z226" s="31"/>
      <c r="AA226" s="31"/>
      <c r="AB226" s="42"/>
      <c r="AC226" s="42"/>
      <c r="AD226" s="42"/>
      <c r="AE226" s="31"/>
      <c r="AF226" s="31"/>
      <c r="AG226" s="43"/>
      <c r="AH226" s="31"/>
      <c r="AI226" s="44"/>
      <c r="AJ226" s="44"/>
    </row>
    <row r="227" spans="1:36">
      <c r="A227" s="18"/>
      <c r="B227" s="45"/>
      <c r="C227" s="31"/>
      <c r="D227" s="19"/>
      <c r="E227" s="31"/>
      <c r="F227" s="74"/>
      <c r="G227" s="57"/>
      <c r="H227" s="31"/>
      <c r="I227" s="31"/>
      <c r="J227" s="31"/>
      <c r="K227" s="31"/>
      <c r="L227" s="22"/>
      <c r="M227" s="29"/>
      <c r="N227" s="31"/>
      <c r="O227" s="31"/>
      <c r="P227" s="31"/>
      <c r="Q227" s="31"/>
      <c r="R227" s="31"/>
      <c r="S227" s="31"/>
      <c r="T227" s="31"/>
      <c r="U227" s="31"/>
      <c r="V227" s="31"/>
      <c r="W227" s="31"/>
      <c r="X227" s="31"/>
      <c r="Y227" s="31"/>
      <c r="Z227" s="31"/>
      <c r="AA227" s="31"/>
      <c r="AB227" s="42"/>
      <c r="AC227" s="42"/>
      <c r="AD227" s="42"/>
      <c r="AE227" s="31"/>
      <c r="AF227" s="31"/>
      <c r="AG227" s="43"/>
      <c r="AH227" s="31"/>
      <c r="AI227" s="44"/>
      <c r="AJ227" s="44"/>
    </row>
    <row r="228" spans="1:36">
      <c r="A228" s="18"/>
      <c r="B228" s="45"/>
      <c r="C228" s="31"/>
      <c r="D228" s="19"/>
      <c r="E228" s="31"/>
      <c r="F228" s="74"/>
      <c r="G228" s="57"/>
      <c r="H228" s="31"/>
      <c r="I228" s="31"/>
      <c r="J228" s="31"/>
      <c r="K228" s="31"/>
      <c r="L228" s="22"/>
      <c r="M228" s="29"/>
      <c r="N228" s="31"/>
      <c r="O228" s="31"/>
      <c r="P228" s="31"/>
      <c r="Q228" s="31"/>
      <c r="R228" s="31"/>
      <c r="S228" s="31"/>
      <c r="T228" s="31"/>
      <c r="U228" s="31"/>
      <c r="V228" s="31"/>
      <c r="W228" s="31"/>
      <c r="X228" s="31"/>
      <c r="Y228" s="31"/>
      <c r="Z228" s="31"/>
      <c r="AA228" s="31"/>
      <c r="AB228" s="42"/>
      <c r="AC228" s="42"/>
      <c r="AD228" s="42"/>
      <c r="AE228" s="31"/>
      <c r="AF228" s="31"/>
      <c r="AG228" s="43"/>
      <c r="AH228" s="31"/>
      <c r="AI228" s="44"/>
      <c r="AJ228" s="44"/>
    </row>
    <row r="229" spans="1:36">
      <c r="A229" s="18"/>
      <c r="B229" s="45"/>
      <c r="C229" s="31"/>
      <c r="D229" s="19"/>
      <c r="E229" s="31"/>
      <c r="F229" s="74"/>
      <c r="G229" s="57"/>
      <c r="H229" s="31"/>
      <c r="I229" s="31"/>
      <c r="J229" s="31"/>
      <c r="K229" s="31"/>
      <c r="L229" s="22"/>
      <c r="M229" s="29"/>
      <c r="N229" s="31"/>
      <c r="O229" s="31"/>
      <c r="P229" s="31"/>
      <c r="Q229" s="31"/>
      <c r="R229" s="31"/>
      <c r="S229" s="31"/>
      <c r="T229" s="31"/>
      <c r="U229" s="31"/>
      <c r="V229" s="31"/>
      <c r="W229" s="31"/>
      <c r="X229" s="31"/>
      <c r="Y229" s="31"/>
      <c r="Z229" s="31"/>
      <c r="AA229" s="31"/>
      <c r="AB229" s="42"/>
      <c r="AC229" s="42"/>
      <c r="AD229" s="42"/>
      <c r="AE229" s="31"/>
      <c r="AF229" s="31"/>
      <c r="AG229" s="43"/>
      <c r="AH229" s="31"/>
      <c r="AI229" s="44"/>
      <c r="AJ229" s="44"/>
    </row>
    <row r="230" spans="1:36">
      <c r="A230" s="18"/>
      <c r="B230" s="45"/>
      <c r="C230" s="31"/>
      <c r="D230" s="19"/>
      <c r="E230" s="31"/>
      <c r="F230" s="74"/>
      <c r="G230" s="57"/>
      <c r="H230" s="31"/>
      <c r="I230" s="31"/>
      <c r="J230" s="31"/>
      <c r="K230" s="31"/>
      <c r="L230" s="22"/>
      <c r="M230" s="29"/>
      <c r="N230" s="31"/>
      <c r="O230" s="31"/>
      <c r="P230" s="31"/>
      <c r="Q230" s="31"/>
      <c r="R230" s="31"/>
      <c r="S230" s="31"/>
      <c r="T230" s="31"/>
      <c r="U230" s="31"/>
      <c r="V230" s="31"/>
      <c r="W230" s="31"/>
      <c r="X230" s="31"/>
      <c r="Y230" s="31"/>
      <c r="Z230" s="31"/>
      <c r="AA230" s="31"/>
      <c r="AB230" s="42"/>
      <c r="AC230" s="42"/>
      <c r="AD230" s="42"/>
      <c r="AE230" s="31"/>
      <c r="AF230" s="31"/>
      <c r="AG230" s="43"/>
      <c r="AH230" s="31"/>
      <c r="AI230" s="44"/>
      <c r="AJ230" s="44"/>
    </row>
    <row r="231" spans="1:36">
      <c r="A231" s="18"/>
      <c r="B231" s="45"/>
      <c r="C231" s="31"/>
      <c r="D231" s="19"/>
      <c r="E231" s="31"/>
      <c r="F231" s="74"/>
      <c r="G231" s="57"/>
      <c r="H231" s="31"/>
      <c r="I231" s="31"/>
      <c r="J231" s="31"/>
      <c r="K231" s="31"/>
      <c r="L231" s="22"/>
      <c r="M231" s="29"/>
      <c r="N231" s="31"/>
      <c r="O231" s="31"/>
      <c r="P231" s="31"/>
      <c r="Q231" s="31"/>
      <c r="R231" s="31"/>
      <c r="S231" s="31"/>
      <c r="T231" s="31"/>
      <c r="U231" s="31"/>
      <c r="V231" s="31"/>
      <c r="W231" s="31"/>
      <c r="X231" s="31"/>
      <c r="Y231" s="31"/>
      <c r="Z231" s="31"/>
      <c r="AA231" s="31"/>
      <c r="AB231" s="42"/>
      <c r="AC231" s="42"/>
      <c r="AD231" s="42"/>
      <c r="AE231" s="31"/>
      <c r="AF231" s="31"/>
      <c r="AG231" s="43"/>
      <c r="AH231" s="31"/>
      <c r="AI231" s="44"/>
      <c r="AJ231" s="44"/>
    </row>
    <row r="232" spans="1:36">
      <c r="A232" s="18"/>
      <c r="B232" s="45"/>
      <c r="C232" s="31"/>
      <c r="D232" s="19"/>
      <c r="E232" s="31"/>
      <c r="F232" s="74"/>
      <c r="G232" s="57"/>
      <c r="H232" s="31"/>
      <c r="I232" s="31"/>
      <c r="J232" s="31"/>
      <c r="K232" s="31"/>
      <c r="L232" s="22"/>
      <c r="M232" s="29"/>
      <c r="N232" s="31"/>
      <c r="O232" s="31"/>
      <c r="P232" s="31"/>
      <c r="Q232" s="31"/>
      <c r="R232" s="31"/>
      <c r="S232" s="31"/>
      <c r="T232" s="31"/>
      <c r="U232" s="31"/>
      <c r="V232" s="31"/>
      <c r="W232" s="31"/>
      <c r="X232" s="31"/>
      <c r="Y232" s="31"/>
      <c r="Z232" s="31"/>
      <c r="AA232" s="31"/>
      <c r="AB232" s="42"/>
      <c r="AC232" s="42"/>
      <c r="AD232" s="42"/>
      <c r="AE232" s="31"/>
      <c r="AF232" s="31"/>
      <c r="AG232" s="43"/>
      <c r="AH232" s="31"/>
      <c r="AI232" s="44"/>
      <c r="AJ232" s="44"/>
    </row>
    <row r="233" spans="1:36">
      <c r="A233" s="18"/>
      <c r="B233" s="45"/>
      <c r="C233" s="31"/>
      <c r="D233" s="19"/>
      <c r="E233" s="31"/>
      <c r="F233" s="74"/>
      <c r="G233" s="57"/>
      <c r="H233" s="31"/>
      <c r="I233" s="31"/>
      <c r="J233" s="31"/>
      <c r="K233" s="31"/>
      <c r="L233" s="22"/>
      <c r="M233" s="29"/>
      <c r="N233" s="31"/>
      <c r="O233" s="31"/>
      <c r="P233" s="31"/>
      <c r="Q233" s="31"/>
      <c r="R233" s="31"/>
      <c r="S233" s="31"/>
      <c r="T233" s="31"/>
      <c r="U233" s="31"/>
      <c r="V233" s="31"/>
      <c r="W233" s="31"/>
      <c r="X233" s="31"/>
      <c r="Y233" s="31"/>
      <c r="Z233" s="31"/>
      <c r="AA233" s="31"/>
      <c r="AB233" s="42"/>
      <c r="AC233" s="42"/>
      <c r="AD233" s="42"/>
      <c r="AE233" s="31"/>
      <c r="AF233" s="31"/>
      <c r="AG233" s="43"/>
      <c r="AH233" s="31"/>
      <c r="AI233" s="44"/>
      <c r="AJ233" s="44"/>
    </row>
    <row r="234" spans="1:36">
      <c r="A234" s="18"/>
      <c r="B234" s="45"/>
      <c r="C234" s="31"/>
      <c r="D234" s="19"/>
      <c r="E234" s="31"/>
      <c r="F234" s="74"/>
      <c r="G234" s="57"/>
      <c r="H234" s="31"/>
      <c r="I234" s="31"/>
      <c r="J234" s="31"/>
      <c r="K234" s="31"/>
      <c r="L234" s="22"/>
      <c r="M234" s="29"/>
      <c r="N234" s="31"/>
      <c r="O234" s="31"/>
      <c r="P234" s="31"/>
      <c r="Q234" s="31"/>
      <c r="R234" s="31"/>
      <c r="S234" s="31"/>
      <c r="T234" s="31"/>
      <c r="U234" s="31"/>
      <c r="V234" s="31"/>
      <c r="W234" s="31"/>
      <c r="X234" s="31"/>
      <c r="Y234" s="31"/>
      <c r="Z234" s="31"/>
      <c r="AA234" s="31"/>
      <c r="AB234" s="42"/>
      <c r="AC234" s="42"/>
      <c r="AD234" s="42"/>
      <c r="AE234" s="31"/>
      <c r="AF234" s="31"/>
      <c r="AG234" s="43"/>
      <c r="AH234" s="31"/>
      <c r="AI234" s="44"/>
      <c r="AJ234" s="44"/>
    </row>
    <row r="235" spans="1:36">
      <c r="A235" s="18"/>
      <c r="B235" s="45"/>
      <c r="C235" s="31"/>
      <c r="D235" s="19"/>
      <c r="E235" s="31"/>
      <c r="F235" s="74"/>
      <c r="G235" s="57"/>
      <c r="H235" s="31"/>
      <c r="I235" s="31"/>
      <c r="J235" s="31"/>
      <c r="K235" s="31"/>
      <c r="L235" s="22"/>
      <c r="M235" s="29"/>
      <c r="N235" s="31"/>
      <c r="O235" s="31"/>
      <c r="P235" s="31"/>
      <c r="Q235" s="31"/>
      <c r="R235" s="31"/>
      <c r="S235" s="31"/>
      <c r="T235" s="31"/>
      <c r="U235" s="31"/>
      <c r="V235" s="31"/>
      <c r="W235" s="31"/>
      <c r="X235" s="31"/>
      <c r="Y235" s="31"/>
      <c r="Z235" s="31"/>
      <c r="AA235" s="31"/>
      <c r="AB235" s="42"/>
      <c r="AC235" s="42"/>
      <c r="AD235" s="42"/>
      <c r="AE235" s="31"/>
      <c r="AF235" s="31"/>
      <c r="AG235" s="43"/>
      <c r="AH235" s="31"/>
      <c r="AI235" s="44"/>
      <c r="AJ235" s="44"/>
    </row>
    <row r="236" spans="1:36">
      <c r="A236" s="18"/>
      <c r="B236" s="45"/>
      <c r="C236" s="31"/>
      <c r="D236" s="19"/>
      <c r="E236" s="31"/>
      <c r="F236" s="74"/>
      <c r="G236" s="57"/>
      <c r="H236" s="31"/>
      <c r="I236" s="31"/>
      <c r="J236" s="31"/>
      <c r="K236" s="31"/>
      <c r="L236" s="22"/>
      <c r="M236" s="29"/>
      <c r="N236" s="31"/>
      <c r="O236" s="31"/>
      <c r="P236" s="31"/>
      <c r="Q236" s="31"/>
      <c r="R236" s="31"/>
      <c r="S236" s="31"/>
      <c r="T236" s="31"/>
      <c r="U236" s="31"/>
      <c r="V236" s="31"/>
      <c r="W236" s="31"/>
      <c r="X236" s="31"/>
      <c r="Y236" s="31"/>
      <c r="Z236" s="31"/>
      <c r="AA236" s="31"/>
      <c r="AB236" s="42"/>
      <c r="AC236" s="42"/>
      <c r="AD236" s="42"/>
      <c r="AE236" s="31"/>
      <c r="AF236" s="31"/>
      <c r="AG236" s="43"/>
      <c r="AH236" s="31"/>
      <c r="AI236" s="44"/>
      <c r="AJ236" s="44"/>
    </row>
    <row r="237" spans="1:36">
      <c r="A237" s="18"/>
      <c r="B237" s="45"/>
      <c r="C237" s="31"/>
      <c r="D237" s="19"/>
      <c r="E237" s="31"/>
      <c r="F237" s="74"/>
      <c r="G237" s="57"/>
      <c r="H237" s="31"/>
      <c r="I237" s="31"/>
      <c r="J237" s="31"/>
      <c r="K237" s="31"/>
      <c r="L237" s="22"/>
      <c r="M237" s="29"/>
      <c r="N237" s="31"/>
      <c r="O237" s="31"/>
      <c r="P237" s="31"/>
      <c r="Q237" s="31"/>
      <c r="R237" s="31"/>
      <c r="S237" s="31"/>
      <c r="T237" s="31"/>
      <c r="U237" s="31"/>
      <c r="V237" s="31"/>
      <c r="W237" s="31"/>
      <c r="X237" s="31"/>
      <c r="Y237" s="31"/>
      <c r="Z237" s="31"/>
      <c r="AA237" s="31"/>
      <c r="AB237" s="42"/>
      <c r="AC237" s="42"/>
      <c r="AD237" s="42"/>
      <c r="AE237" s="31"/>
      <c r="AF237" s="31"/>
      <c r="AG237" s="43"/>
      <c r="AH237" s="31"/>
      <c r="AI237" s="44"/>
      <c r="AJ237" s="44"/>
    </row>
    <row r="238" spans="1:36">
      <c r="A238" s="18"/>
      <c r="B238" s="45"/>
      <c r="C238" s="31"/>
      <c r="D238" s="19"/>
      <c r="E238" s="31"/>
      <c r="F238" s="74"/>
      <c r="G238" s="57"/>
      <c r="H238" s="31"/>
      <c r="I238" s="31"/>
      <c r="J238" s="31"/>
      <c r="K238" s="31"/>
      <c r="L238" s="22"/>
      <c r="M238" s="29"/>
      <c r="N238" s="31"/>
      <c r="O238" s="31"/>
      <c r="P238" s="31"/>
      <c r="Q238" s="31"/>
      <c r="R238" s="31"/>
      <c r="S238" s="31"/>
      <c r="T238" s="31"/>
      <c r="U238" s="31"/>
      <c r="V238" s="31"/>
      <c r="W238" s="31"/>
      <c r="X238" s="31"/>
      <c r="Y238" s="31"/>
      <c r="Z238" s="31"/>
      <c r="AA238" s="31"/>
      <c r="AB238" s="42"/>
      <c r="AC238" s="42"/>
      <c r="AD238" s="42"/>
      <c r="AE238" s="31"/>
      <c r="AF238" s="31"/>
      <c r="AG238" s="43"/>
      <c r="AH238" s="31"/>
      <c r="AI238" s="44"/>
      <c r="AJ238" s="44"/>
    </row>
    <row r="239" spans="1:36">
      <c r="A239" s="18"/>
      <c r="B239" s="45"/>
      <c r="C239" s="31"/>
      <c r="D239" s="19"/>
      <c r="E239" s="31"/>
      <c r="F239" s="74"/>
      <c r="G239" s="57"/>
      <c r="H239" s="31"/>
      <c r="I239" s="31"/>
      <c r="J239" s="31"/>
      <c r="K239" s="31"/>
      <c r="L239" s="22"/>
      <c r="M239" s="29"/>
      <c r="N239" s="31"/>
      <c r="O239" s="31"/>
      <c r="P239" s="31"/>
      <c r="Q239" s="31"/>
      <c r="R239" s="31"/>
      <c r="S239" s="31"/>
      <c r="T239" s="31"/>
      <c r="U239" s="31"/>
      <c r="V239" s="31"/>
      <c r="W239" s="31"/>
      <c r="X239" s="31"/>
      <c r="Y239" s="31"/>
      <c r="Z239" s="31"/>
      <c r="AA239" s="31"/>
      <c r="AB239" s="42"/>
      <c r="AC239" s="42"/>
      <c r="AD239" s="42"/>
      <c r="AE239" s="31"/>
      <c r="AF239" s="31"/>
      <c r="AG239" s="43"/>
      <c r="AH239" s="31"/>
      <c r="AI239" s="44"/>
      <c r="AJ239" s="44"/>
    </row>
    <row r="240" spans="1:36">
      <c r="A240" s="18"/>
      <c r="B240" s="45"/>
      <c r="C240" s="31"/>
      <c r="D240" s="19"/>
      <c r="E240" s="31"/>
      <c r="F240" s="74"/>
      <c r="G240" s="57"/>
      <c r="H240" s="31"/>
      <c r="I240" s="31"/>
      <c r="J240" s="31"/>
      <c r="K240" s="31"/>
      <c r="L240" s="22"/>
      <c r="M240" s="29"/>
      <c r="N240" s="31"/>
      <c r="O240" s="31"/>
      <c r="P240" s="31"/>
      <c r="Q240" s="31"/>
      <c r="R240" s="31"/>
      <c r="S240" s="31"/>
      <c r="T240" s="31"/>
      <c r="U240" s="31"/>
      <c r="V240" s="31"/>
      <c r="W240" s="31"/>
      <c r="X240" s="31"/>
      <c r="Y240" s="31"/>
      <c r="Z240" s="31"/>
      <c r="AA240" s="31"/>
      <c r="AB240" s="42"/>
      <c r="AC240" s="42"/>
      <c r="AD240" s="42"/>
      <c r="AE240" s="31"/>
      <c r="AF240" s="31"/>
      <c r="AG240" s="43"/>
      <c r="AH240" s="31"/>
      <c r="AI240" s="44"/>
      <c r="AJ240" s="44"/>
    </row>
    <row r="241" spans="1:36">
      <c r="A241" s="18"/>
      <c r="B241" s="45"/>
      <c r="C241" s="31"/>
      <c r="D241" s="19"/>
      <c r="E241" s="31"/>
      <c r="F241" s="74"/>
      <c r="G241" s="57"/>
      <c r="H241" s="31"/>
      <c r="I241" s="31"/>
      <c r="J241" s="31"/>
      <c r="K241" s="31"/>
      <c r="L241" s="22"/>
      <c r="M241" s="29"/>
      <c r="N241" s="31"/>
      <c r="O241" s="31"/>
      <c r="P241" s="31"/>
      <c r="Q241" s="31"/>
      <c r="R241" s="31"/>
      <c r="S241" s="31"/>
      <c r="T241" s="31"/>
      <c r="U241" s="31"/>
      <c r="V241" s="31"/>
      <c r="W241" s="31"/>
      <c r="X241" s="31"/>
      <c r="Y241" s="31"/>
      <c r="Z241" s="31"/>
      <c r="AA241" s="31"/>
      <c r="AB241" s="42"/>
      <c r="AC241" s="42"/>
      <c r="AD241" s="42"/>
      <c r="AE241" s="31"/>
      <c r="AF241" s="31"/>
      <c r="AG241" s="43"/>
      <c r="AH241" s="31"/>
      <c r="AI241" s="44"/>
      <c r="AJ241" s="44"/>
    </row>
    <row r="242" spans="1:36">
      <c r="A242" s="18"/>
      <c r="B242" s="45"/>
      <c r="C242" s="31"/>
      <c r="D242" s="19"/>
      <c r="E242" s="31"/>
      <c r="F242" s="74"/>
      <c r="G242" s="57"/>
      <c r="H242" s="31"/>
      <c r="I242" s="31"/>
      <c r="J242" s="31"/>
      <c r="K242" s="31"/>
      <c r="L242" s="22"/>
      <c r="M242" s="29"/>
      <c r="N242" s="31"/>
      <c r="O242" s="31"/>
      <c r="P242" s="31"/>
      <c r="Q242" s="31"/>
      <c r="R242" s="31"/>
      <c r="S242" s="31"/>
      <c r="T242" s="31"/>
      <c r="U242" s="31"/>
      <c r="V242" s="31"/>
      <c r="W242" s="31"/>
      <c r="X242" s="31"/>
      <c r="Y242" s="31"/>
      <c r="Z242" s="31"/>
      <c r="AA242" s="31"/>
      <c r="AB242" s="42"/>
      <c r="AC242" s="42"/>
      <c r="AD242" s="42"/>
      <c r="AE242" s="31"/>
      <c r="AF242" s="31"/>
      <c r="AG242" s="43"/>
      <c r="AH242" s="31"/>
      <c r="AI242" s="44"/>
      <c r="AJ242" s="44"/>
    </row>
    <row r="243" spans="1:36">
      <c r="A243" s="18"/>
      <c r="B243" s="45"/>
      <c r="C243" s="31"/>
      <c r="D243" s="19"/>
      <c r="E243" s="31"/>
      <c r="F243" s="74"/>
      <c r="G243" s="57"/>
      <c r="H243" s="31"/>
      <c r="I243" s="31"/>
      <c r="J243" s="31"/>
      <c r="K243" s="31"/>
      <c r="L243" s="22"/>
      <c r="M243" s="29"/>
      <c r="N243" s="31"/>
      <c r="O243" s="31"/>
      <c r="P243" s="31"/>
      <c r="Q243" s="31"/>
      <c r="R243" s="31"/>
      <c r="S243" s="31"/>
      <c r="T243" s="31"/>
      <c r="U243" s="31"/>
      <c r="V243" s="31"/>
      <c r="W243" s="31"/>
      <c r="X243" s="31"/>
      <c r="Y243" s="31"/>
      <c r="Z243" s="31"/>
      <c r="AA243" s="31"/>
      <c r="AB243" s="42"/>
      <c r="AC243" s="42"/>
      <c r="AD243" s="42"/>
      <c r="AE243" s="31"/>
      <c r="AF243" s="31"/>
      <c r="AG243" s="43"/>
      <c r="AH243" s="31"/>
      <c r="AI243" s="44"/>
      <c r="AJ243" s="44"/>
    </row>
    <row r="244" spans="1:36">
      <c r="A244" s="18"/>
      <c r="B244" s="45"/>
      <c r="C244" s="31"/>
      <c r="D244" s="19"/>
      <c r="E244" s="31"/>
      <c r="F244" s="74"/>
      <c r="G244" s="57"/>
      <c r="H244" s="31"/>
      <c r="I244" s="31"/>
      <c r="J244" s="31"/>
      <c r="K244" s="31"/>
      <c r="L244" s="22"/>
      <c r="M244" s="29"/>
      <c r="N244" s="31"/>
      <c r="O244" s="31"/>
      <c r="P244" s="31"/>
      <c r="Q244" s="31"/>
      <c r="R244" s="31"/>
      <c r="S244" s="31"/>
      <c r="T244" s="31"/>
      <c r="U244" s="31"/>
      <c r="V244" s="31"/>
      <c r="W244" s="31"/>
      <c r="X244" s="31"/>
      <c r="Y244" s="31"/>
      <c r="Z244" s="31"/>
      <c r="AA244" s="31"/>
      <c r="AB244" s="42"/>
      <c r="AC244" s="42"/>
      <c r="AD244" s="42"/>
      <c r="AE244" s="31"/>
      <c r="AF244" s="31"/>
      <c r="AG244" s="43"/>
      <c r="AH244" s="31"/>
      <c r="AI244" s="44"/>
      <c r="AJ244" s="44"/>
    </row>
    <row r="245" spans="1:36">
      <c r="A245" s="18"/>
      <c r="B245" s="45"/>
      <c r="C245" s="31"/>
      <c r="D245" s="19"/>
      <c r="E245" s="31"/>
      <c r="F245" s="74"/>
      <c r="G245" s="57"/>
      <c r="H245" s="31"/>
      <c r="I245" s="31"/>
      <c r="J245" s="31"/>
      <c r="K245" s="31"/>
      <c r="L245" s="22"/>
      <c r="M245" s="29"/>
      <c r="N245" s="31"/>
      <c r="O245" s="31"/>
      <c r="P245" s="31"/>
      <c r="Q245" s="31"/>
      <c r="R245" s="31"/>
      <c r="S245" s="31"/>
      <c r="T245" s="31"/>
      <c r="U245" s="31"/>
      <c r="V245" s="31"/>
      <c r="W245" s="31"/>
      <c r="X245" s="31"/>
      <c r="Y245" s="31"/>
      <c r="Z245" s="31"/>
      <c r="AA245" s="31"/>
      <c r="AB245" s="42"/>
      <c r="AC245" s="42"/>
      <c r="AD245" s="42"/>
      <c r="AE245" s="31"/>
      <c r="AF245" s="31"/>
      <c r="AG245" s="43"/>
      <c r="AH245" s="31"/>
      <c r="AI245" s="44"/>
      <c r="AJ245" s="44"/>
    </row>
    <row r="246" spans="1:36" ht="60">
      <c r="A246" s="18" t="s">
        <v>2019</v>
      </c>
      <c r="B246" s="45" t="s">
        <v>2020</v>
      </c>
      <c r="C246" s="31" t="s">
        <v>239</v>
      </c>
      <c r="D246" s="19" t="s">
        <v>1172</v>
      </c>
      <c r="E246" s="31" t="s">
        <v>1166</v>
      </c>
      <c r="F246" s="79" t="s">
        <v>2021</v>
      </c>
      <c r="G246" s="57"/>
      <c r="H246" s="31" t="s">
        <v>2026</v>
      </c>
      <c r="I246" s="31" t="s">
        <v>1670</v>
      </c>
      <c r="J246" s="31"/>
      <c r="K246" s="31"/>
      <c r="L246" s="22"/>
      <c r="M246" s="29"/>
      <c r="N246" s="31"/>
      <c r="O246" s="31"/>
      <c r="P246" s="31"/>
      <c r="Q246" s="31"/>
      <c r="R246" s="88" t="s">
        <v>2027</v>
      </c>
      <c r="S246" s="31" t="s">
        <v>2023</v>
      </c>
      <c r="T246" s="96" t="s">
        <v>2024</v>
      </c>
      <c r="U246" s="31" t="s">
        <v>2025</v>
      </c>
      <c r="V246" s="31"/>
      <c r="W246" s="31"/>
      <c r="X246" s="31"/>
      <c r="Y246" s="31"/>
      <c r="Z246" s="31"/>
      <c r="AA246" s="31"/>
      <c r="AB246" s="42"/>
      <c r="AC246" s="42"/>
      <c r="AD246" s="42"/>
      <c r="AE246" s="31"/>
      <c r="AF246" s="31"/>
      <c r="AG246" s="43"/>
      <c r="AH246" s="31"/>
      <c r="AI246" s="97" t="s">
        <v>2022</v>
      </c>
      <c r="AJ246" s="44"/>
    </row>
    <row r="247" spans="1:36">
      <c r="A247" s="18"/>
      <c r="B247" s="45"/>
      <c r="C247" s="31"/>
      <c r="D247" s="19"/>
      <c r="E247" s="31"/>
      <c r="F247" s="74"/>
      <c r="G247" s="57"/>
      <c r="H247" s="31"/>
      <c r="I247" s="31"/>
      <c r="J247" s="31"/>
      <c r="K247" s="31"/>
      <c r="L247" s="22"/>
      <c r="M247" s="29"/>
      <c r="N247" s="31"/>
      <c r="O247" s="31"/>
      <c r="P247" s="31"/>
      <c r="Q247" s="31"/>
      <c r="R247" s="31"/>
      <c r="S247" s="31"/>
      <c r="T247" s="31"/>
      <c r="U247" s="31"/>
      <c r="V247" s="31"/>
      <c r="W247" s="31"/>
      <c r="X247" s="31"/>
      <c r="Y247" s="31"/>
      <c r="Z247" s="31"/>
      <c r="AA247" s="31"/>
      <c r="AB247" s="42"/>
      <c r="AC247" s="42"/>
      <c r="AD247" s="42"/>
      <c r="AE247" s="31"/>
      <c r="AF247" s="31"/>
      <c r="AG247" s="43"/>
      <c r="AH247" s="31"/>
      <c r="AI247" s="44"/>
      <c r="AJ247" s="44"/>
    </row>
    <row r="248" spans="1:36">
      <c r="A248" s="18"/>
      <c r="B248" s="45"/>
      <c r="C248" s="31"/>
      <c r="D248" s="19"/>
      <c r="E248" s="31"/>
      <c r="F248" s="74"/>
      <c r="G248" s="57"/>
      <c r="H248" s="31"/>
      <c r="I248" s="31"/>
      <c r="J248" s="31"/>
      <c r="K248" s="31"/>
      <c r="L248" s="22"/>
      <c r="M248" s="29"/>
      <c r="N248" s="31"/>
      <c r="O248" s="31"/>
      <c r="P248" s="31"/>
      <c r="Q248" s="31"/>
      <c r="R248" s="31"/>
      <c r="S248" s="31"/>
      <c r="T248" s="31"/>
      <c r="U248" s="31"/>
      <c r="V248" s="31"/>
      <c r="W248" s="31"/>
      <c r="X248" s="31"/>
      <c r="Y248" s="31"/>
      <c r="Z248" s="31"/>
      <c r="AA248" s="31"/>
      <c r="AB248" s="42"/>
      <c r="AC248" s="42"/>
      <c r="AD248" s="42"/>
      <c r="AE248" s="31"/>
      <c r="AF248" s="31"/>
      <c r="AG248" s="43"/>
      <c r="AH248" s="31"/>
      <c r="AI248" s="44"/>
      <c r="AJ248" s="44"/>
    </row>
    <row r="249" spans="1:36">
      <c r="A249" s="18"/>
      <c r="B249" s="45"/>
      <c r="C249" s="31"/>
      <c r="D249" s="19"/>
      <c r="E249" s="31"/>
      <c r="F249" s="74"/>
      <c r="G249" s="57"/>
      <c r="H249" s="31"/>
      <c r="I249" s="31"/>
      <c r="J249" s="31"/>
      <c r="K249" s="31"/>
      <c r="L249" s="22"/>
      <c r="M249" s="29"/>
      <c r="N249" s="31"/>
      <c r="O249" s="31"/>
      <c r="P249" s="31"/>
      <c r="Q249" s="31"/>
      <c r="R249" s="31"/>
      <c r="S249" s="31"/>
      <c r="T249" s="31"/>
      <c r="U249" s="31"/>
      <c r="V249" s="31"/>
      <c r="W249" s="31"/>
      <c r="X249" s="31"/>
      <c r="Y249" s="31"/>
      <c r="Z249" s="31"/>
      <c r="AA249" s="31"/>
      <c r="AB249" s="42"/>
      <c r="AC249" s="42"/>
      <c r="AD249" s="42"/>
      <c r="AE249" s="31"/>
      <c r="AF249" s="31"/>
      <c r="AG249" s="43"/>
      <c r="AH249" s="31"/>
      <c r="AI249" s="44"/>
      <c r="AJ249" s="44"/>
    </row>
    <row r="250" spans="1:36">
      <c r="A250" s="18"/>
      <c r="B250" s="45"/>
      <c r="C250" s="31"/>
      <c r="D250" s="19"/>
      <c r="E250" s="31"/>
      <c r="F250" s="74"/>
      <c r="G250" s="57"/>
      <c r="H250" s="31"/>
      <c r="I250" s="31"/>
      <c r="J250" s="31"/>
      <c r="K250" s="31"/>
      <c r="L250" s="22"/>
      <c r="M250" s="29"/>
      <c r="N250" s="31"/>
      <c r="O250" s="31"/>
      <c r="P250" s="31"/>
      <c r="Q250" s="31"/>
      <c r="R250" s="31"/>
      <c r="S250" s="31"/>
      <c r="T250" s="31"/>
      <c r="U250" s="31"/>
      <c r="V250" s="31"/>
      <c r="W250" s="31"/>
      <c r="X250" s="31"/>
      <c r="Y250" s="31"/>
      <c r="Z250" s="31"/>
      <c r="AA250" s="31"/>
      <c r="AB250" s="42"/>
      <c r="AC250" s="42"/>
      <c r="AD250" s="42"/>
      <c r="AE250" s="31"/>
      <c r="AF250" s="31"/>
      <c r="AG250" s="43"/>
      <c r="AH250" s="31"/>
      <c r="AI250" s="44"/>
      <c r="AJ250" s="44"/>
    </row>
    <row r="251" spans="1:36">
      <c r="A251" s="18"/>
      <c r="B251" s="45"/>
      <c r="C251" s="31"/>
      <c r="D251" s="19"/>
      <c r="E251" s="31"/>
      <c r="F251" s="74"/>
      <c r="G251" s="57"/>
      <c r="H251" s="31"/>
      <c r="I251" s="31"/>
      <c r="J251" s="31"/>
      <c r="K251" s="31"/>
      <c r="L251" s="22"/>
      <c r="M251" s="29"/>
      <c r="N251" s="31"/>
      <c r="O251" s="31"/>
      <c r="P251" s="31"/>
      <c r="Q251" s="31"/>
      <c r="R251" s="31"/>
      <c r="S251" s="31"/>
      <c r="T251" s="31"/>
      <c r="U251" s="31"/>
      <c r="V251" s="31"/>
      <c r="W251" s="31"/>
      <c r="X251" s="31"/>
      <c r="Y251" s="31"/>
      <c r="Z251" s="31"/>
      <c r="AA251" s="31"/>
      <c r="AB251" s="42"/>
      <c r="AC251" s="42"/>
      <c r="AD251" s="42"/>
      <c r="AE251" s="31"/>
      <c r="AF251" s="31"/>
      <c r="AG251" s="43"/>
      <c r="AH251" s="31"/>
      <c r="AI251" s="44"/>
      <c r="AJ251" s="44"/>
    </row>
    <row r="252" spans="1:36">
      <c r="A252" s="18"/>
      <c r="B252" s="45"/>
      <c r="C252" s="31"/>
      <c r="D252" s="19"/>
      <c r="E252" s="31"/>
      <c r="F252" s="74"/>
      <c r="G252" s="57"/>
      <c r="H252" s="31"/>
      <c r="I252" s="31"/>
      <c r="J252" s="31"/>
      <c r="K252" s="31"/>
      <c r="L252" s="22"/>
      <c r="M252" s="29"/>
      <c r="N252" s="31"/>
      <c r="O252" s="31"/>
      <c r="P252" s="31"/>
      <c r="Q252" s="31"/>
      <c r="R252" s="31"/>
      <c r="S252" s="31"/>
      <c r="T252" s="31"/>
      <c r="U252" s="31"/>
      <c r="V252" s="31"/>
      <c r="W252" s="31"/>
      <c r="X252" s="31"/>
      <c r="Y252" s="31"/>
      <c r="Z252" s="31"/>
      <c r="AA252" s="31"/>
      <c r="AB252" s="42"/>
      <c r="AC252" s="42"/>
      <c r="AD252" s="42"/>
      <c r="AE252" s="31"/>
      <c r="AF252" s="31"/>
      <c r="AG252" s="43"/>
      <c r="AH252" s="31"/>
      <c r="AI252" s="44"/>
      <c r="AJ252" s="44"/>
    </row>
    <row r="253" spans="1:36">
      <c r="A253" s="18"/>
      <c r="B253" s="45"/>
      <c r="C253" s="31"/>
      <c r="D253" s="19"/>
      <c r="E253" s="31"/>
      <c r="F253" s="74"/>
      <c r="G253" s="57"/>
      <c r="H253" s="31"/>
      <c r="I253" s="31"/>
      <c r="J253" s="31"/>
      <c r="K253" s="31"/>
      <c r="L253" s="22"/>
      <c r="M253" s="29"/>
      <c r="N253" s="31"/>
      <c r="O253" s="31"/>
      <c r="P253" s="31"/>
      <c r="Q253" s="31"/>
      <c r="R253" s="31"/>
      <c r="S253" s="31"/>
      <c r="T253" s="31"/>
      <c r="U253" s="31"/>
      <c r="V253" s="31"/>
      <c r="W253" s="31"/>
      <c r="X253" s="31"/>
      <c r="Y253" s="31"/>
      <c r="Z253" s="31"/>
      <c r="AA253" s="31"/>
      <c r="AB253" s="42"/>
      <c r="AC253" s="42"/>
      <c r="AD253" s="42"/>
      <c r="AE253" s="31"/>
      <c r="AF253" s="31"/>
      <c r="AG253" s="43"/>
      <c r="AH253" s="31"/>
      <c r="AI253" s="44"/>
      <c r="AJ253" s="44"/>
    </row>
    <row r="254" spans="1:36">
      <c r="A254" s="18"/>
      <c r="B254" s="45"/>
      <c r="C254" s="31"/>
      <c r="D254" s="19"/>
      <c r="E254" s="31"/>
      <c r="F254" s="74"/>
      <c r="G254" s="57"/>
      <c r="H254" s="31"/>
      <c r="I254" s="31"/>
      <c r="J254" s="31"/>
      <c r="K254" s="31"/>
      <c r="L254" s="22"/>
      <c r="M254" s="29"/>
      <c r="N254" s="31"/>
      <c r="O254" s="31"/>
      <c r="P254" s="31"/>
      <c r="Q254" s="31"/>
      <c r="R254" s="31"/>
      <c r="S254" s="31"/>
      <c r="T254" s="31"/>
      <c r="U254" s="31"/>
      <c r="V254" s="31"/>
      <c r="W254" s="31"/>
      <c r="X254" s="31"/>
      <c r="Y254" s="31"/>
      <c r="Z254" s="31"/>
      <c r="AA254" s="31"/>
      <c r="AB254" s="42"/>
      <c r="AC254" s="42"/>
      <c r="AD254" s="42"/>
      <c r="AE254" s="31"/>
      <c r="AF254" s="31"/>
      <c r="AG254" s="43"/>
      <c r="AH254" s="31"/>
      <c r="AI254" s="44"/>
      <c r="AJ254" s="44"/>
    </row>
    <row r="255" spans="1:36">
      <c r="A255" s="18"/>
      <c r="B255" s="45"/>
      <c r="C255" s="31"/>
      <c r="D255" s="19"/>
      <c r="E255" s="31"/>
      <c r="F255" s="74"/>
      <c r="G255" s="57"/>
      <c r="H255" s="31"/>
      <c r="I255" s="31"/>
      <c r="J255" s="31"/>
      <c r="K255" s="31"/>
      <c r="L255" s="22"/>
      <c r="M255" s="29"/>
      <c r="N255" s="31"/>
      <c r="O255" s="31"/>
      <c r="P255" s="31"/>
      <c r="Q255" s="31"/>
      <c r="R255" s="31"/>
      <c r="S255" s="31"/>
      <c r="T255" s="31"/>
      <c r="U255" s="31"/>
      <c r="V255" s="31"/>
      <c r="W255" s="31"/>
      <c r="X255" s="31"/>
      <c r="Y255" s="31"/>
      <c r="Z255" s="31"/>
      <c r="AA255" s="31"/>
      <c r="AB255" s="42"/>
      <c r="AC255" s="42"/>
      <c r="AD255" s="42"/>
      <c r="AE255" s="31"/>
      <c r="AF255" s="31"/>
      <c r="AG255" s="43"/>
      <c r="AH255" s="31"/>
      <c r="AI255" s="44"/>
      <c r="AJ255" s="44"/>
    </row>
    <row r="256" spans="1:36">
      <c r="A256" s="18"/>
      <c r="B256" s="45"/>
      <c r="C256" s="31"/>
      <c r="D256" s="19"/>
      <c r="E256" s="31"/>
      <c r="F256" s="74"/>
      <c r="G256" s="57"/>
      <c r="H256" s="31"/>
      <c r="I256" s="31"/>
      <c r="J256" s="31"/>
      <c r="K256" s="31"/>
      <c r="L256" s="22"/>
      <c r="M256" s="29"/>
      <c r="N256" s="31"/>
      <c r="O256" s="31"/>
      <c r="P256" s="31"/>
      <c r="Q256" s="31"/>
      <c r="R256" s="31"/>
      <c r="S256" s="31"/>
      <c r="T256" s="31"/>
      <c r="U256" s="31"/>
      <c r="V256" s="31"/>
      <c r="W256" s="31"/>
      <c r="X256" s="31"/>
      <c r="Y256" s="31"/>
      <c r="Z256" s="31"/>
      <c r="AA256" s="31"/>
      <c r="AB256" s="42"/>
      <c r="AC256" s="42"/>
      <c r="AD256" s="42"/>
      <c r="AE256" s="31"/>
      <c r="AF256" s="31"/>
      <c r="AG256" s="43"/>
      <c r="AH256" s="31"/>
      <c r="AI256" s="44"/>
      <c r="AJ256" s="44"/>
    </row>
    <row r="257" spans="1:36">
      <c r="A257" s="18"/>
      <c r="B257" s="45"/>
      <c r="C257" s="31"/>
      <c r="D257" s="19"/>
      <c r="E257" s="31"/>
      <c r="F257" s="74"/>
      <c r="G257" s="57"/>
      <c r="H257" s="31"/>
      <c r="I257" s="31"/>
      <c r="J257" s="31"/>
      <c r="K257" s="31"/>
      <c r="L257" s="22"/>
      <c r="M257" s="29"/>
      <c r="N257" s="31"/>
      <c r="O257" s="31"/>
      <c r="P257" s="31"/>
      <c r="Q257" s="31"/>
      <c r="R257" s="31"/>
      <c r="S257" s="31"/>
      <c r="T257" s="31"/>
      <c r="U257" s="31"/>
      <c r="V257" s="31"/>
      <c r="W257" s="31"/>
      <c r="X257" s="31"/>
      <c r="Y257" s="31"/>
      <c r="Z257" s="31"/>
      <c r="AA257" s="31"/>
      <c r="AB257" s="42"/>
      <c r="AC257" s="42"/>
      <c r="AD257" s="42"/>
      <c r="AE257" s="31"/>
      <c r="AF257" s="31"/>
      <c r="AG257" s="43"/>
      <c r="AH257" s="31"/>
      <c r="AI257" s="44"/>
      <c r="AJ257" s="44"/>
    </row>
    <row r="258" spans="1:36">
      <c r="A258" s="18"/>
      <c r="B258" s="45"/>
      <c r="C258" s="31"/>
      <c r="D258" s="19"/>
      <c r="E258" s="31"/>
      <c r="F258" s="74"/>
      <c r="G258" s="57"/>
      <c r="H258" s="31"/>
      <c r="I258" s="31"/>
      <c r="J258" s="31"/>
      <c r="K258" s="31"/>
      <c r="L258" s="22"/>
      <c r="M258" s="29"/>
      <c r="N258" s="31"/>
      <c r="O258" s="31"/>
      <c r="P258" s="31"/>
      <c r="Q258" s="31"/>
      <c r="R258" s="31"/>
      <c r="S258" s="31"/>
      <c r="T258" s="31"/>
      <c r="U258" s="31"/>
      <c r="V258" s="31"/>
      <c r="W258" s="31"/>
      <c r="X258" s="31"/>
      <c r="Y258" s="31"/>
      <c r="Z258" s="31"/>
      <c r="AA258" s="31"/>
      <c r="AB258" s="42"/>
      <c r="AC258" s="42"/>
      <c r="AD258" s="42"/>
      <c r="AE258" s="31"/>
      <c r="AF258" s="31"/>
      <c r="AG258" s="43"/>
      <c r="AH258" s="31"/>
      <c r="AI258" s="44"/>
      <c r="AJ258" s="44"/>
    </row>
    <row r="259" spans="1:36">
      <c r="A259" s="18"/>
      <c r="B259" s="45"/>
      <c r="C259" s="31"/>
      <c r="D259" s="19"/>
      <c r="E259" s="31"/>
      <c r="F259" s="74"/>
      <c r="G259" s="57"/>
      <c r="H259" s="31"/>
      <c r="I259" s="31"/>
      <c r="J259" s="31"/>
      <c r="K259" s="31"/>
      <c r="L259" s="22"/>
      <c r="M259" s="29"/>
      <c r="N259" s="31"/>
      <c r="O259" s="31"/>
      <c r="P259" s="31"/>
      <c r="Q259" s="31"/>
      <c r="R259" s="31"/>
      <c r="S259" s="31"/>
      <c r="T259" s="31"/>
      <c r="U259" s="31"/>
      <c r="V259" s="31"/>
      <c r="W259" s="31"/>
      <c r="X259" s="31"/>
      <c r="Y259" s="31"/>
      <c r="Z259" s="31"/>
      <c r="AA259" s="31"/>
      <c r="AB259" s="42"/>
      <c r="AC259" s="42"/>
      <c r="AD259" s="42"/>
      <c r="AE259" s="31"/>
      <c r="AF259" s="31"/>
      <c r="AG259" s="43"/>
      <c r="AH259" s="31"/>
      <c r="AI259" s="44"/>
      <c r="AJ259" s="44"/>
    </row>
    <row r="260" spans="1:36">
      <c r="A260" s="18"/>
      <c r="B260" s="45"/>
      <c r="C260" s="31"/>
      <c r="D260" s="19"/>
      <c r="E260" s="31"/>
      <c r="F260" s="74"/>
      <c r="G260" s="57"/>
      <c r="H260" s="31"/>
      <c r="I260" s="31"/>
      <c r="J260" s="31"/>
      <c r="K260" s="31"/>
      <c r="L260" s="22"/>
      <c r="M260" s="29"/>
      <c r="N260" s="31"/>
      <c r="O260" s="31"/>
      <c r="P260" s="31"/>
      <c r="Q260" s="31"/>
      <c r="R260" s="31"/>
      <c r="S260" s="31"/>
      <c r="T260" s="31"/>
      <c r="U260" s="31"/>
      <c r="V260" s="31"/>
      <c r="W260" s="31"/>
      <c r="X260" s="31"/>
      <c r="Y260" s="31"/>
      <c r="Z260" s="31"/>
      <c r="AA260" s="31"/>
      <c r="AB260" s="42"/>
      <c r="AC260" s="42"/>
      <c r="AD260" s="42"/>
      <c r="AE260" s="31"/>
      <c r="AF260" s="31"/>
      <c r="AG260" s="43"/>
      <c r="AH260" s="31"/>
      <c r="AI260" s="44"/>
      <c r="AJ260" s="44"/>
    </row>
    <row r="261" spans="1:36">
      <c r="A261" s="18"/>
      <c r="B261" s="45"/>
      <c r="C261" s="31"/>
      <c r="D261" s="19"/>
      <c r="E261" s="31"/>
      <c r="F261" s="74"/>
      <c r="G261" s="57"/>
      <c r="H261" s="31"/>
      <c r="I261" s="31"/>
      <c r="J261" s="31"/>
      <c r="K261" s="31"/>
      <c r="L261" s="22"/>
      <c r="M261" s="29"/>
      <c r="N261" s="31"/>
      <c r="O261" s="31"/>
      <c r="P261" s="31"/>
      <c r="Q261" s="31"/>
      <c r="R261" s="31"/>
      <c r="S261" s="31"/>
      <c r="T261" s="31"/>
      <c r="U261" s="31"/>
      <c r="V261" s="31"/>
      <c r="W261" s="31"/>
      <c r="X261" s="31"/>
      <c r="Y261" s="31"/>
      <c r="Z261" s="31"/>
      <c r="AA261" s="31"/>
      <c r="AB261" s="42"/>
      <c r="AC261" s="42"/>
      <c r="AD261" s="42"/>
      <c r="AE261" s="31"/>
      <c r="AF261" s="31"/>
      <c r="AG261" s="43"/>
      <c r="AH261" s="31"/>
      <c r="AI261" s="44"/>
      <c r="AJ261" s="44"/>
    </row>
    <row r="262" spans="1:36">
      <c r="A262" s="18"/>
      <c r="B262" s="45"/>
      <c r="C262" s="31"/>
      <c r="D262" s="19"/>
      <c r="E262" s="31"/>
      <c r="F262" s="74"/>
      <c r="G262" s="57"/>
      <c r="H262" s="31"/>
      <c r="I262" s="31"/>
      <c r="J262" s="31"/>
      <c r="K262" s="31"/>
      <c r="L262" s="22"/>
      <c r="M262" s="29"/>
      <c r="N262" s="31"/>
      <c r="O262" s="31"/>
      <c r="P262" s="31"/>
      <c r="Q262" s="31"/>
      <c r="R262" s="31"/>
      <c r="S262" s="31"/>
      <c r="T262" s="31"/>
      <c r="U262" s="31"/>
      <c r="V262" s="31"/>
      <c r="W262" s="31"/>
      <c r="X262" s="31"/>
      <c r="Y262" s="31"/>
      <c r="Z262" s="31"/>
      <c r="AA262" s="31"/>
      <c r="AB262" s="42"/>
      <c r="AC262" s="42"/>
      <c r="AD262" s="42"/>
      <c r="AE262" s="31"/>
      <c r="AF262" s="31"/>
      <c r="AG262" s="43"/>
      <c r="AH262" s="31"/>
      <c r="AI262" s="44"/>
      <c r="AJ262" s="44"/>
    </row>
    <row r="263" spans="1:36">
      <c r="A263" s="18"/>
      <c r="B263" s="45"/>
      <c r="C263" s="31"/>
      <c r="D263" s="19"/>
      <c r="E263" s="31"/>
      <c r="F263" s="74"/>
      <c r="G263" s="57"/>
      <c r="H263" s="31"/>
      <c r="I263" s="31"/>
      <c r="J263" s="31"/>
      <c r="K263" s="31"/>
      <c r="L263" s="22"/>
      <c r="M263" s="29"/>
      <c r="N263" s="31"/>
      <c r="O263" s="31"/>
      <c r="P263" s="31"/>
      <c r="Q263" s="31"/>
      <c r="R263" s="31"/>
      <c r="S263" s="31"/>
      <c r="T263" s="31"/>
      <c r="U263" s="31"/>
      <c r="V263" s="31"/>
      <c r="W263" s="31"/>
      <c r="X263" s="31"/>
      <c r="Y263" s="31"/>
      <c r="Z263" s="31"/>
      <c r="AA263" s="31"/>
      <c r="AB263" s="42"/>
      <c r="AC263" s="42"/>
      <c r="AD263" s="42"/>
      <c r="AE263" s="31"/>
      <c r="AF263" s="31"/>
      <c r="AG263" s="43"/>
      <c r="AH263" s="31"/>
      <c r="AI263" s="44"/>
      <c r="AJ263" s="44"/>
    </row>
    <row r="264" spans="1:36">
      <c r="A264" s="18"/>
      <c r="B264" s="45"/>
      <c r="C264" s="31"/>
      <c r="D264" s="19"/>
      <c r="E264" s="31"/>
      <c r="F264" s="74"/>
      <c r="G264" s="57"/>
      <c r="H264" s="31"/>
      <c r="I264" s="31"/>
      <c r="J264" s="31"/>
      <c r="K264" s="31"/>
      <c r="L264" s="22"/>
      <c r="M264" s="29"/>
      <c r="N264" s="31"/>
      <c r="O264" s="31"/>
      <c r="P264" s="31"/>
      <c r="Q264" s="31"/>
      <c r="R264" s="31"/>
      <c r="S264" s="31"/>
      <c r="T264" s="31"/>
      <c r="U264" s="31"/>
      <c r="V264" s="31"/>
      <c r="W264" s="31"/>
      <c r="X264" s="31"/>
      <c r="Y264" s="31"/>
      <c r="Z264" s="31"/>
      <c r="AA264" s="31"/>
      <c r="AB264" s="42"/>
      <c r="AC264" s="42"/>
      <c r="AD264" s="42"/>
      <c r="AE264" s="31"/>
      <c r="AF264" s="31"/>
      <c r="AG264" s="43"/>
      <c r="AH264" s="31"/>
      <c r="AI264" s="44"/>
      <c r="AJ264" s="44"/>
    </row>
    <row r="265" spans="1:36">
      <c r="A265" s="18"/>
      <c r="B265" s="45"/>
      <c r="C265" s="31"/>
      <c r="D265" s="19"/>
      <c r="E265" s="31"/>
      <c r="F265" s="74"/>
      <c r="G265" s="57"/>
      <c r="H265" s="31"/>
      <c r="I265" s="31"/>
      <c r="J265" s="31"/>
      <c r="K265" s="31"/>
      <c r="L265" s="22"/>
      <c r="M265" s="29"/>
      <c r="N265" s="31"/>
      <c r="O265" s="31"/>
      <c r="P265" s="31"/>
      <c r="Q265" s="31"/>
      <c r="R265" s="31"/>
      <c r="S265" s="31"/>
      <c r="T265" s="31"/>
      <c r="U265" s="31"/>
      <c r="V265" s="31"/>
      <c r="W265" s="31"/>
      <c r="X265" s="31"/>
      <c r="Y265" s="31"/>
      <c r="Z265" s="31"/>
      <c r="AA265" s="31"/>
      <c r="AB265" s="42"/>
      <c r="AC265" s="42"/>
      <c r="AD265" s="42"/>
      <c r="AE265" s="31"/>
      <c r="AF265" s="31"/>
      <c r="AG265" s="43"/>
      <c r="AH265" s="31"/>
      <c r="AI265" s="44"/>
      <c r="AJ265" s="44"/>
    </row>
    <row r="266" spans="1:36">
      <c r="A266" s="18"/>
      <c r="B266" s="45"/>
      <c r="C266" s="31"/>
      <c r="D266" s="19"/>
      <c r="E266" s="31"/>
      <c r="F266" s="74"/>
      <c r="G266" s="57"/>
      <c r="H266" s="31"/>
      <c r="I266" s="31"/>
      <c r="J266" s="31"/>
      <c r="K266" s="31"/>
      <c r="L266" s="22"/>
      <c r="M266" s="29"/>
      <c r="N266" s="31"/>
      <c r="O266" s="31"/>
      <c r="P266" s="31"/>
      <c r="Q266" s="31"/>
      <c r="R266" s="31"/>
      <c r="S266" s="31"/>
      <c r="T266" s="31"/>
      <c r="U266" s="31"/>
      <c r="V266" s="31"/>
      <c r="W266" s="31"/>
      <c r="X266" s="31"/>
      <c r="Y266" s="31"/>
      <c r="Z266" s="31"/>
      <c r="AA266" s="31"/>
      <c r="AB266" s="42"/>
      <c r="AC266" s="42"/>
      <c r="AD266" s="42"/>
      <c r="AE266" s="31"/>
      <c r="AF266" s="31"/>
      <c r="AG266" s="43"/>
      <c r="AH266" s="31"/>
      <c r="AI266" s="44"/>
      <c r="AJ266" s="44"/>
    </row>
    <row r="267" spans="1:36">
      <c r="A267" s="18"/>
      <c r="B267" s="45"/>
      <c r="C267" s="31"/>
      <c r="D267" s="19"/>
      <c r="E267" s="31"/>
      <c r="F267" s="74"/>
      <c r="G267" s="57"/>
      <c r="H267" s="31"/>
      <c r="I267" s="31"/>
      <c r="J267" s="31"/>
      <c r="K267" s="31"/>
      <c r="L267" s="22"/>
      <c r="M267" s="29"/>
      <c r="N267" s="31"/>
      <c r="O267" s="31"/>
      <c r="P267" s="31"/>
      <c r="Q267" s="31"/>
      <c r="R267" s="31"/>
      <c r="S267" s="31"/>
      <c r="T267" s="31"/>
      <c r="U267" s="31"/>
      <c r="V267" s="31"/>
      <c r="W267" s="31"/>
      <c r="X267" s="31"/>
      <c r="Y267" s="31"/>
      <c r="Z267" s="31"/>
      <c r="AA267" s="31"/>
      <c r="AB267" s="42"/>
      <c r="AC267" s="42"/>
      <c r="AD267" s="42"/>
      <c r="AE267" s="31"/>
      <c r="AF267" s="31"/>
      <c r="AG267" s="43"/>
      <c r="AH267" s="31"/>
      <c r="AI267" s="44"/>
      <c r="AJ267" s="44"/>
    </row>
    <row r="268" spans="1:36">
      <c r="A268" s="18"/>
      <c r="B268" s="45"/>
      <c r="C268" s="31"/>
      <c r="D268" s="19"/>
      <c r="E268" s="31"/>
      <c r="F268" s="74"/>
      <c r="G268" s="57"/>
      <c r="H268" s="31"/>
      <c r="I268" s="31"/>
      <c r="J268" s="31"/>
      <c r="K268" s="31"/>
      <c r="L268" s="22"/>
      <c r="M268" s="29"/>
      <c r="N268" s="31"/>
      <c r="O268" s="31"/>
      <c r="P268" s="31"/>
      <c r="Q268" s="31"/>
      <c r="R268" s="31"/>
      <c r="S268" s="31"/>
      <c r="T268" s="31"/>
      <c r="U268" s="31"/>
      <c r="V268" s="31"/>
      <c r="W268" s="31"/>
      <c r="X268" s="31"/>
      <c r="Y268" s="31"/>
      <c r="Z268" s="31"/>
      <c r="AA268" s="31"/>
      <c r="AB268" s="42"/>
      <c r="AC268" s="42"/>
      <c r="AD268" s="42"/>
      <c r="AE268" s="31"/>
      <c r="AF268" s="31"/>
      <c r="AG268" s="43"/>
      <c r="AH268" s="31"/>
      <c r="AI268" s="44"/>
      <c r="AJ268" s="44"/>
    </row>
    <row r="269" spans="1:36">
      <c r="A269" s="18"/>
      <c r="B269" s="45"/>
      <c r="C269" s="31"/>
      <c r="D269" s="19"/>
      <c r="E269" s="31"/>
      <c r="F269" s="74"/>
      <c r="G269" s="57"/>
      <c r="H269" s="31"/>
      <c r="I269" s="31"/>
      <c r="J269" s="31"/>
      <c r="K269" s="31"/>
      <c r="L269" s="22"/>
      <c r="M269" s="29"/>
      <c r="N269" s="31"/>
      <c r="O269" s="31"/>
      <c r="P269" s="31"/>
      <c r="Q269" s="31"/>
      <c r="R269" s="31"/>
      <c r="S269" s="31"/>
      <c r="T269" s="31"/>
      <c r="U269" s="31"/>
      <c r="V269" s="31"/>
      <c r="W269" s="31"/>
      <c r="X269" s="31"/>
      <c r="Y269" s="31"/>
      <c r="Z269" s="31"/>
      <c r="AA269" s="31"/>
      <c r="AB269" s="42"/>
      <c r="AC269" s="42"/>
      <c r="AD269" s="42"/>
      <c r="AE269" s="31"/>
      <c r="AF269" s="31"/>
      <c r="AG269" s="43"/>
      <c r="AH269" s="31"/>
      <c r="AI269" s="44"/>
      <c r="AJ269" s="44"/>
    </row>
    <row r="270" spans="1:36">
      <c r="A270" s="18"/>
      <c r="B270" s="45"/>
      <c r="C270" s="31"/>
      <c r="D270" s="19"/>
      <c r="E270" s="31"/>
      <c r="F270" s="74"/>
      <c r="G270" s="57"/>
      <c r="H270" s="31"/>
      <c r="I270" s="31"/>
      <c r="J270" s="31"/>
      <c r="K270" s="31"/>
      <c r="L270" s="22"/>
      <c r="M270" s="29"/>
      <c r="N270" s="31"/>
      <c r="O270" s="31"/>
      <c r="P270" s="31"/>
      <c r="Q270" s="31"/>
      <c r="R270" s="31"/>
      <c r="S270" s="31"/>
      <c r="T270" s="31"/>
      <c r="U270" s="31"/>
      <c r="V270" s="31"/>
      <c r="W270" s="31"/>
      <c r="X270" s="31"/>
      <c r="Y270" s="31"/>
      <c r="Z270" s="31"/>
      <c r="AA270" s="31"/>
      <c r="AB270" s="42"/>
      <c r="AC270" s="42"/>
      <c r="AD270" s="42"/>
      <c r="AE270" s="31"/>
      <c r="AF270" s="31"/>
      <c r="AG270" s="43"/>
      <c r="AH270" s="31"/>
      <c r="AI270" s="44"/>
      <c r="AJ270" s="44"/>
    </row>
    <row r="271" spans="1:36">
      <c r="A271" s="18"/>
      <c r="B271" s="45"/>
      <c r="C271" s="31"/>
      <c r="D271" s="19"/>
      <c r="E271" s="31"/>
      <c r="F271" s="74"/>
      <c r="G271" s="57"/>
      <c r="H271" s="31"/>
      <c r="I271" s="31"/>
      <c r="J271" s="31"/>
      <c r="K271" s="31"/>
      <c r="L271" s="22"/>
      <c r="M271" s="29"/>
      <c r="N271" s="31"/>
      <c r="O271" s="31"/>
      <c r="P271" s="31"/>
      <c r="Q271" s="31"/>
      <c r="R271" s="31"/>
      <c r="S271" s="31"/>
      <c r="T271" s="31"/>
      <c r="U271" s="31"/>
      <c r="V271" s="31"/>
      <c r="W271" s="31"/>
      <c r="X271" s="31"/>
      <c r="Y271" s="31"/>
      <c r="Z271" s="31"/>
      <c r="AA271" s="31"/>
      <c r="AB271" s="42"/>
      <c r="AC271" s="42"/>
      <c r="AD271" s="42"/>
      <c r="AE271" s="31"/>
      <c r="AF271" s="31"/>
      <c r="AG271" s="43"/>
      <c r="AH271" s="31"/>
      <c r="AI271" s="44"/>
      <c r="AJ271" s="44"/>
    </row>
    <row r="272" spans="1:36">
      <c r="A272" s="18"/>
      <c r="B272" s="45"/>
      <c r="C272" s="31"/>
      <c r="D272" s="19"/>
      <c r="E272" s="31"/>
      <c r="F272" s="74"/>
      <c r="G272" s="57"/>
      <c r="H272" s="31"/>
      <c r="I272" s="31"/>
      <c r="J272" s="31"/>
      <c r="K272" s="31"/>
      <c r="L272" s="22"/>
      <c r="M272" s="29"/>
      <c r="N272" s="31"/>
      <c r="O272" s="31"/>
      <c r="P272" s="31"/>
      <c r="Q272" s="31"/>
      <c r="R272" s="31"/>
      <c r="S272" s="31"/>
      <c r="T272" s="31"/>
      <c r="U272" s="31"/>
      <c r="V272" s="31"/>
      <c r="W272" s="31"/>
      <c r="X272" s="31"/>
      <c r="Y272" s="31"/>
      <c r="Z272" s="31"/>
      <c r="AA272" s="31"/>
      <c r="AB272" s="42"/>
      <c r="AC272" s="42"/>
      <c r="AD272" s="42"/>
      <c r="AE272" s="31"/>
      <c r="AF272" s="31"/>
      <c r="AG272" s="43"/>
      <c r="AH272" s="31"/>
      <c r="AI272" s="44"/>
      <c r="AJ272" s="44"/>
    </row>
    <row r="273" spans="1:36">
      <c r="A273" s="18"/>
      <c r="B273" s="45"/>
      <c r="C273" s="31"/>
      <c r="D273" s="19"/>
      <c r="E273" s="31"/>
      <c r="F273" s="74"/>
      <c r="G273" s="57"/>
      <c r="H273" s="31"/>
      <c r="I273" s="31"/>
      <c r="J273" s="31"/>
      <c r="K273" s="31"/>
      <c r="L273" s="22"/>
      <c r="M273" s="29"/>
      <c r="N273" s="31"/>
      <c r="O273" s="31"/>
      <c r="P273" s="31"/>
      <c r="Q273" s="31"/>
      <c r="R273" s="31"/>
      <c r="S273" s="31"/>
      <c r="T273" s="31"/>
      <c r="U273" s="31"/>
      <c r="V273" s="31"/>
      <c r="W273" s="31"/>
      <c r="X273" s="31"/>
      <c r="Y273" s="31"/>
      <c r="Z273" s="31"/>
      <c r="AA273" s="31"/>
      <c r="AB273" s="42"/>
      <c r="AC273" s="42"/>
      <c r="AD273" s="42"/>
      <c r="AE273" s="31"/>
      <c r="AF273" s="31"/>
      <c r="AG273" s="43"/>
      <c r="AH273" s="31"/>
      <c r="AI273" s="44"/>
      <c r="AJ273" s="44"/>
    </row>
    <row r="274" spans="1:36">
      <c r="A274" s="18"/>
      <c r="B274" s="45"/>
      <c r="C274" s="31"/>
      <c r="D274" s="19"/>
      <c r="E274" s="31"/>
      <c r="F274" s="74"/>
      <c r="G274" s="57"/>
      <c r="H274" s="31"/>
      <c r="I274" s="31"/>
      <c r="J274" s="31"/>
      <c r="K274" s="31"/>
      <c r="L274" s="22"/>
      <c r="M274" s="29"/>
      <c r="N274" s="31"/>
      <c r="O274" s="31"/>
      <c r="P274" s="31"/>
      <c r="Q274" s="31"/>
      <c r="R274" s="31"/>
      <c r="S274" s="31"/>
      <c r="T274" s="31"/>
      <c r="U274" s="31"/>
      <c r="V274" s="31"/>
      <c r="W274" s="31"/>
      <c r="X274" s="31"/>
      <c r="Y274" s="31"/>
      <c r="Z274" s="31"/>
      <c r="AA274" s="31"/>
      <c r="AB274" s="42"/>
      <c r="AC274" s="42"/>
      <c r="AD274" s="42"/>
      <c r="AE274" s="31"/>
      <c r="AF274" s="31"/>
      <c r="AG274" s="43"/>
      <c r="AH274" s="31"/>
      <c r="AI274" s="44"/>
      <c r="AJ274" s="44"/>
    </row>
    <row r="275" spans="1:36">
      <c r="A275" s="18"/>
      <c r="B275" s="45"/>
      <c r="C275" s="31"/>
      <c r="D275" s="19"/>
      <c r="E275" s="31"/>
      <c r="F275" s="74"/>
      <c r="G275" s="57"/>
      <c r="H275" s="31"/>
      <c r="I275" s="31"/>
      <c r="J275" s="31"/>
      <c r="K275" s="31"/>
      <c r="L275" s="22"/>
      <c r="M275" s="29"/>
      <c r="N275" s="31"/>
      <c r="O275" s="31"/>
      <c r="P275" s="31"/>
      <c r="Q275" s="31"/>
      <c r="R275" s="31"/>
      <c r="S275" s="31"/>
      <c r="T275" s="31"/>
      <c r="U275" s="31"/>
      <c r="V275" s="31"/>
      <c r="W275" s="31"/>
      <c r="X275" s="31"/>
      <c r="Y275" s="31"/>
      <c r="Z275" s="31"/>
      <c r="AA275" s="31"/>
      <c r="AB275" s="42"/>
      <c r="AC275" s="42"/>
      <c r="AD275" s="42"/>
      <c r="AE275" s="31"/>
      <c r="AF275" s="31"/>
      <c r="AG275" s="43"/>
      <c r="AH275" s="31"/>
      <c r="AI275" s="44"/>
      <c r="AJ275" s="44"/>
    </row>
    <row r="276" spans="1:36">
      <c r="A276" s="18"/>
      <c r="B276" s="45"/>
      <c r="C276" s="31"/>
      <c r="D276" s="19"/>
      <c r="E276" s="31"/>
      <c r="F276" s="74"/>
      <c r="G276" s="57"/>
      <c r="H276" s="31"/>
      <c r="I276" s="31"/>
      <c r="J276" s="31"/>
      <c r="K276" s="31"/>
      <c r="L276" s="22"/>
      <c r="M276" s="29"/>
      <c r="N276" s="31"/>
      <c r="O276" s="31"/>
      <c r="P276" s="31"/>
      <c r="Q276" s="31"/>
      <c r="R276" s="31"/>
      <c r="S276" s="31"/>
      <c r="T276" s="31"/>
      <c r="U276" s="31"/>
      <c r="V276" s="31"/>
      <c r="W276" s="31"/>
      <c r="X276" s="31"/>
      <c r="Y276" s="31"/>
      <c r="Z276" s="31"/>
      <c r="AA276" s="31"/>
      <c r="AB276" s="42"/>
      <c r="AC276" s="42"/>
      <c r="AD276" s="42"/>
      <c r="AE276" s="31"/>
      <c r="AF276" s="31"/>
      <c r="AG276" s="43"/>
      <c r="AH276" s="31"/>
      <c r="AI276" s="44"/>
      <c r="AJ276" s="44"/>
    </row>
    <row r="277" spans="1:36">
      <c r="A277" s="18"/>
      <c r="B277" s="45"/>
      <c r="C277" s="31"/>
      <c r="D277" s="19"/>
      <c r="E277" s="31"/>
      <c r="F277" s="74"/>
      <c r="G277" s="57"/>
      <c r="H277" s="31"/>
      <c r="I277" s="31"/>
      <c r="J277" s="31"/>
      <c r="K277" s="31"/>
      <c r="L277" s="22"/>
      <c r="M277" s="29"/>
      <c r="N277" s="31"/>
      <c r="O277" s="31"/>
      <c r="P277" s="31"/>
      <c r="Q277" s="31"/>
      <c r="R277" s="31"/>
      <c r="S277" s="31"/>
      <c r="T277" s="31"/>
      <c r="U277" s="31"/>
      <c r="V277" s="31"/>
      <c r="W277" s="31"/>
      <c r="X277" s="31"/>
      <c r="Y277" s="31"/>
      <c r="Z277" s="31"/>
      <c r="AA277" s="31"/>
      <c r="AB277" s="42"/>
      <c r="AC277" s="42"/>
      <c r="AD277" s="42"/>
      <c r="AE277" s="31"/>
      <c r="AF277" s="31"/>
      <c r="AG277" s="43"/>
      <c r="AH277" s="31"/>
      <c r="AI277" s="44"/>
      <c r="AJ277" s="44"/>
    </row>
    <row r="278" spans="1:36">
      <c r="A278" s="18"/>
      <c r="B278" s="45"/>
      <c r="C278" s="31"/>
      <c r="D278" s="19"/>
      <c r="E278" s="31"/>
      <c r="F278" s="74"/>
      <c r="G278" s="57"/>
      <c r="H278" s="31"/>
      <c r="I278" s="31"/>
      <c r="J278" s="31"/>
      <c r="K278" s="31"/>
      <c r="L278" s="22"/>
      <c r="M278" s="29"/>
      <c r="N278" s="31"/>
      <c r="O278" s="31"/>
      <c r="P278" s="31"/>
      <c r="Q278" s="31"/>
      <c r="R278" s="31"/>
      <c r="S278" s="31"/>
      <c r="T278" s="31"/>
      <c r="U278" s="31"/>
      <c r="V278" s="31"/>
      <c r="W278" s="31"/>
      <c r="X278" s="31"/>
      <c r="Y278" s="31"/>
      <c r="Z278" s="31"/>
      <c r="AA278" s="31"/>
      <c r="AB278" s="42"/>
      <c r="AC278" s="42"/>
      <c r="AD278" s="42"/>
      <c r="AE278" s="31"/>
      <c r="AF278" s="31"/>
      <c r="AG278" s="43"/>
      <c r="AH278" s="31"/>
      <c r="AI278" s="44"/>
      <c r="AJ278" s="44"/>
    </row>
    <row r="279" spans="1:36">
      <c r="A279" s="18"/>
      <c r="B279" s="45"/>
      <c r="C279" s="31"/>
      <c r="D279" s="19"/>
      <c r="E279" s="31"/>
      <c r="F279" s="74"/>
      <c r="G279" s="57"/>
      <c r="H279" s="31"/>
      <c r="I279" s="31"/>
      <c r="J279" s="31"/>
      <c r="K279" s="31"/>
      <c r="L279" s="22"/>
      <c r="M279" s="29"/>
      <c r="N279" s="31"/>
      <c r="O279" s="31"/>
      <c r="P279" s="31"/>
      <c r="Q279" s="31"/>
      <c r="R279" s="31"/>
      <c r="S279" s="31"/>
      <c r="T279" s="31"/>
      <c r="U279" s="31"/>
      <c r="V279" s="31"/>
      <c r="W279" s="31"/>
      <c r="X279" s="31"/>
      <c r="Y279" s="31"/>
      <c r="Z279" s="31"/>
      <c r="AA279" s="31"/>
      <c r="AB279" s="42"/>
      <c r="AC279" s="42"/>
      <c r="AD279" s="42"/>
      <c r="AE279" s="31"/>
      <c r="AF279" s="31"/>
      <c r="AG279" s="43"/>
      <c r="AH279" s="31"/>
      <c r="AI279" s="44"/>
      <c r="AJ279" s="44"/>
    </row>
    <row r="280" spans="1:36">
      <c r="A280" s="18"/>
      <c r="B280" s="45"/>
      <c r="C280" s="31"/>
      <c r="D280" s="19"/>
      <c r="E280" s="31"/>
      <c r="F280" s="74"/>
      <c r="G280" s="57"/>
      <c r="H280" s="31"/>
      <c r="I280" s="31"/>
      <c r="J280" s="31"/>
      <c r="K280" s="31"/>
      <c r="L280" s="22"/>
      <c r="M280" s="29"/>
      <c r="N280" s="31"/>
      <c r="O280" s="31"/>
      <c r="P280" s="31"/>
      <c r="Q280" s="31"/>
      <c r="R280" s="31"/>
      <c r="S280" s="31"/>
      <c r="T280" s="31"/>
      <c r="U280" s="31"/>
      <c r="V280" s="31"/>
      <c r="W280" s="31"/>
      <c r="X280" s="31"/>
      <c r="Y280" s="31"/>
      <c r="Z280" s="31"/>
      <c r="AA280" s="31"/>
      <c r="AB280" s="42"/>
      <c r="AC280" s="42"/>
      <c r="AD280" s="42"/>
      <c r="AE280" s="31"/>
      <c r="AF280" s="31"/>
      <c r="AG280" s="43"/>
      <c r="AH280" s="31"/>
      <c r="AI280" s="44"/>
      <c r="AJ280" s="44"/>
    </row>
    <row r="281" spans="1:36">
      <c r="A281" s="18"/>
      <c r="B281" s="45"/>
      <c r="C281" s="31"/>
      <c r="D281" s="19"/>
      <c r="E281" s="31"/>
      <c r="F281" s="74"/>
      <c r="G281" s="57"/>
      <c r="H281" s="31"/>
      <c r="I281" s="31"/>
      <c r="J281" s="31"/>
      <c r="K281" s="31"/>
      <c r="L281" s="22"/>
      <c r="M281" s="29"/>
      <c r="N281" s="31"/>
      <c r="O281" s="31"/>
      <c r="P281" s="31"/>
      <c r="Q281" s="31"/>
      <c r="R281" s="31"/>
      <c r="S281" s="31"/>
      <c r="T281" s="31"/>
      <c r="U281" s="31"/>
      <c r="V281" s="31"/>
      <c r="W281" s="31"/>
      <c r="X281" s="31"/>
      <c r="Y281" s="31"/>
      <c r="Z281" s="31"/>
      <c r="AA281" s="31"/>
      <c r="AB281" s="42"/>
      <c r="AC281" s="42"/>
      <c r="AD281" s="42"/>
      <c r="AE281" s="31"/>
      <c r="AF281" s="31"/>
      <c r="AG281" s="43"/>
      <c r="AH281" s="31"/>
      <c r="AI281" s="44"/>
      <c r="AJ281" s="44"/>
    </row>
    <row r="282" spans="1:36">
      <c r="A282" s="18"/>
      <c r="B282" s="45"/>
      <c r="C282" s="31"/>
      <c r="D282" s="19"/>
      <c r="E282" s="31"/>
      <c r="F282" s="74"/>
      <c r="G282" s="57"/>
      <c r="H282" s="31"/>
      <c r="I282" s="31"/>
      <c r="J282" s="31"/>
      <c r="K282" s="31"/>
      <c r="L282" s="22"/>
      <c r="M282" s="29"/>
      <c r="N282" s="31"/>
      <c r="O282" s="31"/>
      <c r="P282" s="31"/>
      <c r="Q282" s="31"/>
      <c r="R282" s="31"/>
      <c r="S282" s="31"/>
      <c r="T282" s="31"/>
      <c r="U282" s="31"/>
      <c r="V282" s="31"/>
      <c r="W282" s="31"/>
      <c r="X282" s="31"/>
      <c r="Y282" s="31"/>
      <c r="Z282" s="31"/>
      <c r="AA282" s="31"/>
      <c r="AB282" s="42"/>
      <c r="AC282" s="42"/>
      <c r="AD282" s="42"/>
      <c r="AE282" s="31"/>
      <c r="AF282" s="31"/>
      <c r="AG282" s="43"/>
      <c r="AH282" s="31"/>
      <c r="AI282" s="44"/>
      <c r="AJ282" s="44"/>
    </row>
    <row r="283" spans="1:36">
      <c r="A283" s="18"/>
      <c r="B283" s="45"/>
      <c r="C283" s="31"/>
      <c r="D283" s="19"/>
      <c r="E283" s="31"/>
      <c r="F283" s="74"/>
      <c r="G283" s="46"/>
      <c r="H283" s="31"/>
      <c r="I283" s="31"/>
      <c r="J283" s="31"/>
      <c r="K283" s="31"/>
      <c r="L283" s="22"/>
      <c r="M283" s="29"/>
      <c r="N283" s="31"/>
      <c r="O283" s="31"/>
      <c r="P283" s="31"/>
      <c r="Q283" s="31"/>
      <c r="R283" s="31"/>
      <c r="S283" s="31"/>
      <c r="T283" s="31"/>
      <c r="U283" s="31"/>
      <c r="V283" s="31"/>
      <c r="W283" s="31"/>
      <c r="X283" s="31"/>
      <c r="Y283" s="31"/>
      <c r="Z283" s="31"/>
      <c r="AA283" s="31"/>
      <c r="AB283" s="42"/>
      <c r="AC283" s="42"/>
      <c r="AD283" s="42"/>
      <c r="AE283" s="31"/>
      <c r="AF283" s="31"/>
      <c r="AG283" s="43"/>
      <c r="AH283" s="31"/>
      <c r="AI283" s="44"/>
      <c r="AJ283" s="44"/>
    </row>
    <row r="284" spans="1:36">
      <c r="A284" s="18"/>
      <c r="B284" s="45"/>
      <c r="C284" s="31"/>
      <c r="D284" s="19"/>
      <c r="E284" s="31"/>
      <c r="F284" s="74"/>
      <c r="G284" s="46"/>
      <c r="H284" s="31"/>
      <c r="I284" s="31"/>
      <c r="J284" s="31"/>
      <c r="K284" s="31"/>
      <c r="L284" s="22"/>
      <c r="M284" s="29"/>
      <c r="N284" s="31"/>
      <c r="O284" s="31"/>
      <c r="P284" s="31"/>
      <c r="Q284" s="31"/>
      <c r="R284" s="31"/>
      <c r="S284" s="31"/>
      <c r="T284" s="31"/>
      <c r="U284" s="31"/>
      <c r="V284" s="31"/>
      <c r="W284" s="31"/>
      <c r="X284" s="31"/>
      <c r="Y284" s="31"/>
      <c r="Z284" s="31"/>
      <c r="AA284" s="31"/>
      <c r="AB284" s="42"/>
      <c r="AC284" s="42"/>
      <c r="AD284" s="42"/>
      <c r="AE284" s="31"/>
      <c r="AF284" s="31"/>
      <c r="AG284" s="43"/>
      <c r="AH284" s="31"/>
      <c r="AI284" s="44"/>
      <c r="AJ284" s="44"/>
    </row>
    <row r="285" spans="1:36">
      <c r="A285" s="18"/>
      <c r="B285" s="45"/>
      <c r="C285" s="31"/>
      <c r="D285" s="19"/>
      <c r="E285" s="31"/>
      <c r="F285" s="74"/>
      <c r="G285" s="46"/>
      <c r="H285" s="31"/>
      <c r="I285" s="31"/>
      <c r="J285" s="31"/>
      <c r="K285" s="31"/>
      <c r="L285" s="22"/>
      <c r="M285" s="29"/>
      <c r="N285" s="31"/>
      <c r="O285" s="31"/>
      <c r="P285" s="31"/>
      <c r="Q285" s="31"/>
      <c r="R285" s="31"/>
      <c r="S285" s="31"/>
      <c r="T285" s="31"/>
      <c r="U285" s="31"/>
      <c r="V285" s="31"/>
      <c r="W285" s="31"/>
      <c r="X285" s="31"/>
      <c r="Y285" s="31"/>
      <c r="Z285" s="31"/>
      <c r="AA285" s="31"/>
      <c r="AB285" s="42"/>
      <c r="AC285" s="42"/>
      <c r="AD285" s="42"/>
      <c r="AE285" s="31"/>
      <c r="AF285" s="31"/>
      <c r="AG285" s="43"/>
      <c r="AH285" s="31"/>
      <c r="AI285" s="44"/>
      <c r="AJ285" s="44"/>
    </row>
    <row r="286" spans="1:36">
      <c r="A286" s="18"/>
      <c r="B286" s="45"/>
      <c r="C286" s="31"/>
      <c r="D286" s="19"/>
      <c r="E286" s="31"/>
      <c r="F286" s="74"/>
      <c r="G286" s="46"/>
      <c r="H286" s="31"/>
      <c r="I286" s="31"/>
      <c r="J286" s="31"/>
      <c r="K286" s="31"/>
      <c r="L286" s="22"/>
      <c r="M286" s="29"/>
      <c r="N286" s="31"/>
      <c r="O286" s="31"/>
      <c r="P286" s="31"/>
      <c r="Q286" s="31"/>
      <c r="R286" s="31"/>
      <c r="S286" s="31"/>
      <c r="T286" s="31"/>
      <c r="U286" s="31"/>
      <c r="V286" s="31"/>
      <c r="W286" s="31"/>
      <c r="X286" s="31"/>
      <c r="Y286" s="31"/>
      <c r="Z286" s="31"/>
      <c r="AA286" s="31"/>
      <c r="AB286" s="42"/>
      <c r="AC286" s="42"/>
      <c r="AD286" s="42"/>
      <c r="AE286" s="31"/>
      <c r="AF286" s="31"/>
      <c r="AG286" s="43"/>
      <c r="AH286" s="31"/>
      <c r="AI286" s="44"/>
      <c r="AJ286" s="44"/>
    </row>
    <row r="287" spans="1:36">
      <c r="A287" s="18"/>
      <c r="B287" s="45"/>
      <c r="C287" s="31"/>
      <c r="D287" s="19"/>
      <c r="E287" s="31"/>
      <c r="F287" s="74"/>
      <c r="G287" s="46"/>
      <c r="H287" s="31"/>
      <c r="I287" s="31"/>
      <c r="J287" s="31"/>
      <c r="K287" s="31"/>
      <c r="L287" s="22"/>
      <c r="M287" s="29"/>
      <c r="N287" s="31"/>
      <c r="O287" s="31"/>
      <c r="P287" s="31"/>
      <c r="Q287" s="31"/>
      <c r="R287" s="31"/>
      <c r="S287" s="31"/>
      <c r="T287" s="31"/>
      <c r="U287" s="31"/>
      <c r="V287" s="31"/>
      <c r="W287" s="31"/>
      <c r="X287" s="31"/>
      <c r="Y287" s="31"/>
      <c r="Z287" s="31"/>
      <c r="AA287" s="31"/>
      <c r="AB287" s="42"/>
      <c r="AC287" s="42"/>
      <c r="AD287" s="42"/>
      <c r="AE287" s="31"/>
      <c r="AF287" s="31"/>
      <c r="AG287" s="43"/>
      <c r="AH287" s="31"/>
      <c r="AI287" s="44"/>
      <c r="AJ287" s="44"/>
    </row>
    <row r="288" spans="1:36">
      <c r="A288" s="18"/>
      <c r="B288" s="45"/>
      <c r="C288" s="31"/>
      <c r="D288" s="19"/>
      <c r="E288" s="31"/>
      <c r="F288" s="74"/>
      <c r="G288" s="46"/>
      <c r="H288" s="31"/>
      <c r="I288" s="31"/>
      <c r="J288" s="31"/>
      <c r="K288" s="31"/>
      <c r="L288" s="22"/>
      <c r="M288" s="29"/>
      <c r="N288" s="31"/>
      <c r="O288" s="31"/>
      <c r="P288" s="31"/>
      <c r="Q288" s="31"/>
      <c r="R288" s="31"/>
      <c r="S288" s="31"/>
      <c r="T288" s="31"/>
      <c r="U288" s="31"/>
      <c r="V288" s="31"/>
      <c r="W288" s="31"/>
      <c r="X288" s="31"/>
      <c r="Y288" s="31"/>
      <c r="Z288" s="31"/>
      <c r="AA288" s="31"/>
      <c r="AB288" s="42"/>
      <c r="AC288" s="42"/>
      <c r="AD288" s="42"/>
      <c r="AE288" s="31"/>
      <c r="AF288" s="31"/>
      <c r="AG288" s="43"/>
      <c r="AH288" s="31"/>
      <c r="AI288" s="44"/>
      <c r="AJ288" s="44"/>
    </row>
    <row r="289" spans="1:36">
      <c r="A289" s="18"/>
      <c r="B289" s="45"/>
      <c r="C289" s="31"/>
      <c r="D289" s="19"/>
      <c r="E289" s="31"/>
      <c r="F289" s="74"/>
      <c r="G289" s="46"/>
      <c r="H289" s="31"/>
      <c r="I289" s="31"/>
      <c r="J289" s="31"/>
      <c r="K289" s="31"/>
      <c r="L289" s="22"/>
      <c r="M289" s="29"/>
      <c r="N289" s="31"/>
      <c r="O289" s="31"/>
      <c r="P289" s="31"/>
      <c r="Q289" s="31"/>
      <c r="R289" s="31"/>
      <c r="S289" s="31"/>
      <c r="T289" s="31"/>
      <c r="U289" s="31"/>
      <c r="V289" s="31"/>
      <c r="W289" s="31"/>
      <c r="X289" s="31"/>
      <c r="Y289" s="31"/>
      <c r="Z289" s="31"/>
      <c r="AA289" s="31"/>
      <c r="AB289" s="42"/>
      <c r="AC289" s="42"/>
      <c r="AD289" s="42"/>
      <c r="AE289" s="31"/>
      <c r="AF289" s="31"/>
      <c r="AG289" s="43"/>
      <c r="AH289" s="31"/>
      <c r="AI289" s="44"/>
      <c r="AJ289" s="44"/>
    </row>
    <row r="290" spans="1:36">
      <c r="A290" s="18"/>
      <c r="B290" s="45"/>
      <c r="C290" s="31"/>
      <c r="D290" s="19"/>
      <c r="E290" s="31"/>
      <c r="F290" s="74"/>
      <c r="G290" s="46"/>
      <c r="H290" s="31"/>
      <c r="I290" s="31"/>
      <c r="J290" s="31"/>
      <c r="K290" s="31"/>
      <c r="L290" s="22"/>
      <c r="M290" s="29"/>
      <c r="N290" s="31"/>
      <c r="O290" s="31"/>
      <c r="P290" s="31"/>
      <c r="Q290" s="31"/>
      <c r="R290" s="31"/>
      <c r="S290" s="31"/>
      <c r="T290" s="31"/>
      <c r="U290" s="31"/>
      <c r="V290" s="31"/>
      <c r="W290" s="31"/>
      <c r="X290" s="31"/>
      <c r="Y290" s="31"/>
      <c r="Z290" s="31"/>
      <c r="AA290" s="31"/>
      <c r="AB290" s="42"/>
      <c r="AC290" s="42"/>
      <c r="AD290" s="42"/>
      <c r="AE290" s="31"/>
      <c r="AF290" s="31"/>
      <c r="AG290" s="43"/>
      <c r="AH290" s="31"/>
      <c r="AI290" s="44"/>
      <c r="AJ290" s="44"/>
    </row>
    <row r="291" spans="1:36">
      <c r="A291" s="18"/>
      <c r="B291" s="45"/>
      <c r="C291" s="31"/>
      <c r="D291" s="19"/>
      <c r="E291" s="31"/>
      <c r="F291" s="74"/>
      <c r="G291" s="46"/>
      <c r="H291" s="31"/>
      <c r="I291" s="31"/>
      <c r="J291" s="31"/>
      <c r="K291" s="31"/>
      <c r="L291" s="22"/>
      <c r="M291" s="29"/>
      <c r="N291" s="31"/>
      <c r="O291" s="31"/>
      <c r="P291" s="31"/>
      <c r="Q291" s="31"/>
      <c r="R291" s="31"/>
      <c r="S291" s="31"/>
      <c r="T291" s="31"/>
      <c r="U291" s="31"/>
      <c r="V291" s="31"/>
      <c r="W291" s="31"/>
      <c r="X291" s="31"/>
      <c r="Y291" s="31"/>
      <c r="Z291" s="31"/>
      <c r="AA291" s="31"/>
      <c r="AB291" s="42"/>
      <c r="AC291" s="42"/>
      <c r="AD291" s="42"/>
      <c r="AE291" s="31"/>
      <c r="AF291" s="31"/>
      <c r="AG291" s="43"/>
      <c r="AH291" s="31"/>
      <c r="AI291" s="44"/>
      <c r="AJ291" s="44"/>
    </row>
    <row r="292" spans="1:36">
      <c r="A292" s="18"/>
      <c r="B292" s="45"/>
      <c r="C292" s="31"/>
      <c r="D292" s="19"/>
      <c r="E292" s="31"/>
      <c r="F292" s="74"/>
      <c r="G292" s="46"/>
      <c r="H292" s="31"/>
      <c r="I292" s="31"/>
      <c r="J292" s="31"/>
      <c r="K292" s="31"/>
      <c r="L292" s="22"/>
      <c r="M292" s="29"/>
      <c r="N292" s="31"/>
      <c r="O292" s="31"/>
      <c r="P292" s="31"/>
      <c r="Q292" s="31"/>
      <c r="R292" s="31"/>
      <c r="S292" s="31"/>
      <c r="T292" s="31"/>
      <c r="U292" s="31"/>
      <c r="V292" s="31"/>
      <c r="W292" s="31"/>
      <c r="X292" s="31"/>
      <c r="Y292" s="31"/>
      <c r="Z292" s="31"/>
      <c r="AA292" s="31"/>
      <c r="AB292" s="42"/>
      <c r="AC292" s="42"/>
      <c r="AD292" s="42"/>
      <c r="AE292" s="31"/>
      <c r="AF292" s="31"/>
      <c r="AG292" s="43"/>
      <c r="AH292" s="31"/>
      <c r="AI292" s="44"/>
      <c r="AJ292" s="44"/>
    </row>
    <row r="293" spans="1:36">
      <c r="A293" s="18"/>
      <c r="B293" s="45"/>
      <c r="C293" s="31"/>
      <c r="D293" s="19"/>
      <c r="E293" s="31"/>
      <c r="F293" s="74"/>
      <c r="G293" s="46"/>
      <c r="H293" s="31"/>
      <c r="I293" s="31"/>
      <c r="J293" s="31"/>
      <c r="K293" s="31"/>
      <c r="L293" s="22"/>
      <c r="M293" s="29"/>
      <c r="N293" s="31"/>
      <c r="O293" s="31"/>
      <c r="P293" s="31"/>
      <c r="Q293" s="31"/>
      <c r="R293" s="31"/>
      <c r="S293" s="31"/>
      <c r="T293" s="31"/>
      <c r="U293" s="31"/>
      <c r="V293" s="31"/>
      <c r="W293" s="31"/>
      <c r="X293" s="31"/>
      <c r="Y293" s="31"/>
      <c r="Z293" s="31"/>
      <c r="AA293" s="31"/>
      <c r="AB293" s="42"/>
      <c r="AC293" s="42"/>
      <c r="AD293" s="42"/>
      <c r="AE293" s="31"/>
      <c r="AF293" s="31"/>
      <c r="AG293" s="43"/>
      <c r="AH293" s="31"/>
      <c r="AI293" s="44"/>
      <c r="AJ293" s="44"/>
    </row>
    <row r="294" spans="1:36">
      <c r="A294" s="18"/>
      <c r="B294" s="45"/>
      <c r="C294" s="31"/>
      <c r="D294" s="19"/>
      <c r="E294" s="31"/>
      <c r="F294" s="74"/>
      <c r="G294" s="46"/>
      <c r="H294" s="31"/>
      <c r="I294" s="31"/>
      <c r="J294" s="31"/>
      <c r="K294" s="31"/>
      <c r="L294" s="22"/>
      <c r="M294" s="29"/>
      <c r="N294" s="31"/>
      <c r="O294" s="31"/>
      <c r="P294" s="31"/>
      <c r="Q294" s="31"/>
      <c r="R294" s="31"/>
      <c r="S294" s="31"/>
      <c r="T294" s="31"/>
      <c r="U294" s="31"/>
      <c r="V294" s="31"/>
      <c r="W294" s="31"/>
      <c r="X294" s="31"/>
      <c r="Y294" s="31"/>
      <c r="Z294" s="31"/>
      <c r="AA294" s="31"/>
      <c r="AB294" s="42"/>
      <c r="AC294" s="42"/>
      <c r="AD294" s="42"/>
      <c r="AE294" s="31"/>
      <c r="AF294" s="31"/>
      <c r="AG294" s="43"/>
      <c r="AH294" s="31"/>
      <c r="AI294" s="44"/>
      <c r="AJ294" s="44"/>
    </row>
    <row r="295" spans="1:36">
      <c r="A295" s="18"/>
      <c r="B295" s="45"/>
      <c r="C295" s="31"/>
      <c r="D295" s="19"/>
      <c r="E295" s="31"/>
      <c r="F295" s="74"/>
      <c r="G295" s="46"/>
      <c r="H295" s="31"/>
      <c r="I295" s="31"/>
      <c r="J295" s="31"/>
      <c r="K295" s="31"/>
      <c r="L295" s="22"/>
      <c r="M295" s="29"/>
      <c r="N295" s="31"/>
      <c r="O295" s="31"/>
      <c r="P295" s="31"/>
      <c r="Q295" s="31"/>
      <c r="R295" s="31"/>
      <c r="S295" s="31"/>
      <c r="T295" s="31"/>
      <c r="U295" s="31"/>
      <c r="V295" s="31"/>
      <c r="W295" s="31"/>
      <c r="X295" s="31"/>
      <c r="Y295" s="31"/>
      <c r="Z295" s="31"/>
      <c r="AA295" s="31"/>
      <c r="AB295" s="42"/>
      <c r="AC295" s="42"/>
      <c r="AD295" s="42"/>
      <c r="AE295" s="31"/>
      <c r="AF295" s="31"/>
      <c r="AG295" s="43"/>
      <c r="AH295" s="31"/>
      <c r="AI295" s="44"/>
      <c r="AJ295" s="44"/>
    </row>
    <row r="296" spans="1:36">
      <c r="A296" s="18"/>
      <c r="B296" s="45"/>
      <c r="C296" s="31"/>
      <c r="D296" s="19"/>
      <c r="E296" s="31"/>
      <c r="F296" s="74"/>
      <c r="G296" s="46"/>
      <c r="H296" s="31"/>
      <c r="I296" s="31"/>
      <c r="J296" s="31"/>
      <c r="K296" s="31"/>
      <c r="L296" s="22"/>
      <c r="M296" s="29"/>
      <c r="N296" s="31"/>
      <c r="O296" s="31"/>
      <c r="P296" s="31"/>
      <c r="Q296" s="31"/>
      <c r="R296" s="31"/>
      <c r="S296" s="31"/>
      <c r="T296" s="31"/>
      <c r="U296" s="31"/>
      <c r="V296" s="31"/>
      <c r="W296" s="31"/>
      <c r="X296" s="31"/>
      <c r="Y296" s="31"/>
      <c r="Z296" s="31"/>
      <c r="AA296" s="31"/>
      <c r="AB296" s="42"/>
      <c r="AC296" s="42"/>
      <c r="AD296" s="42"/>
      <c r="AE296" s="31"/>
      <c r="AF296" s="31"/>
      <c r="AG296" s="43"/>
      <c r="AH296" s="31"/>
      <c r="AI296" s="44"/>
      <c r="AJ296" s="44"/>
    </row>
    <row r="297" spans="1:36">
      <c r="A297" s="18"/>
      <c r="B297" s="45"/>
      <c r="C297" s="31"/>
      <c r="D297" s="19"/>
      <c r="E297" s="31"/>
      <c r="F297" s="74"/>
      <c r="G297" s="46"/>
      <c r="H297" s="31"/>
      <c r="I297" s="31"/>
      <c r="J297" s="31"/>
      <c r="K297" s="31"/>
      <c r="L297" s="22"/>
      <c r="M297" s="29"/>
      <c r="N297" s="31"/>
      <c r="O297" s="31"/>
      <c r="P297" s="31"/>
      <c r="Q297" s="31"/>
      <c r="R297" s="31"/>
      <c r="S297" s="31"/>
      <c r="T297" s="31"/>
      <c r="U297" s="31"/>
      <c r="V297" s="31"/>
      <c r="W297" s="31"/>
      <c r="X297" s="31"/>
      <c r="Y297" s="31"/>
      <c r="Z297" s="31"/>
      <c r="AA297" s="31"/>
      <c r="AB297" s="42"/>
      <c r="AC297" s="42"/>
      <c r="AD297" s="42"/>
      <c r="AE297" s="31"/>
      <c r="AF297" s="31"/>
      <c r="AG297" s="43"/>
      <c r="AH297" s="31"/>
      <c r="AI297" s="44"/>
      <c r="AJ297" s="44"/>
    </row>
    <row r="298" spans="1:36">
      <c r="A298" s="18"/>
      <c r="B298" s="45"/>
      <c r="C298" s="31"/>
      <c r="D298" s="19"/>
      <c r="E298" s="31"/>
      <c r="F298" s="74"/>
      <c r="G298" s="46"/>
      <c r="H298" s="31"/>
      <c r="I298" s="31"/>
      <c r="J298" s="31"/>
      <c r="K298" s="31"/>
      <c r="L298" s="22"/>
      <c r="M298" s="29"/>
      <c r="N298" s="31"/>
      <c r="O298" s="31"/>
      <c r="P298" s="31"/>
      <c r="Q298" s="31"/>
      <c r="R298" s="31"/>
      <c r="S298" s="31"/>
      <c r="T298" s="31"/>
      <c r="U298" s="31"/>
      <c r="V298" s="31"/>
      <c r="W298" s="31"/>
      <c r="X298" s="31"/>
      <c r="Y298" s="31"/>
      <c r="Z298" s="31"/>
      <c r="AA298" s="31"/>
      <c r="AB298" s="42"/>
      <c r="AC298" s="42"/>
      <c r="AD298" s="42"/>
      <c r="AE298" s="31"/>
      <c r="AF298" s="31"/>
      <c r="AG298" s="43"/>
      <c r="AH298" s="31"/>
      <c r="AI298" s="44"/>
      <c r="AJ298" s="44"/>
    </row>
    <row r="299" spans="1:36">
      <c r="A299" s="18"/>
      <c r="B299" s="45"/>
      <c r="C299" s="31"/>
      <c r="D299" s="19"/>
      <c r="E299" s="31"/>
      <c r="F299" s="74"/>
      <c r="G299" s="46"/>
      <c r="H299" s="31"/>
      <c r="I299" s="31"/>
      <c r="J299" s="31"/>
      <c r="K299" s="31"/>
      <c r="L299" s="22"/>
      <c r="M299" s="29"/>
      <c r="N299" s="31"/>
      <c r="O299" s="31"/>
      <c r="P299" s="31"/>
      <c r="Q299" s="31"/>
      <c r="R299" s="31"/>
      <c r="S299" s="31"/>
      <c r="T299" s="31"/>
      <c r="U299" s="31"/>
      <c r="V299" s="31"/>
      <c r="W299" s="31"/>
      <c r="X299" s="31"/>
      <c r="Y299" s="31"/>
      <c r="Z299" s="31"/>
      <c r="AA299" s="31"/>
      <c r="AB299" s="42"/>
      <c r="AC299" s="42"/>
      <c r="AD299" s="42"/>
      <c r="AE299" s="31"/>
      <c r="AF299" s="31"/>
      <c r="AG299" s="43"/>
      <c r="AH299" s="31"/>
      <c r="AI299" s="44"/>
      <c r="AJ299" s="44"/>
    </row>
    <row r="300" spans="1:36">
      <c r="A300" s="18"/>
      <c r="B300" s="45"/>
      <c r="C300" s="31"/>
      <c r="D300" s="19"/>
      <c r="E300" s="31"/>
      <c r="F300" s="74"/>
      <c r="G300" s="46"/>
      <c r="H300" s="31"/>
      <c r="I300" s="31"/>
      <c r="J300" s="31"/>
      <c r="K300" s="31"/>
      <c r="L300" s="22"/>
      <c r="M300" s="29"/>
      <c r="N300" s="31"/>
      <c r="O300" s="31"/>
      <c r="P300" s="31"/>
      <c r="Q300" s="31"/>
      <c r="R300" s="31"/>
      <c r="S300" s="31"/>
      <c r="T300" s="31"/>
      <c r="U300" s="31"/>
      <c r="V300" s="31"/>
      <c r="W300" s="31"/>
      <c r="X300" s="31"/>
      <c r="Y300" s="31"/>
      <c r="Z300" s="31"/>
      <c r="AA300" s="31"/>
      <c r="AB300" s="42"/>
      <c r="AC300" s="42"/>
      <c r="AD300" s="42"/>
      <c r="AE300" s="31"/>
      <c r="AF300" s="31"/>
      <c r="AG300" s="43"/>
      <c r="AH300" s="31"/>
      <c r="AI300" s="44"/>
      <c r="AJ300" s="44"/>
    </row>
    <row r="301" spans="1:36">
      <c r="A301" s="18"/>
      <c r="B301" s="45"/>
      <c r="C301" s="31"/>
      <c r="D301" s="19"/>
      <c r="E301" s="31"/>
      <c r="F301" s="74"/>
      <c r="G301" s="46"/>
      <c r="H301" s="31"/>
      <c r="I301" s="31"/>
      <c r="J301" s="31"/>
      <c r="K301" s="31"/>
      <c r="L301" s="22"/>
      <c r="M301" s="29"/>
      <c r="N301" s="31"/>
      <c r="O301" s="31"/>
      <c r="P301" s="31"/>
      <c r="Q301" s="31"/>
      <c r="R301" s="31"/>
      <c r="S301" s="31"/>
      <c r="T301" s="31"/>
      <c r="U301" s="31"/>
      <c r="V301" s="31"/>
      <c r="W301" s="31"/>
      <c r="X301" s="31"/>
      <c r="Y301" s="31"/>
      <c r="Z301" s="31"/>
      <c r="AA301" s="31"/>
      <c r="AB301" s="42"/>
      <c r="AC301" s="42"/>
      <c r="AD301" s="42"/>
      <c r="AE301" s="31"/>
      <c r="AF301" s="31"/>
      <c r="AG301" s="43"/>
      <c r="AH301" s="31"/>
      <c r="AI301" s="44"/>
      <c r="AJ301" s="44"/>
    </row>
    <row r="302" spans="1:36">
      <c r="A302" s="18"/>
      <c r="B302" s="45"/>
      <c r="C302" s="31"/>
      <c r="D302" s="19"/>
      <c r="E302" s="31"/>
      <c r="F302" s="74"/>
      <c r="G302" s="46"/>
      <c r="H302" s="31"/>
      <c r="I302" s="31"/>
      <c r="J302" s="31"/>
      <c r="K302" s="31"/>
      <c r="L302" s="22"/>
      <c r="M302" s="29"/>
      <c r="N302" s="31"/>
      <c r="O302" s="31"/>
      <c r="P302" s="31"/>
      <c r="Q302" s="31"/>
      <c r="R302" s="31"/>
      <c r="S302" s="31"/>
      <c r="T302" s="31"/>
      <c r="U302" s="31"/>
      <c r="V302" s="31"/>
      <c r="W302" s="31"/>
      <c r="X302" s="31"/>
      <c r="Y302" s="31"/>
      <c r="Z302" s="31"/>
      <c r="AA302" s="31"/>
      <c r="AB302" s="42"/>
      <c r="AC302" s="42"/>
      <c r="AD302" s="42"/>
      <c r="AE302" s="31"/>
      <c r="AF302" s="31"/>
      <c r="AG302" s="43"/>
      <c r="AH302" s="31"/>
      <c r="AI302" s="44"/>
      <c r="AJ302" s="44"/>
    </row>
    <row r="303" spans="1:36">
      <c r="A303" s="18"/>
      <c r="B303" s="45"/>
      <c r="C303" s="31"/>
      <c r="D303" s="19"/>
      <c r="E303" s="31"/>
      <c r="F303" s="74"/>
      <c r="G303" s="46"/>
      <c r="H303" s="31"/>
      <c r="I303" s="31"/>
      <c r="J303" s="31"/>
      <c r="K303" s="31"/>
      <c r="L303" s="22"/>
      <c r="M303" s="29"/>
      <c r="N303" s="31"/>
      <c r="O303" s="31"/>
      <c r="P303" s="31"/>
      <c r="Q303" s="31"/>
      <c r="R303" s="31"/>
      <c r="S303" s="31"/>
      <c r="T303" s="31"/>
      <c r="U303" s="31"/>
      <c r="V303" s="31"/>
      <c r="W303" s="31"/>
      <c r="X303" s="31"/>
      <c r="Y303" s="31"/>
      <c r="Z303" s="31"/>
      <c r="AA303" s="31"/>
      <c r="AB303" s="42"/>
      <c r="AC303" s="42"/>
      <c r="AD303" s="42"/>
      <c r="AE303" s="31"/>
      <c r="AF303" s="31"/>
      <c r="AG303" s="43"/>
      <c r="AH303" s="31"/>
      <c r="AI303" s="44"/>
      <c r="AJ303" s="44"/>
    </row>
    <row r="304" spans="1:36">
      <c r="A304" s="18"/>
      <c r="B304" s="45"/>
      <c r="C304" s="31"/>
      <c r="D304" s="19"/>
      <c r="E304" s="31"/>
      <c r="F304" s="74"/>
      <c r="G304" s="46"/>
      <c r="H304" s="31"/>
      <c r="I304" s="31"/>
      <c r="J304" s="31"/>
      <c r="K304" s="31"/>
      <c r="L304" s="22"/>
      <c r="M304" s="29"/>
      <c r="N304" s="31"/>
      <c r="O304" s="31"/>
      <c r="P304" s="31"/>
      <c r="Q304" s="31"/>
      <c r="R304" s="31"/>
      <c r="S304" s="31"/>
      <c r="T304" s="31"/>
      <c r="U304" s="31"/>
      <c r="V304" s="31"/>
      <c r="W304" s="31"/>
      <c r="X304" s="31"/>
      <c r="Y304" s="31"/>
      <c r="Z304" s="31"/>
      <c r="AA304" s="31"/>
      <c r="AB304" s="42"/>
      <c r="AC304" s="42"/>
      <c r="AD304" s="42"/>
      <c r="AE304" s="31"/>
      <c r="AF304" s="31"/>
      <c r="AG304" s="43"/>
      <c r="AH304" s="31"/>
      <c r="AI304" s="44"/>
      <c r="AJ304" s="44"/>
    </row>
    <row r="305" spans="1:36">
      <c r="A305" s="18"/>
      <c r="B305" s="45"/>
      <c r="C305" s="31"/>
      <c r="D305" s="19"/>
      <c r="E305" s="31"/>
      <c r="F305" s="74"/>
      <c r="G305" s="46"/>
      <c r="H305" s="31"/>
      <c r="I305" s="31"/>
      <c r="J305" s="31"/>
      <c r="K305" s="31"/>
      <c r="L305" s="22"/>
      <c r="M305" s="29"/>
      <c r="N305" s="31"/>
      <c r="O305" s="31"/>
      <c r="P305" s="31"/>
      <c r="Q305" s="31"/>
      <c r="R305" s="31"/>
      <c r="S305" s="31"/>
      <c r="T305" s="31"/>
      <c r="U305" s="31"/>
      <c r="V305" s="31"/>
      <c r="W305" s="31"/>
      <c r="X305" s="31"/>
      <c r="Y305" s="31"/>
      <c r="Z305" s="31"/>
      <c r="AA305" s="31"/>
      <c r="AB305" s="42"/>
      <c r="AC305" s="42"/>
      <c r="AD305" s="42"/>
      <c r="AE305" s="31"/>
      <c r="AF305" s="31"/>
      <c r="AG305" s="43"/>
      <c r="AH305" s="31"/>
      <c r="AI305" s="44"/>
      <c r="AJ305" s="44"/>
    </row>
    <row r="306" spans="1:36">
      <c r="A306" s="18"/>
      <c r="B306" s="45"/>
      <c r="C306" s="31"/>
      <c r="D306" s="19"/>
      <c r="E306" s="31"/>
      <c r="F306" s="74"/>
      <c r="G306" s="46"/>
      <c r="H306" s="31"/>
      <c r="I306" s="31"/>
      <c r="J306" s="31"/>
      <c r="K306" s="31"/>
      <c r="L306" s="22"/>
      <c r="M306" s="29"/>
      <c r="N306" s="31"/>
      <c r="O306" s="31"/>
      <c r="P306" s="31"/>
      <c r="Q306" s="31"/>
      <c r="R306" s="31"/>
      <c r="S306" s="31"/>
      <c r="T306" s="31"/>
      <c r="U306" s="31"/>
      <c r="V306" s="31"/>
      <c r="W306" s="31"/>
      <c r="X306" s="31"/>
      <c r="Y306" s="31"/>
      <c r="Z306" s="31"/>
      <c r="AA306" s="31"/>
      <c r="AB306" s="42"/>
      <c r="AC306" s="42"/>
      <c r="AD306" s="42"/>
      <c r="AE306" s="31"/>
      <c r="AF306" s="31"/>
      <c r="AG306" s="43"/>
      <c r="AH306" s="31"/>
      <c r="AI306" s="44"/>
      <c r="AJ306" s="44"/>
    </row>
    <row r="307" spans="1:36">
      <c r="A307" s="18"/>
      <c r="B307" s="45"/>
      <c r="C307" s="31"/>
      <c r="D307" s="19"/>
      <c r="E307" s="31"/>
      <c r="F307" s="74"/>
      <c r="G307" s="46"/>
      <c r="H307" s="31"/>
      <c r="I307" s="31"/>
      <c r="J307" s="31"/>
      <c r="K307" s="31"/>
      <c r="L307" s="22"/>
      <c r="M307" s="29"/>
      <c r="N307" s="31"/>
      <c r="O307" s="31"/>
      <c r="P307" s="31"/>
      <c r="Q307" s="31"/>
      <c r="R307" s="31"/>
      <c r="S307" s="31"/>
      <c r="T307" s="31"/>
      <c r="U307" s="31"/>
      <c r="V307" s="31"/>
      <c r="W307" s="31"/>
      <c r="X307" s="31"/>
      <c r="Y307" s="31"/>
      <c r="Z307" s="31"/>
      <c r="AA307" s="31"/>
      <c r="AB307" s="42"/>
      <c r="AC307" s="42"/>
      <c r="AD307" s="42"/>
      <c r="AE307" s="31"/>
      <c r="AF307" s="31"/>
      <c r="AG307" s="43"/>
      <c r="AH307" s="31"/>
      <c r="AI307" s="44"/>
      <c r="AJ307" s="44"/>
    </row>
    <row r="308" spans="1:36">
      <c r="A308" s="18"/>
      <c r="B308" s="45"/>
      <c r="C308" s="31"/>
      <c r="D308" s="19"/>
      <c r="E308" s="31"/>
      <c r="F308" s="74"/>
      <c r="G308" s="46"/>
      <c r="H308" s="31"/>
      <c r="I308" s="31"/>
      <c r="J308" s="31"/>
      <c r="K308" s="31"/>
      <c r="L308" s="22"/>
      <c r="M308" s="29"/>
      <c r="N308" s="31"/>
      <c r="O308" s="31"/>
      <c r="P308" s="31"/>
      <c r="Q308" s="31"/>
      <c r="R308" s="31"/>
      <c r="S308" s="31"/>
      <c r="T308" s="31"/>
      <c r="U308" s="31"/>
      <c r="V308" s="31"/>
      <c r="W308" s="31"/>
      <c r="X308" s="31"/>
      <c r="Y308" s="31"/>
      <c r="Z308" s="31"/>
      <c r="AA308" s="31"/>
      <c r="AB308" s="42"/>
      <c r="AC308" s="42"/>
      <c r="AD308" s="42"/>
      <c r="AE308" s="31"/>
      <c r="AF308" s="31"/>
      <c r="AG308" s="43"/>
      <c r="AH308" s="31"/>
      <c r="AI308" s="44"/>
      <c r="AJ308" s="44"/>
    </row>
    <row r="309" spans="1:36">
      <c r="A309" s="18"/>
      <c r="B309" s="45"/>
      <c r="C309" s="31"/>
      <c r="D309" s="19"/>
      <c r="E309" s="31"/>
      <c r="F309" s="74"/>
      <c r="G309" s="46"/>
      <c r="H309" s="31"/>
      <c r="I309" s="31"/>
      <c r="J309" s="31"/>
      <c r="K309" s="31"/>
      <c r="L309" s="22"/>
      <c r="M309" s="29"/>
      <c r="N309" s="31"/>
      <c r="O309" s="31"/>
      <c r="P309" s="31"/>
      <c r="Q309" s="31"/>
      <c r="R309" s="31"/>
      <c r="S309" s="31"/>
      <c r="T309" s="31"/>
      <c r="U309" s="31"/>
      <c r="V309" s="31"/>
      <c r="W309" s="31"/>
      <c r="X309" s="31"/>
      <c r="Y309" s="31"/>
      <c r="Z309" s="31"/>
      <c r="AA309" s="31"/>
      <c r="AB309" s="42"/>
      <c r="AC309" s="42"/>
      <c r="AD309" s="42"/>
      <c r="AE309" s="31"/>
      <c r="AF309" s="31"/>
      <c r="AG309" s="43"/>
      <c r="AH309" s="31"/>
      <c r="AI309" s="44"/>
      <c r="AJ309" s="44"/>
    </row>
    <row r="310" spans="1:36">
      <c r="A310" s="18"/>
      <c r="B310" s="45"/>
      <c r="C310" s="31"/>
      <c r="D310" s="19"/>
      <c r="E310" s="31"/>
      <c r="F310" s="74"/>
      <c r="G310" s="46"/>
      <c r="H310" s="31"/>
      <c r="I310" s="31"/>
      <c r="J310" s="31"/>
      <c r="K310" s="31"/>
      <c r="L310" s="22"/>
      <c r="M310" s="29"/>
      <c r="N310" s="31"/>
      <c r="O310" s="31"/>
      <c r="P310" s="31"/>
      <c r="Q310" s="31"/>
      <c r="R310" s="31"/>
      <c r="S310" s="31"/>
      <c r="T310" s="31"/>
      <c r="U310" s="31"/>
      <c r="V310" s="31"/>
      <c r="W310" s="31"/>
      <c r="X310" s="31"/>
      <c r="Y310" s="31"/>
      <c r="Z310" s="31"/>
      <c r="AA310" s="31"/>
      <c r="AB310" s="42"/>
      <c r="AC310" s="42"/>
      <c r="AD310" s="42"/>
      <c r="AE310" s="31"/>
      <c r="AF310" s="31"/>
      <c r="AG310" s="43"/>
      <c r="AH310" s="31"/>
      <c r="AI310" s="44"/>
      <c r="AJ310" s="44"/>
    </row>
    <row r="311" spans="1:36">
      <c r="A311" s="18"/>
      <c r="B311" s="45"/>
      <c r="C311" s="31"/>
      <c r="D311" s="19"/>
      <c r="E311" s="31"/>
      <c r="F311" s="74"/>
      <c r="G311" s="46"/>
      <c r="H311" s="31"/>
      <c r="I311" s="31"/>
      <c r="J311" s="31"/>
      <c r="K311" s="31"/>
      <c r="L311" s="22"/>
      <c r="M311" s="29"/>
      <c r="N311" s="31"/>
      <c r="O311" s="31"/>
      <c r="P311" s="31"/>
      <c r="Q311" s="31"/>
      <c r="R311" s="31"/>
      <c r="S311" s="31"/>
      <c r="T311" s="31"/>
      <c r="U311" s="31"/>
      <c r="V311" s="31"/>
      <c r="W311" s="31"/>
      <c r="X311" s="31"/>
      <c r="Y311" s="31"/>
      <c r="Z311" s="31"/>
      <c r="AA311" s="31"/>
      <c r="AB311" s="42"/>
      <c r="AC311" s="42"/>
      <c r="AD311" s="42"/>
      <c r="AE311" s="31"/>
      <c r="AF311" s="31"/>
      <c r="AG311" s="43"/>
      <c r="AH311" s="31"/>
      <c r="AI311" s="44"/>
      <c r="AJ311" s="44"/>
    </row>
    <row r="312" spans="1:36">
      <c r="A312" s="18"/>
      <c r="B312" s="45"/>
      <c r="C312" s="31"/>
      <c r="D312" s="19"/>
      <c r="E312" s="31"/>
      <c r="F312" s="74"/>
      <c r="G312" s="46"/>
      <c r="H312" s="31"/>
      <c r="I312" s="31"/>
      <c r="J312" s="31"/>
      <c r="K312" s="31"/>
      <c r="L312" s="22"/>
      <c r="M312" s="29"/>
      <c r="N312" s="31"/>
      <c r="O312" s="31"/>
      <c r="P312" s="31"/>
      <c r="Q312" s="31"/>
      <c r="R312" s="31"/>
      <c r="S312" s="31"/>
      <c r="T312" s="31"/>
      <c r="U312" s="31"/>
      <c r="V312" s="31"/>
      <c r="W312" s="31"/>
      <c r="X312" s="31"/>
      <c r="Y312" s="31"/>
      <c r="Z312" s="31"/>
      <c r="AA312" s="31"/>
      <c r="AB312" s="42"/>
      <c r="AC312" s="42"/>
      <c r="AD312" s="42"/>
      <c r="AE312" s="31"/>
      <c r="AF312" s="31"/>
      <c r="AG312" s="43"/>
      <c r="AH312" s="31"/>
      <c r="AI312" s="44"/>
      <c r="AJ312" s="44"/>
    </row>
    <row r="313" spans="1:36">
      <c r="A313" s="18"/>
      <c r="B313" s="45"/>
      <c r="C313" s="31"/>
      <c r="D313" s="19"/>
      <c r="E313" s="31"/>
      <c r="F313" s="74"/>
      <c r="G313" s="46"/>
      <c r="H313" s="31"/>
      <c r="I313" s="31"/>
      <c r="J313" s="31"/>
      <c r="K313" s="31"/>
      <c r="L313" s="22"/>
      <c r="M313" s="29"/>
      <c r="N313" s="31"/>
      <c r="O313" s="31"/>
      <c r="P313" s="31"/>
      <c r="Q313" s="31"/>
      <c r="R313" s="31"/>
      <c r="S313" s="31"/>
      <c r="T313" s="31"/>
      <c r="U313" s="31"/>
      <c r="V313" s="31"/>
      <c r="W313" s="31"/>
      <c r="X313" s="31"/>
      <c r="Y313" s="31"/>
      <c r="Z313" s="31"/>
      <c r="AA313" s="31"/>
      <c r="AB313" s="42"/>
      <c r="AC313" s="42"/>
      <c r="AD313" s="42"/>
      <c r="AE313" s="31"/>
      <c r="AF313" s="31"/>
      <c r="AG313" s="43"/>
      <c r="AH313" s="31"/>
      <c r="AI313" s="44"/>
      <c r="AJ313" s="44"/>
    </row>
    <row r="314" spans="1:36">
      <c r="A314" s="18"/>
      <c r="B314" s="45"/>
      <c r="C314" s="31"/>
      <c r="D314" s="19"/>
      <c r="E314" s="31"/>
      <c r="F314" s="74"/>
      <c r="G314" s="46"/>
      <c r="H314" s="31"/>
      <c r="I314" s="31"/>
      <c r="J314" s="31"/>
      <c r="K314" s="31"/>
      <c r="L314" s="22"/>
      <c r="M314" s="29"/>
      <c r="N314" s="31"/>
      <c r="O314" s="31"/>
      <c r="P314" s="31"/>
      <c r="Q314" s="31"/>
      <c r="R314" s="31"/>
      <c r="S314" s="31"/>
      <c r="T314" s="31"/>
      <c r="U314" s="31"/>
      <c r="V314" s="31"/>
      <c r="W314" s="31"/>
      <c r="X314" s="31"/>
      <c r="Y314" s="31"/>
      <c r="Z314" s="31"/>
      <c r="AA314" s="31"/>
      <c r="AB314" s="42"/>
      <c r="AC314" s="42"/>
      <c r="AD314" s="42"/>
      <c r="AE314" s="31"/>
      <c r="AF314" s="31"/>
      <c r="AG314" s="43"/>
      <c r="AH314" s="31"/>
      <c r="AI314" s="44"/>
      <c r="AJ314" s="44"/>
    </row>
    <row r="315" spans="1:36">
      <c r="A315" s="18"/>
      <c r="B315" s="45"/>
      <c r="C315" s="31"/>
      <c r="D315" s="19"/>
      <c r="E315" s="31"/>
      <c r="F315" s="74"/>
      <c r="G315" s="46"/>
      <c r="H315" s="31"/>
      <c r="I315" s="31"/>
      <c r="J315" s="31"/>
      <c r="K315" s="31"/>
      <c r="L315" s="22"/>
      <c r="M315" s="29"/>
      <c r="N315" s="31"/>
      <c r="O315" s="31"/>
      <c r="P315" s="31"/>
      <c r="Q315" s="31"/>
      <c r="R315" s="31"/>
      <c r="S315" s="31"/>
      <c r="T315" s="31"/>
      <c r="U315" s="31"/>
      <c r="V315" s="31"/>
      <c r="W315" s="31"/>
      <c r="X315" s="31"/>
      <c r="Y315" s="31"/>
      <c r="Z315" s="31"/>
      <c r="AA315" s="31"/>
      <c r="AB315" s="42"/>
      <c r="AC315" s="42"/>
      <c r="AD315" s="42"/>
      <c r="AE315" s="31"/>
      <c r="AF315" s="31"/>
      <c r="AG315" s="43"/>
      <c r="AH315" s="31"/>
      <c r="AI315" s="44"/>
      <c r="AJ315" s="44"/>
    </row>
    <row r="316" spans="1:36">
      <c r="A316" s="18"/>
      <c r="B316" s="45"/>
      <c r="C316" s="31"/>
      <c r="D316" s="19"/>
      <c r="E316" s="31"/>
      <c r="F316" s="74"/>
      <c r="G316" s="46"/>
      <c r="H316" s="31"/>
      <c r="I316" s="31"/>
      <c r="J316" s="31"/>
      <c r="K316" s="31"/>
      <c r="L316" s="22"/>
      <c r="M316" s="29"/>
      <c r="N316" s="31"/>
      <c r="O316" s="31"/>
      <c r="P316" s="31"/>
      <c r="Q316" s="31"/>
      <c r="R316" s="31"/>
      <c r="S316" s="31"/>
      <c r="T316" s="31"/>
      <c r="U316" s="31"/>
      <c r="V316" s="31"/>
      <c r="W316" s="31"/>
      <c r="X316" s="31"/>
      <c r="Y316" s="31"/>
      <c r="Z316" s="31"/>
      <c r="AA316" s="31"/>
      <c r="AB316" s="42"/>
      <c r="AC316" s="42"/>
      <c r="AD316" s="42"/>
      <c r="AE316" s="31"/>
      <c r="AF316" s="31"/>
      <c r="AG316" s="43"/>
      <c r="AH316" s="31"/>
      <c r="AI316" s="44"/>
      <c r="AJ316" s="44"/>
    </row>
    <row r="317" spans="1:36">
      <c r="A317" s="18"/>
      <c r="B317" s="45"/>
      <c r="C317" s="31"/>
      <c r="D317" s="19"/>
      <c r="E317" s="31"/>
      <c r="F317" s="74"/>
      <c r="G317" s="46"/>
      <c r="H317" s="31"/>
      <c r="I317" s="31"/>
      <c r="J317" s="31"/>
      <c r="K317" s="31"/>
      <c r="L317" s="22"/>
      <c r="M317" s="29"/>
      <c r="N317" s="31"/>
      <c r="O317" s="31"/>
      <c r="P317" s="31"/>
      <c r="Q317" s="31"/>
      <c r="R317" s="31"/>
      <c r="S317" s="31"/>
      <c r="T317" s="31"/>
      <c r="U317" s="31"/>
      <c r="V317" s="31"/>
      <c r="W317" s="31"/>
      <c r="X317" s="31"/>
      <c r="Y317" s="31"/>
      <c r="Z317" s="31"/>
      <c r="AA317" s="31"/>
      <c r="AB317" s="42"/>
      <c r="AC317" s="42"/>
      <c r="AD317" s="42"/>
      <c r="AE317" s="31"/>
      <c r="AF317" s="31"/>
      <c r="AG317" s="43"/>
      <c r="AH317" s="31"/>
      <c r="AI317" s="44"/>
      <c r="AJ317" s="44"/>
    </row>
    <row r="318" spans="1:36">
      <c r="A318" s="33"/>
      <c r="B318" s="33"/>
      <c r="C318" s="33"/>
      <c r="D318" s="33"/>
      <c r="E318" s="33"/>
      <c r="F318" s="33"/>
      <c r="G318" s="33"/>
      <c r="H318" s="33"/>
      <c r="I318" s="33"/>
      <c r="J318" s="33"/>
      <c r="K318" s="33"/>
      <c r="L318" s="33"/>
      <c r="M318" s="33"/>
      <c r="N318" s="33"/>
      <c r="O318" s="33"/>
      <c r="P318" s="33"/>
      <c r="Q318" s="33"/>
      <c r="R318" s="33"/>
      <c r="S318" s="33"/>
      <c r="T318" s="33"/>
      <c r="V318" s="34"/>
      <c r="W318" s="17"/>
      <c r="X318" s="17"/>
      <c r="Y318" s="17"/>
      <c r="Z318" s="33"/>
      <c r="AA318" s="33"/>
      <c r="AB318" s="33"/>
      <c r="AC318" s="35"/>
      <c r="AD318" s="35"/>
      <c r="AE318" s="35"/>
      <c r="AF318" s="33"/>
      <c r="AG318" s="33"/>
      <c r="AH318" s="36"/>
      <c r="AI318" s="33"/>
      <c r="AJ318" s="37"/>
    </row>
    <row r="319" spans="1:36">
      <c r="A319" s="38"/>
      <c r="B319" s="38"/>
      <c r="C319" s="38"/>
      <c r="D319" s="38"/>
      <c r="E319" s="38"/>
      <c r="F319" s="38"/>
      <c r="G319" s="38"/>
      <c r="H319" s="38"/>
      <c r="I319" s="38"/>
      <c r="J319" s="38"/>
      <c r="K319" s="38"/>
      <c r="L319" s="38"/>
      <c r="M319" s="38"/>
      <c r="N319" s="38"/>
      <c r="O319" s="38"/>
      <c r="P319" s="38"/>
      <c r="Q319" s="38"/>
      <c r="R319" s="38"/>
      <c r="S319" s="38"/>
      <c r="T319" s="38"/>
      <c r="V319" s="22"/>
      <c r="W319" s="17"/>
      <c r="X319" s="17"/>
      <c r="Y319" s="17"/>
      <c r="Z319" s="38"/>
      <c r="AA319" s="38"/>
      <c r="AB319" s="38"/>
      <c r="AC319" s="39"/>
      <c r="AD319" s="39"/>
      <c r="AE319" s="39"/>
      <c r="AF319" s="38"/>
      <c r="AG319" s="38"/>
      <c r="AH319" s="40"/>
      <c r="AI319" s="38"/>
      <c r="AJ319" s="41"/>
    </row>
    <row r="320" spans="1:36">
      <c r="A320" s="33"/>
      <c r="B320" s="33"/>
      <c r="C320" s="33"/>
      <c r="D320" s="33"/>
      <c r="E320" s="33"/>
      <c r="F320" s="33"/>
      <c r="G320" s="33"/>
      <c r="H320" s="33"/>
      <c r="I320" s="33"/>
      <c r="J320" s="33"/>
      <c r="K320" s="33"/>
      <c r="L320" s="33"/>
      <c r="M320" s="33"/>
      <c r="N320" s="33"/>
      <c r="O320" s="33"/>
      <c r="P320" s="33"/>
      <c r="Q320" s="33"/>
      <c r="R320" s="33"/>
      <c r="S320" s="33"/>
      <c r="T320" s="33"/>
      <c r="V320" s="34"/>
      <c r="W320" s="17"/>
      <c r="X320" s="17"/>
      <c r="Y320" s="17"/>
      <c r="Z320" s="33"/>
      <c r="AA320" s="33"/>
      <c r="AB320" s="33"/>
      <c r="AC320" s="35"/>
      <c r="AD320" s="35"/>
      <c r="AE320" s="35"/>
      <c r="AF320" s="33"/>
      <c r="AG320" s="33"/>
      <c r="AH320" s="36"/>
      <c r="AI320" s="33"/>
      <c r="AJ320" s="37"/>
    </row>
    <row r="321" spans="1:36">
      <c r="A321" s="38"/>
      <c r="B321" s="38"/>
      <c r="C321" s="38"/>
      <c r="D321" s="38"/>
      <c r="E321" s="38"/>
      <c r="F321" s="38"/>
      <c r="G321" s="38"/>
      <c r="H321" s="38"/>
      <c r="I321" s="38"/>
      <c r="J321" s="38"/>
      <c r="K321" s="38"/>
      <c r="L321" s="38"/>
      <c r="M321" s="38"/>
      <c r="N321" s="38"/>
      <c r="O321" s="38"/>
      <c r="P321" s="38"/>
      <c r="Q321" s="38"/>
      <c r="R321" s="38"/>
      <c r="S321" s="38"/>
      <c r="T321" s="38"/>
      <c r="V321" s="22"/>
      <c r="W321" s="17"/>
      <c r="X321" s="17"/>
      <c r="Y321" s="17"/>
      <c r="Z321" s="38"/>
      <c r="AA321" s="38"/>
      <c r="AB321" s="38"/>
      <c r="AC321" s="39"/>
      <c r="AD321" s="39"/>
      <c r="AE321" s="39"/>
      <c r="AF321" s="38"/>
      <c r="AG321" s="38"/>
      <c r="AH321" s="40"/>
      <c r="AI321" s="38"/>
      <c r="AJ321" s="41"/>
    </row>
    <row r="322" spans="1:36">
      <c r="A322" s="33"/>
      <c r="B322" s="33"/>
      <c r="C322" s="33"/>
      <c r="D322" s="33"/>
      <c r="E322" s="33"/>
      <c r="F322" s="33"/>
      <c r="G322" s="33"/>
      <c r="H322" s="33"/>
      <c r="I322" s="33"/>
      <c r="J322" s="33"/>
      <c r="K322" s="33"/>
      <c r="L322" s="33"/>
      <c r="M322" s="33"/>
      <c r="N322" s="33"/>
      <c r="O322" s="33"/>
      <c r="P322" s="33"/>
      <c r="Q322" s="33"/>
      <c r="R322" s="33"/>
      <c r="S322" s="33"/>
      <c r="T322" s="33"/>
      <c r="V322" s="34"/>
      <c r="W322" s="17"/>
      <c r="X322" s="17"/>
      <c r="Y322" s="17"/>
      <c r="Z322" s="33"/>
      <c r="AA322" s="33"/>
      <c r="AB322" s="33"/>
      <c r="AC322" s="35"/>
      <c r="AD322" s="35"/>
      <c r="AE322" s="35"/>
      <c r="AF322" s="33"/>
      <c r="AG322" s="33"/>
      <c r="AH322" s="36"/>
      <c r="AI322" s="33"/>
      <c r="AJ322" s="37"/>
    </row>
    <row r="323" spans="1:36">
      <c r="A323" s="38"/>
      <c r="B323" s="38"/>
      <c r="C323" s="38"/>
      <c r="D323" s="38"/>
      <c r="E323" s="38"/>
      <c r="F323" s="38"/>
      <c r="G323" s="38"/>
      <c r="H323" s="38"/>
      <c r="I323" s="38"/>
      <c r="J323" s="38"/>
      <c r="K323" s="38"/>
      <c r="L323" s="38"/>
      <c r="M323" s="38"/>
      <c r="N323" s="38"/>
      <c r="O323" s="38"/>
      <c r="P323" s="38"/>
      <c r="Q323" s="38"/>
      <c r="R323" s="38"/>
      <c r="S323" s="38"/>
      <c r="T323" s="38"/>
      <c r="V323" s="22"/>
      <c r="W323" s="17"/>
      <c r="X323" s="17"/>
      <c r="Y323" s="17"/>
      <c r="Z323" s="38"/>
      <c r="AA323" s="38"/>
      <c r="AB323" s="38"/>
      <c r="AC323" s="39"/>
      <c r="AD323" s="39"/>
      <c r="AE323" s="39"/>
      <c r="AF323" s="38"/>
      <c r="AG323" s="38"/>
      <c r="AH323" s="40"/>
      <c r="AI323" s="38"/>
      <c r="AJ323" s="41"/>
    </row>
    <row r="324" spans="1:36">
      <c r="A324" s="33"/>
      <c r="B324" s="33"/>
      <c r="C324" s="33"/>
      <c r="D324" s="33"/>
      <c r="E324" s="33"/>
      <c r="F324" s="33"/>
      <c r="G324" s="33"/>
      <c r="H324" s="33"/>
      <c r="I324" s="33"/>
      <c r="J324" s="33"/>
      <c r="K324" s="33"/>
      <c r="L324" s="33"/>
      <c r="M324" s="33"/>
      <c r="N324" s="33"/>
      <c r="O324" s="33"/>
      <c r="P324" s="33"/>
      <c r="Q324" s="33"/>
      <c r="R324" s="33"/>
      <c r="S324" s="33"/>
      <c r="T324" s="33"/>
      <c r="V324" s="34"/>
      <c r="W324" s="17"/>
      <c r="X324" s="17"/>
      <c r="Y324" s="17"/>
      <c r="Z324" s="33"/>
      <c r="AA324" s="33"/>
      <c r="AB324" s="33"/>
      <c r="AC324" s="35"/>
      <c r="AD324" s="35"/>
      <c r="AE324" s="35"/>
      <c r="AF324" s="33"/>
      <c r="AG324" s="33"/>
      <c r="AH324" s="36"/>
      <c r="AI324" s="33"/>
      <c r="AJ324" s="37"/>
    </row>
    <row r="325" spans="1:36">
      <c r="A325" s="38"/>
      <c r="B325" s="38"/>
      <c r="C325" s="38"/>
      <c r="D325" s="38"/>
      <c r="E325" s="38"/>
      <c r="F325" s="38"/>
      <c r="G325" s="38"/>
      <c r="H325" s="38"/>
      <c r="I325" s="38"/>
      <c r="J325" s="38"/>
      <c r="K325" s="38"/>
      <c r="L325" s="38"/>
      <c r="M325" s="38"/>
      <c r="N325" s="38"/>
      <c r="O325" s="38"/>
      <c r="P325" s="38"/>
      <c r="Q325" s="38"/>
      <c r="R325" s="38"/>
      <c r="S325" s="38"/>
      <c r="T325" s="38"/>
      <c r="V325" s="22"/>
      <c r="W325" s="17"/>
      <c r="X325" s="17"/>
      <c r="Y325" s="17"/>
      <c r="Z325" s="38"/>
      <c r="AA325" s="38"/>
      <c r="AB325" s="38"/>
      <c r="AC325" s="39"/>
      <c r="AD325" s="39"/>
      <c r="AE325" s="39"/>
      <c r="AF325" s="38"/>
      <c r="AG325" s="38"/>
      <c r="AH325" s="40"/>
      <c r="AI325" s="38"/>
      <c r="AJ325" s="41"/>
    </row>
    <row r="326" spans="1:36">
      <c r="A326" s="33"/>
      <c r="B326" s="33"/>
      <c r="C326" s="33"/>
      <c r="D326" s="33"/>
      <c r="E326" s="33"/>
      <c r="F326" s="33"/>
      <c r="G326" s="33"/>
      <c r="H326" s="33"/>
      <c r="I326" s="33"/>
      <c r="J326" s="33"/>
      <c r="K326" s="33"/>
      <c r="L326" s="33"/>
      <c r="M326" s="33"/>
      <c r="N326" s="33"/>
      <c r="O326" s="33"/>
      <c r="P326" s="33"/>
      <c r="Q326" s="33"/>
      <c r="R326" s="33"/>
      <c r="S326" s="33"/>
      <c r="T326" s="33"/>
      <c r="V326" s="34"/>
      <c r="W326" s="17"/>
      <c r="X326" s="17"/>
      <c r="Y326" s="17"/>
      <c r="Z326" s="33"/>
      <c r="AA326" s="33"/>
      <c r="AB326" s="33"/>
      <c r="AC326" s="35"/>
      <c r="AD326" s="35"/>
      <c r="AE326" s="35"/>
      <c r="AF326" s="33"/>
      <c r="AG326" s="33"/>
      <c r="AH326" s="36"/>
      <c r="AI326" s="33"/>
      <c r="AJ326" s="37"/>
    </row>
    <row r="327" spans="1:36">
      <c r="A327" s="38"/>
      <c r="B327" s="38"/>
      <c r="C327" s="38"/>
      <c r="D327" s="38"/>
      <c r="E327" s="38"/>
      <c r="F327" s="38"/>
      <c r="G327" s="38"/>
      <c r="H327" s="38"/>
      <c r="I327" s="38"/>
      <c r="J327" s="38"/>
      <c r="K327" s="38"/>
      <c r="L327" s="38"/>
      <c r="M327" s="38"/>
      <c r="N327" s="38"/>
      <c r="O327" s="38"/>
      <c r="P327" s="38"/>
      <c r="Q327" s="38"/>
      <c r="R327" s="38"/>
      <c r="S327" s="38"/>
      <c r="T327" s="38"/>
      <c r="V327" s="22"/>
      <c r="W327" s="17"/>
      <c r="X327" s="17"/>
      <c r="Y327" s="17"/>
      <c r="Z327" s="38"/>
      <c r="AA327" s="38"/>
      <c r="AB327" s="38"/>
      <c r="AC327" s="39"/>
      <c r="AD327" s="39"/>
      <c r="AE327" s="39"/>
      <c r="AF327" s="38"/>
      <c r="AG327" s="38"/>
      <c r="AH327" s="40"/>
      <c r="AI327" s="38"/>
      <c r="AJ327" s="41"/>
    </row>
    <row r="328" spans="1:36">
      <c r="A328" s="33"/>
      <c r="B328" s="33"/>
      <c r="C328" s="33"/>
      <c r="D328" s="33"/>
      <c r="E328" s="33"/>
      <c r="F328" s="33"/>
      <c r="G328" s="33"/>
      <c r="H328" s="33"/>
      <c r="I328" s="33"/>
      <c r="J328" s="33"/>
      <c r="K328" s="33"/>
      <c r="L328" s="33"/>
      <c r="M328" s="33"/>
      <c r="N328" s="33"/>
      <c r="O328" s="33"/>
      <c r="P328" s="33"/>
      <c r="Q328" s="33"/>
      <c r="R328" s="33"/>
      <c r="S328" s="33"/>
      <c r="T328" s="33"/>
      <c r="V328" s="34"/>
      <c r="W328" s="17"/>
      <c r="X328" s="17"/>
      <c r="Y328" s="17"/>
      <c r="Z328" s="33"/>
      <c r="AA328" s="33"/>
      <c r="AB328" s="33"/>
      <c r="AC328" s="35"/>
      <c r="AD328" s="35"/>
      <c r="AE328" s="35"/>
      <c r="AF328" s="33"/>
      <c r="AG328" s="33"/>
      <c r="AH328" s="36"/>
      <c r="AI328" s="33"/>
      <c r="AJ328" s="37"/>
    </row>
    <row r="329" spans="1:36">
      <c r="A329" s="38"/>
      <c r="B329" s="38"/>
      <c r="C329" s="38"/>
      <c r="D329" s="38"/>
      <c r="E329" s="38"/>
      <c r="F329" s="38"/>
      <c r="G329" s="38"/>
      <c r="H329" s="38"/>
      <c r="I329" s="38"/>
      <c r="J329" s="38"/>
      <c r="K329" s="38"/>
      <c r="L329" s="38"/>
      <c r="M329" s="38"/>
      <c r="N329" s="38"/>
      <c r="O329" s="38"/>
      <c r="P329" s="38"/>
      <c r="Q329" s="38"/>
      <c r="R329" s="38"/>
      <c r="S329" s="38"/>
      <c r="T329" s="38"/>
      <c r="V329" s="22"/>
      <c r="W329" s="17"/>
      <c r="X329" s="17"/>
      <c r="Y329" s="17"/>
      <c r="Z329" s="38"/>
      <c r="AA329" s="38"/>
      <c r="AB329" s="38"/>
      <c r="AC329" s="39"/>
      <c r="AD329" s="39"/>
      <c r="AE329" s="39"/>
      <c r="AF329" s="38"/>
      <c r="AG329" s="38"/>
      <c r="AH329" s="40"/>
      <c r="AI329" s="38"/>
      <c r="AJ329" s="41"/>
    </row>
    <row r="330" spans="1:36">
      <c r="A330" s="33"/>
      <c r="B330" s="33"/>
      <c r="C330" s="33"/>
      <c r="D330" s="33"/>
      <c r="E330" s="33"/>
      <c r="F330" s="33"/>
      <c r="G330" s="33"/>
      <c r="H330" s="33"/>
      <c r="I330" s="33"/>
      <c r="J330" s="33"/>
      <c r="K330" s="33"/>
      <c r="L330" s="33"/>
      <c r="M330" s="33"/>
      <c r="N330" s="33"/>
      <c r="O330" s="33"/>
      <c r="P330" s="33"/>
      <c r="Q330" s="33"/>
      <c r="R330" s="33"/>
      <c r="S330" s="33"/>
      <c r="T330" s="33"/>
      <c r="V330" s="34"/>
      <c r="W330" s="17"/>
      <c r="X330" s="17"/>
      <c r="Y330" s="17"/>
      <c r="Z330" s="33"/>
      <c r="AA330" s="33"/>
      <c r="AB330" s="33"/>
      <c r="AC330" s="35"/>
      <c r="AD330" s="35"/>
      <c r="AE330" s="35"/>
      <c r="AF330" s="33"/>
      <c r="AG330" s="33"/>
      <c r="AH330" s="36"/>
      <c r="AI330" s="33"/>
      <c r="AJ330" s="37"/>
    </row>
    <row r="331" spans="1:36">
      <c r="A331" s="38"/>
      <c r="B331" s="38"/>
      <c r="C331" s="38"/>
      <c r="D331" s="38"/>
      <c r="E331" s="38"/>
      <c r="F331" s="38"/>
      <c r="G331" s="38"/>
      <c r="H331" s="38"/>
      <c r="I331" s="38"/>
      <c r="J331" s="38"/>
      <c r="K331" s="38"/>
      <c r="L331" s="38"/>
      <c r="M331" s="38"/>
      <c r="N331" s="38"/>
      <c r="O331" s="38"/>
      <c r="P331" s="38"/>
      <c r="Q331" s="38"/>
      <c r="R331" s="38"/>
      <c r="S331" s="38"/>
      <c r="T331" s="38"/>
      <c r="V331" s="22"/>
      <c r="W331" s="17"/>
      <c r="X331" s="17"/>
      <c r="Y331" s="17"/>
      <c r="Z331" s="38"/>
      <c r="AA331" s="38"/>
      <c r="AB331" s="38"/>
      <c r="AC331" s="39"/>
      <c r="AD331" s="39"/>
      <c r="AE331" s="39"/>
      <c r="AF331" s="38"/>
      <c r="AG331" s="38"/>
      <c r="AH331" s="40"/>
      <c r="AI331" s="38"/>
      <c r="AJ331" s="41"/>
    </row>
    <row r="332" spans="1:36">
      <c r="A332" s="33"/>
      <c r="B332" s="33"/>
      <c r="C332" s="33"/>
      <c r="D332" s="33"/>
      <c r="E332" s="33"/>
      <c r="F332" s="33"/>
      <c r="G332" s="33"/>
      <c r="H332" s="33"/>
      <c r="I332" s="33"/>
      <c r="J332" s="33"/>
      <c r="K332" s="33"/>
      <c r="L332" s="33"/>
      <c r="M332" s="33"/>
      <c r="N332" s="33"/>
      <c r="O332" s="33"/>
      <c r="P332" s="33"/>
      <c r="Q332" s="33"/>
      <c r="R332" s="33"/>
      <c r="S332" s="33"/>
      <c r="T332" s="33"/>
      <c r="V332" s="34"/>
      <c r="W332" s="17"/>
      <c r="X332" s="17"/>
      <c r="Y332" s="17"/>
      <c r="Z332" s="33"/>
      <c r="AA332" s="33"/>
      <c r="AB332" s="33"/>
      <c r="AC332" s="35"/>
      <c r="AD332" s="35"/>
      <c r="AE332" s="35"/>
      <c r="AF332" s="33"/>
      <c r="AG332" s="33"/>
      <c r="AH332" s="36"/>
      <c r="AI332" s="33"/>
      <c r="AJ332" s="37"/>
    </row>
    <row r="333" spans="1:36">
      <c r="A333" s="38"/>
      <c r="B333" s="38"/>
      <c r="C333" s="38"/>
      <c r="D333" s="38"/>
      <c r="E333" s="38"/>
      <c r="F333" s="38"/>
      <c r="G333" s="38"/>
      <c r="H333" s="38"/>
      <c r="I333" s="38"/>
      <c r="J333" s="38"/>
      <c r="K333" s="38"/>
      <c r="L333" s="38"/>
      <c r="M333" s="38"/>
      <c r="N333" s="38"/>
      <c r="O333" s="38"/>
      <c r="P333" s="38"/>
      <c r="Q333" s="38"/>
      <c r="R333" s="38"/>
      <c r="S333" s="38"/>
      <c r="T333" s="38"/>
      <c r="V333" s="22"/>
      <c r="W333" s="17"/>
      <c r="X333" s="17"/>
      <c r="Y333" s="17"/>
      <c r="Z333" s="38"/>
      <c r="AA333" s="38"/>
      <c r="AB333" s="38"/>
      <c r="AC333" s="39"/>
      <c r="AD333" s="39"/>
      <c r="AE333" s="39"/>
      <c r="AF333" s="38"/>
      <c r="AG333" s="38"/>
      <c r="AH333" s="40"/>
      <c r="AI333" s="38"/>
      <c r="AJ333" s="41"/>
    </row>
    <row r="334" spans="1:36">
      <c r="A334" s="33"/>
      <c r="B334" s="33"/>
      <c r="C334" s="33"/>
      <c r="D334" s="33"/>
      <c r="E334" s="33"/>
      <c r="F334" s="33"/>
      <c r="G334" s="33"/>
      <c r="H334" s="33"/>
      <c r="I334" s="33"/>
      <c r="J334" s="33"/>
      <c r="K334" s="33"/>
      <c r="L334" s="33"/>
      <c r="M334" s="33"/>
      <c r="N334" s="33"/>
      <c r="O334" s="33"/>
      <c r="P334" s="33"/>
      <c r="Q334" s="33"/>
      <c r="R334" s="33"/>
      <c r="S334" s="33"/>
      <c r="T334" s="33"/>
      <c r="V334" s="34"/>
      <c r="W334" s="17"/>
      <c r="X334" s="17"/>
      <c r="Y334" s="17"/>
      <c r="Z334" s="33"/>
      <c r="AA334" s="33"/>
      <c r="AB334" s="33"/>
      <c r="AC334" s="35"/>
      <c r="AD334" s="35"/>
      <c r="AE334" s="35"/>
      <c r="AF334" s="33"/>
      <c r="AG334" s="33"/>
      <c r="AH334" s="36"/>
      <c r="AI334" s="33"/>
      <c r="AJ334" s="37"/>
    </row>
    <row r="335" spans="1:36">
      <c r="A335" s="38"/>
      <c r="B335" s="38"/>
      <c r="C335" s="38"/>
      <c r="D335" s="38"/>
      <c r="E335" s="38"/>
      <c r="F335" s="38"/>
      <c r="G335" s="38"/>
      <c r="H335" s="38"/>
      <c r="I335" s="38"/>
      <c r="J335" s="38"/>
      <c r="K335" s="38"/>
      <c r="L335" s="38"/>
      <c r="M335" s="38"/>
      <c r="N335" s="38"/>
      <c r="O335" s="38"/>
      <c r="P335" s="38"/>
      <c r="Q335" s="38"/>
      <c r="R335" s="38"/>
      <c r="S335" s="38"/>
      <c r="T335" s="38"/>
      <c r="V335" s="22"/>
      <c r="W335" s="17"/>
      <c r="X335" s="17"/>
      <c r="Y335" s="17"/>
      <c r="Z335" s="38"/>
      <c r="AA335" s="38"/>
      <c r="AB335" s="38"/>
      <c r="AC335" s="39"/>
      <c r="AD335" s="39"/>
      <c r="AE335" s="39"/>
      <c r="AF335" s="38"/>
      <c r="AG335" s="38"/>
      <c r="AH335" s="40"/>
      <c r="AI335" s="38"/>
      <c r="AJ335" s="41"/>
    </row>
    <row r="336" spans="1:36">
      <c r="A336" s="33"/>
      <c r="B336" s="33"/>
      <c r="C336" s="33"/>
      <c r="D336" s="33"/>
      <c r="E336" s="33"/>
      <c r="F336" s="33"/>
      <c r="G336" s="33"/>
      <c r="H336" s="33"/>
      <c r="I336" s="33"/>
      <c r="J336" s="33"/>
      <c r="K336" s="33"/>
      <c r="L336" s="33"/>
      <c r="M336" s="33"/>
      <c r="N336" s="33"/>
      <c r="O336" s="33"/>
      <c r="P336" s="33"/>
      <c r="Q336" s="33"/>
      <c r="R336" s="33"/>
      <c r="S336" s="33"/>
      <c r="T336" s="33"/>
      <c r="V336" s="34"/>
      <c r="W336" s="17"/>
      <c r="X336" s="17"/>
      <c r="Y336" s="17"/>
      <c r="Z336" s="33"/>
      <c r="AA336" s="33"/>
      <c r="AB336" s="33"/>
      <c r="AC336" s="35"/>
      <c r="AD336" s="35"/>
      <c r="AE336" s="35"/>
      <c r="AF336" s="33"/>
      <c r="AG336" s="33"/>
      <c r="AH336" s="36"/>
      <c r="AI336" s="33"/>
      <c r="AJ336" s="37"/>
    </row>
    <row r="337" spans="1:36">
      <c r="A337" s="38"/>
      <c r="B337" s="38"/>
      <c r="C337" s="38"/>
      <c r="D337" s="38"/>
      <c r="E337" s="38"/>
      <c r="F337" s="38"/>
      <c r="G337" s="38"/>
      <c r="H337" s="38"/>
      <c r="I337" s="38"/>
      <c r="J337" s="38"/>
      <c r="K337" s="38"/>
      <c r="L337" s="38"/>
      <c r="M337" s="38"/>
      <c r="N337" s="38"/>
      <c r="O337" s="38"/>
      <c r="P337" s="38"/>
      <c r="Q337" s="38"/>
      <c r="R337" s="38"/>
      <c r="S337" s="38"/>
      <c r="T337" s="38"/>
      <c r="V337" s="22"/>
      <c r="W337" s="17"/>
      <c r="X337" s="17"/>
      <c r="Y337" s="17"/>
      <c r="Z337" s="38"/>
      <c r="AA337" s="38"/>
      <c r="AB337" s="38"/>
      <c r="AC337" s="39"/>
      <c r="AD337" s="39"/>
      <c r="AE337" s="39"/>
      <c r="AF337" s="38"/>
      <c r="AG337" s="38"/>
      <c r="AH337" s="40"/>
      <c r="AI337" s="38"/>
      <c r="AJ337" s="41"/>
    </row>
    <row r="338" spans="1:36">
      <c r="A338" s="33"/>
      <c r="B338" s="33"/>
      <c r="C338" s="33"/>
      <c r="D338" s="33"/>
      <c r="E338" s="33"/>
      <c r="F338" s="33"/>
      <c r="G338" s="33"/>
      <c r="H338" s="33"/>
      <c r="I338" s="33"/>
      <c r="J338" s="33"/>
      <c r="K338" s="33"/>
      <c r="L338" s="33"/>
      <c r="M338" s="33"/>
      <c r="N338" s="33"/>
      <c r="O338" s="33"/>
      <c r="P338" s="33"/>
      <c r="Q338" s="33"/>
      <c r="R338" s="33"/>
      <c r="S338" s="33"/>
      <c r="T338" s="33"/>
      <c r="V338" s="34"/>
      <c r="W338" s="17"/>
      <c r="X338" s="17"/>
      <c r="Y338" s="17"/>
      <c r="Z338" s="33"/>
      <c r="AA338" s="33"/>
      <c r="AB338" s="33"/>
      <c r="AC338" s="35"/>
      <c r="AD338" s="35"/>
      <c r="AE338" s="35"/>
      <c r="AF338" s="33"/>
      <c r="AG338" s="33"/>
      <c r="AH338" s="36"/>
      <c r="AI338" s="33"/>
      <c r="AJ338" s="37"/>
    </row>
    <row r="339" spans="1:36">
      <c r="A339" s="38"/>
      <c r="B339" s="38"/>
      <c r="C339" s="38"/>
      <c r="D339" s="38"/>
      <c r="E339" s="38"/>
      <c r="F339" s="38"/>
      <c r="G339" s="38"/>
      <c r="H339" s="38"/>
      <c r="I339" s="38"/>
      <c r="J339" s="38"/>
      <c r="K339" s="38"/>
      <c r="L339" s="38"/>
      <c r="M339" s="38"/>
      <c r="N339" s="38"/>
      <c r="O339" s="38"/>
      <c r="P339" s="38"/>
      <c r="Q339" s="38"/>
      <c r="R339" s="38"/>
      <c r="S339" s="38"/>
      <c r="T339" s="38"/>
      <c r="V339" s="22"/>
      <c r="W339" s="17"/>
      <c r="X339" s="17"/>
      <c r="Y339" s="17"/>
      <c r="Z339" s="38"/>
      <c r="AA339" s="38"/>
      <c r="AB339" s="38"/>
      <c r="AC339" s="39"/>
      <c r="AD339" s="39"/>
      <c r="AE339" s="39"/>
      <c r="AF339" s="38"/>
      <c r="AG339" s="38"/>
      <c r="AH339" s="40"/>
      <c r="AI339" s="38"/>
      <c r="AJ339" s="41"/>
    </row>
    <row r="340" spans="1:36">
      <c r="A340" s="33"/>
      <c r="B340" s="33"/>
      <c r="C340" s="33"/>
      <c r="D340" s="33"/>
      <c r="E340" s="33"/>
      <c r="F340" s="33"/>
      <c r="G340" s="33"/>
      <c r="H340" s="33"/>
      <c r="I340" s="33"/>
      <c r="J340" s="33"/>
      <c r="K340" s="33"/>
      <c r="L340" s="33"/>
      <c r="M340" s="33"/>
      <c r="N340" s="33"/>
      <c r="O340" s="33"/>
      <c r="P340" s="33"/>
      <c r="Q340" s="33"/>
      <c r="R340" s="33"/>
      <c r="S340" s="33"/>
      <c r="T340" s="33"/>
      <c r="V340" s="34"/>
      <c r="W340" s="17"/>
      <c r="X340" s="17"/>
      <c r="Y340" s="17"/>
      <c r="Z340" s="33"/>
      <c r="AA340" s="33"/>
      <c r="AB340" s="33"/>
      <c r="AC340" s="35"/>
      <c r="AD340" s="35"/>
      <c r="AE340" s="35"/>
      <c r="AF340" s="33"/>
      <c r="AG340" s="33"/>
      <c r="AH340" s="36"/>
      <c r="AI340" s="33"/>
      <c r="AJ340" s="37"/>
    </row>
    <row r="341" spans="1:36">
      <c r="A341" s="38"/>
      <c r="B341" s="38"/>
      <c r="C341" s="38"/>
      <c r="D341" s="38"/>
      <c r="E341" s="38"/>
      <c r="F341" s="38"/>
      <c r="G341" s="38"/>
      <c r="H341" s="38"/>
      <c r="I341" s="38"/>
      <c r="J341" s="38"/>
      <c r="K341" s="38"/>
      <c r="L341" s="38"/>
      <c r="M341" s="38"/>
      <c r="N341" s="38"/>
      <c r="O341" s="38"/>
      <c r="P341" s="38"/>
      <c r="Q341" s="38"/>
      <c r="R341" s="38"/>
      <c r="S341" s="38"/>
      <c r="T341" s="38"/>
      <c r="V341" s="22"/>
      <c r="W341" s="17"/>
      <c r="X341" s="17"/>
      <c r="Y341" s="17"/>
      <c r="Z341" s="38"/>
      <c r="AA341" s="38"/>
      <c r="AB341" s="38"/>
      <c r="AC341" s="39"/>
      <c r="AD341" s="39"/>
      <c r="AE341" s="39"/>
      <c r="AF341" s="38"/>
      <c r="AG341" s="38"/>
      <c r="AH341" s="40"/>
      <c r="AI341" s="38"/>
      <c r="AJ341" s="41"/>
    </row>
    <row r="342" spans="1:36">
      <c r="A342" s="33"/>
      <c r="B342" s="33"/>
      <c r="C342" s="33"/>
      <c r="D342" s="33"/>
      <c r="E342" s="33"/>
      <c r="F342" s="33"/>
      <c r="G342" s="33"/>
      <c r="H342" s="33"/>
      <c r="I342" s="33"/>
      <c r="J342" s="33"/>
      <c r="K342" s="33"/>
      <c r="L342" s="33"/>
      <c r="M342" s="33"/>
      <c r="N342" s="33"/>
      <c r="O342" s="33"/>
      <c r="P342" s="33"/>
      <c r="Q342" s="33"/>
      <c r="R342" s="33"/>
      <c r="S342" s="33"/>
      <c r="T342" s="33"/>
      <c r="V342" s="34"/>
      <c r="W342" s="17"/>
      <c r="X342" s="17"/>
      <c r="Y342" s="17"/>
      <c r="Z342" s="33"/>
      <c r="AA342" s="33"/>
      <c r="AB342" s="33"/>
      <c r="AC342" s="35"/>
      <c r="AD342" s="35"/>
      <c r="AE342" s="35"/>
      <c r="AF342" s="33"/>
      <c r="AG342" s="33"/>
      <c r="AH342" s="36"/>
      <c r="AI342" s="33"/>
      <c r="AJ342" s="37"/>
    </row>
    <row r="343" spans="1:36">
      <c r="A343" s="38"/>
      <c r="B343" s="38"/>
      <c r="C343" s="38"/>
      <c r="D343" s="38"/>
      <c r="E343" s="38"/>
      <c r="F343" s="38"/>
      <c r="G343" s="38"/>
      <c r="H343" s="38"/>
      <c r="I343" s="38"/>
      <c r="J343" s="38"/>
      <c r="K343" s="38"/>
      <c r="L343" s="38"/>
      <c r="M343" s="38"/>
      <c r="N343" s="38"/>
      <c r="O343" s="38"/>
      <c r="P343" s="38"/>
      <c r="Q343" s="38"/>
      <c r="R343" s="38"/>
      <c r="S343" s="38"/>
      <c r="T343" s="38"/>
      <c r="V343" s="22"/>
      <c r="W343" s="17"/>
      <c r="X343" s="17"/>
      <c r="Y343" s="17"/>
      <c r="Z343" s="38"/>
      <c r="AA343" s="38"/>
      <c r="AB343" s="38"/>
      <c r="AC343" s="39"/>
      <c r="AD343" s="39"/>
      <c r="AE343" s="39"/>
      <c r="AF343" s="38"/>
      <c r="AG343" s="38"/>
      <c r="AH343" s="40"/>
      <c r="AI343" s="38"/>
      <c r="AJ343" s="41"/>
    </row>
    <row r="344" spans="1:36">
      <c r="A344" s="33"/>
      <c r="B344" s="33"/>
      <c r="C344" s="33"/>
      <c r="D344" s="33"/>
      <c r="E344" s="33"/>
      <c r="F344" s="33"/>
      <c r="G344" s="33"/>
      <c r="H344" s="33"/>
      <c r="I344" s="33"/>
      <c r="J344" s="33"/>
      <c r="K344" s="33"/>
      <c r="L344" s="33"/>
      <c r="M344" s="33"/>
      <c r="N344" s="33"/>
      <c r="O344" s="33"/>
      <c r="P344" s="33"/>
      <c r="Q344" s="33"/>
      <c r="R344" s="33"/>
      <c r="S344" s="33"/>
      <c r="T344" s="33"/>
      <c r="V344" s="34"/>
      <c r="W344" s="17"/>
      <c r="X344" s="17"/>
      <c r="Y344" s="17"/>
      <c r="Z344" s="33"/>
      <c r="AA344" s="33"/>
      <c r="AB344" s="33"/>
      <c r="AC344" s="35"/>
      <c r="AD344" s="35"/>
      <c r="AE344" s="35"/>
      <c r="AF344" s="33"/>
      <c r="AG344" s="33"/>
      <c r="AH344" s="36"/>
      <c r="AI344" s="33"/>
      <c r="AJ344" s="37"/>
    </row>
    <row r="345" spans="1:36">
      <c r="A345" s="38"/>
      <c r="B345" s="38"/>
      <c r="C345" s="38"/>
      <c r="D345" s="38"/>
      <c r="E345" s="38"/>
      <c r="F345" s="38"/>
      <c r="G345" s="38"/>
      <c r="H345" s="38"/>
      <c r="I345" s="38"/>
      <c r="J345" s="38"/>
      <c r="K345" s="38"/>
      <c r="L345" s="38"/>
      <c r="M345" s="38"/>
      <c r="N345" s="38"/>
      <c r="O345" s="38"/>
      <c r="P345" s="38"/>
      <c r="Q345" s="38"/>
      <c r="R345" s="38"/>
      <c r="S345" s="38"/>
      <c r="T345" s="38"/>
      <c r="V345" s="22"/>
      <c r="W345" s="17"/>
      <c r="X345" s="17"/>
      <c r="Y345" s="17"/>
      <c r="Z345" s="38"/>
      <c r="AA345" s="38"/>
      <c r="AB345" s="38"/>
      <c r="AC345" s="39"/>
      <c r="AD345" s="39"/>
      <c r="AE345" s="39"/>
      <c r="AF345" s="38"/>
      <c r="AG345" s="38"/>
      <c r="AH345" s="40"/>
      <c r="AI345" s="38"/>
      <c r="AJ345" s="41"/>
    </row>
    <row r="346" spans="1:36">
      <c r="A346" s="33"/>
      <c r="B346" s="33"/>
      <c r="C346" s="33"/>
      <c r="D346" s="33"/>
      <c r="E346" s="33"/>
      <c r="F346" s="33"/>
      <c r="G346" s="33"/>
      <c r="H346" s="33"/>
      <c r="I346" s="33"/>
      <c r="J346" s="33"/>
      <c r="K346" s="33"/>
      <c r="L346" s="33"/>
      <c r="M346" s="33"/>
      <c r="N346" s="33"/>
      <c r="O346" s="33"/>
      <c r="P346" s="33"/>
      <c r="Q346" s="33"/>
      <c r="R346" s="33"/>
      <c r="S346" s="33"/>
      <c r="T346" s="33"/>
      <c r="V346" s="34"/>
      <c r="W346" s="17"/>
      <c r="X346" s="17"/>
      <c r="Y346" s="17"/>
      <c r="Z346" s="33"/>
      <c r="AA346" s="33"/>
      <c r="AB346" s="33"/>
      <c r="AC346" s="35"/>
      <c r="AD346" s="35"/>
      <c r="AE346" s="35"/>
      <c r="AF346" s="33"/>
      <c r="AG346" s="33"/>
      <c r="AH346" s="36"/>
      <c r="AI346" s="33"/>
      <c r="AJ346" s="37"/>
    </row>
    <row r="347" spans="1:36">
      <c r="A347" s="38"/>
      <c r="B347" s="38"/>
      <c r="C347" s="38"/>
      <c r="D347" s="38"/>
      <c r="E347" s="38"/>
      <c r="F347" s="38"/>
      <c r="G347" s="38"/>
      <c r="H347" s="38"/>
      <c r="I347" s="38"/>
      <c r="J347" s="38"/>
      <c r="K347" s="38"/>
      <c r="L347" s="38"/>
      <c r="M347" s="38"/>
      <c r="N347" s="38"/>
      <c r="O347" s="38"/>
      <c r="P347" s="38"/>
      <c r="Q347" s="38"/>
      <c r="R347" s="38"/>
      <c r="S347" s="38"/>
      <c r="T347" s="38"/>
      <c r="V347" s="22"/>
      <c r="W347" s="17"/>
      <c r="X347" s="17"/>
      <c r="Y347" s="17"/>
      <c r="Z347" s="38"/>
      <c r="AA347" s="38"/>
      <c r="AB347" s="38"/>
      <c r="AC347" s="39"/>
      <c r="AD347" s="39"/>
      <c r="AE347" s="39"/>
      <c r="AF347" s="38"/>
      <c r="AG347" s="38"/>
      <c r="AH347" s="40"/>
      <c r="AI347" s="38"/>
      <c r="AJ347" s="41"/>
    </row>
    <row r="348" spans="1:36">
      <c r="A348" s="33"/>
      <c r="B348" s="33"/>
      <c r="C348" s="33"/>
      <c r="D348" s="33"/>
      <c r="E348" s="33"/>
      <c r="F348" s="33"/>
      <c r="G348" s="33"/>
      <c r="H348" s="33"/>
      <c r="I348" s="33"/>
      <c r="J348" s="33"/>
      <c r="K348" s="33"/>
      <c r="L348" s="33"/>
      <c r="M348" s="33"/>
      <c r="N348" s="33"/>
      <c r="O348" s="33"/>
      <c r="P348" s="33"/>
      <c r="Q348" s="33"/>
      <c r="R348" s="33"/>
      <c r="S348" s="33"/>
      <c r="T348" s="33"/>
      <c r="V348" s="34"/>
      <c r="W348" s="17"/>
      <c r="X348" s="17"/>
      <c r="Y348" s="17"/>
      <c r="Z348" s="33"/>
      <c r="AA348" s="33"/>
      <c r="AB348" s="33"/>
      <c r="AC348" s="35"/>
      <c r="AD348" s="35"/>
      <c r="AE348" s="35"/>
      <c r="AF348" s="33"/>
      <c r="AG348" s="33"/>
      <c r="AH348" s="36"/>
      <c r="AI348" s="33"/>
      <c r="AJ348" s="37"/>
    </row>
    <row r="349" spans="1:36">
      <c r="A349" s="38"/>
      <c r="B349" s="38"/>
      <c r="C349" s="38"/>
      <c r="D349" s="38"/>
      <c r="E349" s="38"/>
      <c r="F349" s="38"/>
      <c r="G349" s="38"/>
      <c r="H349" s="38"/>
      <c r="I349" s="38"/>
      <c r="J349" s="38"/>
      <c r="K349" s="38"/>
      <c r="L349" s="38"/>
      <c r="M349" s="38"/>
      <c r="N349" s="38"/>
      <c r="O349" s="38"/>
      <c r="P349" s="38"/>
      <c r="Q349" s="38"/>
      <c r="R349" s="38"/>
      <c r="S349" s="38"/>
      <c r="T349" s="38"/>
      <c r="V349" s="22"/>
      <c r="W349" s="17"/>
      <c r="X349" s="17"/>
      <c r="Y349" s="17"/>
      <c r="Z349" s="38"/>
      <c r="AA349" s="38"/>
      <c r="AB349" s="38"/>
      <c r="AC349" s="39"/>
      <c r="AD349" s="39"/>
      <c r="AE349" s="39"/>
      <c r="AF349" s="38"/>
      <c r="AG349" s="38"/>
      <c r="AH349" s="40"/>
      <c r="AI349" s="38"/>
      <c r="AJ349" s="41"/>
    </row>
    <row r="350" spans="1:36">
      <c r="A350" s="33"/>
      <c r="B350" s="33"/>
      <c r="C350" s="33"/>
      <c r="D350" s="33"/>
      <c r="E350" s="33"/>
      <c r="F350" s="33"/>
      <c r="G350" s="33"/>
      <c r="H350" s="33"/>
      <c r="I350" s="33"/>
      <c r="J350" s="33"/>
      <c r="K350" s="33"/>
      <c r="L350" s="33"/>
      <c r="M350" s="33"/>
      <c r="N350" s="33"/>
      <c r="O350" s="33"/>
      <c r="P350" s="33"/>
      <c r="Q350" s="33"/>
      <c r="R350" s="33"/>
      <c r="S350" s="33"/>
      <c r="T350" s="33"/>
      <c r="V350" s="34"/>
      <c r="W350" s="17"/>
      <c r="X350" s="17"/>
      <c r="Y350" s="17"/>
      <c r="Z350" s="33"/>
      <c r="AA350" s="33"/>
      <c r="AB350" s="33"/>
      <c r="AC350" s="35"/>
      <c r="AD350" s="35"/>
      <c r="AE350" s="35"/>
      <c r="AF350" s="33"/>
      <c r="AG350" s="33"/>
      <c r="AH350" s="36"/>
      <c r="AI350" s="33"/>
      <c r="AJ350" s="37"/>
    </row>
    <row r="351" spans="1:36">
      <c r="A351" s="38"/>
      <c r="B351" s="38"/>
      <c r="C351" s="38"/>
      <c r="D351" s="38"/>
      <c r="E351" s="38"/>
      <c r="F351" s="38"/>
      <c r="G351" s="38"/>
      <c r="H351" s="38"/>
      <c r="I351" s="38"/>
      <c r="J351" s="38"/>
      <c r="K351" s="38"/>
      <c r="L351" s="38"/>
      <c r="M351" s="38"/>
      <c r="N351" s="38"/>
      <c r="O351" s="38"/>
      <c r="P351" s="38"/>
      <c r="Q351" s="38"/>
      <c r="R351" s="38"/>
      <c r="S351" s="38"/>
      <c r="T351" s="38"/>
      <c r="V351" s="22"/>
      <c r="W351" s="17"/>
      <c r="X351" s="17"/>
      <c r="Y351" s="17"/>
      <c r="Z351" s="38"/>
      <c r="AA351" s="38"/>
      <c r="AB351" s="38"/>
      <c r="AC351" s="39"/>
      <c r="AD351" s="39"/>
      <c r="AE351" s="39"/>
      <c r="AF351" s="38"/>
      <c r="AG351" s="38"/>
      <c r="AH351" s="40"/>
      <c r="AI351" s="38"/>
      <c r="AJ351" s="41"/>
    </row>
    <row r="352" spans="1:36">
      <c r="A352" s="33"/>
      <c r="B352" s="33"/>
      <c r="C352" s="33"/>
      <c r="D352" s="33"/>
      <c r="E352" s="33"/>
      <c r="F352" s="33"/>
      <c r="G352" s="33"/>
      <c r="H352" s="33"/>
      <c r="I352" s="33"/>
      <c r="J352" s="33"/>
      <c r="K352" s="33"/>
      <c r="L352" s="33"/>
      <c r="M352" s="33"/>
      <c r="N352" s="33"/>
      <c r="O352" s="33"/>
      <c r="P352" s="33"/>
      <c r="Q352" s="33"/>
      <c r="R352" s="33"/>
      <c r="S352" s="33"/>
      <c r="T352" s="33"/>
      <c r="V352" s="34"/>
      <c r="W352" s="17"/>
      <c r="X352" s="17"/>
      <c r="Y352" s="17"/>
      <c r="Z352" s="33"/>
      <c r="AA352" s="33"/>
      <c r="AB352" s="33"/>
      <c r="AC352" s="35"/>
      <c r="AD352" s="35"/>
      <c r="AE352" s="35"/>
      <c r="AF352" s="33"/>
      <c r="AG352" s="33"/>
      <c r="AH352" s="36"/>
      <c r="AI352" s="33"/>
      <c r="AJ352" s="37"/>
    </row>
    <row r="353" spans="1:36">
      <c r="A353" s="38"/>
      <c r="B353" s="38"/>
      <c r="C353" s="38"/>
      <c r="D353" s="38"/>
      <c r="E353" s="38"/>
      <c r="F353" s="38"/>
      <c r="G353" s="38"/>
      <c r="H353" s="38"/>
      <c r="I353" s="38"/>
      <c r="J353" s="38"/>
      <c r="K353" s="38"/>
      <c r="L353" s="38"/>
      <c r="M353" s="38"/>
      <c r="N353" s="38"/>
      <c r="O353" s="38"/>
      <c r="P353" s="38"/>
      <c r="Q353" s="38"/>
      <c r="R353" s="38"/>
      <c r="S353" s="38"/>
      <c r="T353" s="38"/>
      <c r="V353" s="22"/>
      <c r="W353" s="17"/>
      <c r="X353" s="17"/>
      <c r="Y353" s="17"/>
      <c r="Z353" s="38"/>
      <c r="AA353" s="38"/>
      <c r="AB353" s="38"/>
      <c r="AC353" s="39"/>
      <c r="AD353" s="39"/>
      <c r="AE353" s="39"/>
      <c r="AF353" s="38"/>
      <c r="AG353" s="38"/>
      <c r="AH353" s="40"/>
      <c r="AI353" s="38"/>
      <c r="AJ353" s="41"/>
    </row>
    <row r="354" spans="1:36">
      <c r="A354" s="33"/>
      <c r="B354" s="33"/>
      <c r="C354" s="33"/>
      <c r="D354" s="33"/>
      <c r="E354" s="33"/>
      <c r="F354" s="33"/>
      <c r="G354" s="33"/>
      <c r="H354" s="33"/>
      <c r="I354" s="33"/>
      <c r="J354" s="33"/>
      <c r="K354" s="33"/>
      <c r="L354" s="33"/>
      <c r="M354" s="33"/>
      <c r="N354" s="33"/>
      <c r="O354" s="33"/>
      <c r="P354" s="33"/>
      <c r="Q354" s="33"/>
      <c r="R354" s="33"/>
      <c r="S354" s="33"/>
      <c r="T354" s="33"/>
      <c r="V354" s="34"/>
      <c r="W354" s="17"/>
      <c r="X354" s="17"/>
      <c r="Y354" s="17"/>
      <c r="Z354" s="33"/>
      <c r="AA354" s="33"/>
      <c r="AB354" s="33"/>
      <c r="AC354" s="35"/>
      <c r="AD354" s="35"/>
      <c r="AE354" s="35"/>
      <c r="AF354" s="33"/>
      <c r="AG354" s="33"/>
      <c r="AH354" s="36"/>
      <c r="AI354" s="33"/>
      <c r="AJ354" s="37"/>
    </row>
    <row r="355" spans="1:36">
      <c r="A355" s="38"/>
      <c r="B355" s="38"/>
      <c r="C355" s="38"/>
      <c r="D355" s="38"/>
      <c r="E355" s="38"/>
      <c r="F355" s="38"/>
      <c r="G355" s="38"/>
      <c r="H355" s="38"/>
      <c r="I355" s="38"/>
      <c r="J355" s="38"/>
      <c r="K355" s="38"/>
      <c r="L355" s="38"/>
      <c r="M355" s="38"/>
      <c r="N355" s="38"/>
      <c r="O355" s="38"/>
      <c r="P355" s="38"/>
      <c r="Q355" s="38"/>
      <c r="R355" s="38"/>
      <c r="S355" s="38"/>
      <c r="T355" s="38"/>
      <c r="V355" s="22"/>
      <c r="W355" s="17"/>
      <c r="X355" s="17"/>
      <c r="Y355" s="17"/>
      <c r="Z355" s="38"/>
      <c r="AA355" s="38"/>
      <c r="AB355" s="38"/>
      <c r="AC355" s="39"/>
      <c r="AD355" s="39"/>
      <c r="AE355" s="39"/>
      <c r="AF355" s="38"/>
      <c r="AG355" s="38"/>
      <c r="AH355" s="40"/>
      <c r="AI355" s="38"/>
      <c r="AJ355" s="41"/>
    </row>
    <row r="356" spans="1:36">
      <c r="A356" s="33"/>
      <c r="B356" s="33"/>
      <c r="C356" s="33"/>
      <c r="D356" s="33"/>
      <c r="E356" s="33"/>
      <c r="F356" s="33"/>
      <c r="G356" s="33"/>
      <c r="H356" s="33"/>
      <c r="I356" s="33"/>
      <c r="J356" s="33"/>
      <c r="K356" s="33"/>
      <c r="L356" s="33"/>
      <c r="M356" s="33"/>
      <c r="N356" s="33"/>
      <c r="O356" s="33"/>
      <c r="P356" s="33"/>
      <c r="Q356" s="33"/>
      <c r="R356" s="33"/>
      <c r="S356" s="33"/>
      <c r="T356" s="33"/>
      <c r="V356" s="34"/>
      <c r="W356" s="17"/>
      <c r="X356" s="17"/>
      <c r="Y356" s="17"/>
      <c r="Z356" s="33"/>
      <c r="AA356" s="33"/>
      <c r="AB356" s="33"/>
      <c r="AC356" s="35"/>
      <c r="AD356" s="35"/>
      <c r="AE356" s="35"/>
      <c r="AF356" s="33"/>
      <c r="AG356" s="33"/>
      <c r="AH356" s="36"/>
      <c r="AI356" s="33"/>
      <c r="AJ356" s="37"/>
    </row>
    <row r="357" spans="1:36">
      <c r="A357" s="38"/>
      <c r="B357" s="38"/>
      <c r="C357" s="38"/>
      <c r="D357" s="38"/>
      <c r="E357" s="38"/>
      <c r="F357" s="38"/>
      <c r="G357" s="38"/>
      <c r="H357" s="38"/>
      <c r="I357" s="38"/>
      <c r="J357" s="38"/>
      <c r="K357" s="38"/>
      <c r="L357" s="38"/>
      <c r="M357" s="38"/>
      <c r="N357" s="38"/>
      <c r="O357" s="38"/>
      <c r="P357" s="38"/>
      <c r="Q357" s="38"/>
      <c r="R357" s="38"/>
      <c r="S357" s="38"/>
      <c r="T357" s="38"/>
      <c r="V357" s="22"/>
      <c r="W357" s="17"/>
      <c r="X357" s="17"/>
      <c r="Y357" s="17"/>
      <c r="Z357" s="38"/>
      <c r="AA357" s="38"/>
      <c r="AB357" s="38"/>
      <c r="AC357" s="39"/>
      <c r="AD357" s="39"/>
      <c r="AE357" s="39"/>
      <c r="AF357" s="38"/>
      <c r="AG357" s="38"/>
      <c r="AH357" s="40"/>
      <c r="AI357" s="38"/>
      <c r="AJ357" s="41"/>
    </row>
    <row r="358" spans="1:36">
      <c r="A358" s="33"/>
      <c r="B358" s="33"/>
      <c r="C358" s="33"/>
      <c r="D358" s="33"/>
      <c r="E358" s="33"/>
      <c r="F358" s="33"/>
      <c r="G358" s="33"/>
      <c r="H358" s="33"/>
      <c r="I358" s="33"/>
      <c r="J358" s="33"/>
      <c r="K358" s="33"/>
      <c r="L358" s="33"/>
      <c r="M358" s="33"/>
      <c r="N358" s="33"/>
      <c r="O358" s="33"/>
      <c r="P358" s="33"/>
      <c r="Q358" s="33"/>
      <c r="R358" s="33"/>
      <c r="S358" s="33"/>
      <c r="T358" s="33"/>
      <c r="V358" s="34"/>
      <c r="W358" s="17"/>
      <c r="X358" s="17"/>
      <c r="Y358" s="17"/>
      <c r="Z358" s="33"/>
      <c r="AA358" s="33"/>
      <c r="AB358" s="33"/>
      <c r="AC358" s="35"/>
      <c r="AD358" s="35"/>
      <c r="AE358" s="35"/>
      <c r="AF358" s="33"/>
      <c r="AG358" s="33"/>
      <c r="AH358" s="36"/>
      <c r="AI358" s="33"/>
      <c r="AJ358" s="37"/>
    </row>
    <row r="359" spans="1:36">
      <c r="A359" s="38"/>
      <c r="B359" s="38"/>
      <c r="C359" s="38"/>
      <c r="D359" s="38"/>
      <c r="E359" s="38"/>
      <c r="F359" s="38"/>
      <c r="G359" s="38"/>
      <c r="H359" s="38"/>
      <c r="I359" s="38"/>
      <c r="J359" s="38"/>
      <c r="K359" s="38"/>
      <c r="L359" s="38"/>
      <c r="M359" s="38"/>
      <c r="N359" s="38"/>
      <c r="O359" s="38"/>
      <c r="P359" s="38"/>
      <c r="Q359" s="38"/>
      <c r="R359" s="38"/>
      <c r="S359" s="38"/>
      <c r="T359" s="38"/>
      <c r="V359" s="22"/>
      <c r="W359" s="17"/>
      <c r="X359" s="17"/>
      <c r="Y359" s="17"/>
      <c r="Z359" s="38"/>
      <c r="AA359" s="38"/>
      <c r="AB359" s="38"/>
      <c r="AC359" s="39"/>
      <c r="AD359" s="39"/>
      <c r="AE359" s="39"/>
      <c r="AF359" s="38"/>
      <c r="AG359" s="38"/>
      <c r="AH359" s="40"/>
      <c r="AI359" s="38"/>
      <c r="AJ359" s="41"/>
    </row>
    <row r="360" spans="1:36">
      <c r="A360" s="33"/>
      <c r="B360" s="33"/>
      <c r="C360" s="33"/>
      <c r="D360" s="33"/>
      <c r="E360" s="33"/>
      <c r="F360" s="33"/>
      <c r="G360" s="33"/>
      <c r="H360" s="33"/>
      <c r="I360" s="33"/>
      <c r="J360" s="33"/>
      <c r="K360" s="33"/>
      <c r="L360" s="33"/>
      <c r="M360" s="33"/>
      <c r="N360" s="33"/>
      <c r="O360" s="33"/>
      <c r="P360" s="33"/>
      <c r="Q360" s="33"/>
      <c r="R360" s="33"/>
      <c r="S360" s="33"/>
      <c r="T360" s="33"/>
      <c r="V360" s="34"/>
      <c r="W360" s="17"/>
      <c r="X360" s="17"/>
      <c r="Y360" s="17"/>
      <c r="Z360" s="33"/>
      <c r="AA360" s="33"/>
      <c r="AB360" s="33"/>
      <c r="AC360" s="35"/>
      <c r="AD360" s="35"/>
      <c r="AE360" s="35"/>
      <c r="AF360" s="33"/>
      <c r="AG360" s="33"/>
      <c r="AH360" s="36"/>
      <c r="AI360" s="33"/>
      <c r="AJ360" s="37"/>
    </row>
    <row r="361" spans="1:36">
      <c r="A361" s="38"/>
      <c r="B361" s="38"/>
      <c r="C361" s="38"/>
      <c r="D361" s="38"/>
      <c r="E361" s="38"/>
      <c r="F361" s="38"/>
      <c r="G361" s="38"/>
      <c r="H361" s="38"/>
      <c r="I361" s="38"/>
      <c r="J361" s="38"/>
      <c r="K361" s="38"/>
      <c r="L361" s="38"/>
      <c r="M361" s="38"/>
      <c r="N361" s="38"/>
      <c r="O361" s="38"/>
      <c r="P361" s="38"/>
      <c r="Q361" s="38"/>
      <c r="R361" s="38"/>
      <c r="S361" s="38"/>
      <c r="T361" s="38"/>
      <c r="V361" s="22"/>
      <c r="W361" s="17"/>
      <c r="X361" s="17"/>
      <c r="Y361" s="17"/>
      <c r="Z361" s="38"/>
      <c r="AA361" s="38"/>
      <c r="AB361" s="38"/>
      <c r="AC361" s="39"/>
      <c r="AD361" s="39"/>
      <c r="AE361" s="39"/>
      <c r="AF361" s="38"/>
      <c r="AG361" s="38"/>
      <c r="AH361" s="40"/>
      <c r="AI361" s="38"/>
      <c r="AJ361" s="41"/>
    </row>
    <row r="362" spans="1:36">
      <c r="A362" s="33"/>
      <c r="B362" s="33"/>
      <c r="C362" s="33"/>
      <c r="D362" s="33"/>
      <c r="E362" s="33"/>
      <c r="F362" s="33"/>
      <c r="G362" s="33"/>
      <c r="H362" s="33"/>
      <c r="I362" s="33"/>
      <c r="J362" s="33"/>
      <c r="K362" s="33"/>
      <c r="L362" s="33"/>
      <c r="M362" s="33"/>
      <c r="N362" s="33"/>
      <c r="O362" s="33"/>
      <c r="P362" s="33"/>
      <c r="Q362" s="33"/>
      <c r="R362" s="33"/>
      <c r="S362" s="33"/>
      <c r="T362" s="33"/>
      <c r="V362" s="34"/>
      <c r="W362" s="17"/>
      <c r="X362" s="17"/>
      <c r="Y362" s="17"/>
      <c r="Z362" s="33"/>
      <c r="AA362" s="33"/>
      <c r="AB362" s="33"/>
      <c r="AC362" s="35"/>
      <c r="AD362" s="35"/>
      <c r="AE362" s="35"/>
      <c r="AF362" s="33"/>
      <c r="AG362" s="33"/>
      <c r="AH362" s="36"/>
      <c r="AI362" s="33"/>
      <c r="AJ362" s="37"/>
    </row>
    <row r="363" spans="1:36">
      <c r="A363" s="38"/>
      <c r="B363" s="38"/>
      <c r="C363" s="38"/>
      <c r="D363" s="38"/>
      <c r="E363" s="38"/>
      <c r="F363" s="38"/>
      <c r="G363" s="38"/>
      <c r="H363" s="38"/>
      <c r="I363" s="38"/>
      <c r="J363" s="38"/>
      <c r="K363" s="38"/>
      <c r="L363" s="38"/>
      <c r="M363" s="38"/>
      <c r="N363" s="38"/>
      <c r="O363" s="38"/>
      <c r="P363" s="38"/>
      <c r="Q363" s="38"/>
      <c r="R363" s="38"/>
      <c r="S363" s="38"/>
      <c r="T363" s="38"/>
      <c r="V363" s="22"/>
      <c r="W363" s="17"/>
      <c r="X363" s="17"/>
      <c r="Y363" s="17"/>
      <c r="Z363" s="38"/>
      <c r="AA363" s="38"/>
      <c r="AB363" s="38"/>
      <c r="AC363" s="39"/>
      <c r="AD363" s="39"/>
      <c r="AE363" s="39"/>
      <c r="AF363" s="38"/>
      <c r="AG363" s="38"/>
      <c r="AH363" s="40"/>
      <c r="AI363" s="38"/>
      <c r="AJ363" s="41"/>
    </row>
    <row r="364" spans="1:36">
      <c r="A364" s="33"/>
      <c r="B364" s="33"/>
      <c r="C364" s="33"/>
      <c r="D364" s="33"/>
      <c r="E364" s="33"/>
      <c r="F364" s="33"/>
      <c r="G364" s="33"/>
      <c r="H364" s="33"/>
      <c r="I364" s="33"/>
      <c r="J364" s="33"/>
      <c r="K364" s="33"/>
      <c r="L364" s="33"/>
      <c r="M364" s="33"/>
      <c r="N364" s="33"/>
      <c r="O364" s="33"/>
      <c r="P364" s="33"/>
      <c r="Q364" s="33"/>
      <c r="R364" s="33"/>
      <c r="S364" s="33"/>
      <c r="T364" s="33"/>
      <c r="V364" s="34"/>
      <c r="W364" s="17"/>
      <c r="X364" s="17"/>
      <c r="Y364" s="17"/>
      <c r="Z364" s="33"/>
      <c r="AA364" s="33"/>
      <c r="AB364" s="33"/>
      <c r="AC364" s="35"/>
      <c r="AD364" s="35"/>
      <c r="AE364" s="35"/>
      <c r="AF364" s="33"/>
      <c r="AG364" s="33"/>
      <c r="AH364" s="36"/>
      <c r="AI364" s="33"/>
      <c r="AJ364" s="37"/>
    </row>
    <row r="365" spans="1:36">
      <c r="A365" s="38"/>
      <c r="B365" s="38"/>
      <c r="C365" s="38"/>
      <c r="D365" s="38"/>
      <c r="E365" s="38"/>
      <c r="F365" s="38"/>
      <c r="G365" s="38"/>
      <c r="H365" s="38"/>
      <c r="I365" s="38"/>
      <c r="J365" s="38"/>
      <c r="K365" s="38"/>
      <c r="L365" s="38"/>
      <c r="M365" s="38"/>
      <c r="N365" s="38"/>
      <c r="O365" s="38"/>
      <c r="P365" s="38"/>
      <c r="Q365" s="38"/>
      <c r="R365" s="38"/>
      <c r="S365" s="38"/>
      <c r="T365" s="38"/>
      <c r="V365" s="22"/>
      <c r="W365" s="17"/>
      <c r="X365" s="17"/>
      <c r="Y365" s="17"/>
      <c r="Z365" s="38"/>
      <c r="AA365" s="38"/>
      <c r="AB365" s="38"/>
      <c r="AC365" s="39"/>
      <c r="AD365" s="39"/>
      <c r="AE365" s="39"/>
      <c r="AF365" s="38"/>
      <c r="AG365" s="38"/>
      <c r="AH365" s="40"/>
      <c r="AI365" s="38"/>
      <c r="AJ365" s="41"/>
    </row>
    <row r="366" spans="1:36">
      <c r="A366" s="33"/>
      <c r="B366" s="33"/>
      <c r="C366" s="33"/>
      <c r="D366" s="33"/>
      <c r="E366" s="33"/>
      <c r="F366" s="33"/>
      <c r="G366" s="33"/>
      <c r="H366" s="33"/>
      <c r="I366" s="33"/>
      <c r="J366" s="33"/>
      <c r="K366" s="33"/>
      <c r="L366" s="33"/>
      <c r="M366" s="33"/>
      <c r="N366" s="33"/>
      <c r="O366" s="33"/>
      <c r="P366" s="33"/>
      <c r="Q366" s="33"/>
      <c r="R366" s="33"/>
      <c r="S366" s="33"/>
      <c r="T366" s="33"/>
      <c r="V366" s="34"/>
      <c r="W366" s="17"/>
      <c r="X366" s="17"/>
      <c r="Y366" s="17"/>
      <c r="Z366" s="33"/>
      <c r="AA366" s="33"/>
      <c r="AB366" s="33"/>
      <c r="AC366" s="35"/>
      <c r="AD366" s="35"/>
      <c r="AE366" s="35"/>
      <c r="AF366" s="33"/>
      <c r="AG366" s="33"/>
      <c r="AH366" s="36"/>
      <c r="AI366" s="33"/>
      <c r="AJ366" s="37"/>
    </row>
    <row r="367" spans="1:36">
      <c r="A367" s="38"/>
      <c r="B367" s="38"/>
      <c r="C367" s="38"/>
      <c r="D367" s="38"/>
      <c r="E367" s="38"/>
      <c r="F367" s="38"/>
      <c r="G367" s="38"/>
      <c r="H367" s="38"/>
      <c r="I367" s="38"/>
      <c r="J367" s="38"/>
      <c r="K367" s="38"/>
      <c r="L367" s="38"/>
      <c r="M367" s="38"/>
      <c r="N367" s="38"/>
      <c r="O367" s="38"/>
      <c r="P367" s="38"/>
      <c r="Q367" s="38"/>
      <c r="R367" s="38"/>
      <c r="S367" s="38"/>
      <c r="T367" s="38"/>
      <c r="V367" s="22"/>
      <c r="W367" s="17"/>
      <c r="X367" s="17"/>
      <c r="Y367" s="17"/>
      <c r="Z367" s="38"/>
      <c r="AA367" s="38"/>
      <c r="AB367" s="38"/>
      <c r="AC367" s="39"/>
      <c r="AD367" s="39"/>
      <c r="AE367" s="39"/>
      <c r="AF367" s="38"/>
      <c r="AG367" s="38"/>
      <c r="AH367" s="40"/>
      <c r="AI367" s="38"/>
      <c r="AJ367" s="41"/>
    </row>
    <row r="368" spans="1:36">
      <c r="A368" s="33"/>
      <c r="B368" s="33"/>
      <c r="C368" s="33"/>
      <c r="D368" s="33"/>
      <c r="E368" s="33"/>
      <c r="F368" s="33"/>
      <c r="G368" s="33"/>
      <c r="H368" s="33"/>
      <c r="I368" s="33"/>
      <c r="J368" s="33"/>
      <c r="K368" s="33"/>
      <c r="L368" s="33"/>
      <c r="M368" s="33"/>
      <c r="N368" s="33"/>
      <c r="O368" s="33"/>
      <c r="P368" s="33"/>
      <c r="Q368" s="33"/>
      <c r="R368" s="33"/>
      <c r="S368" s="33"/>
      <c r="T368" s="33"/>
      <c r="V368" s="34"/>
      <c r="W368" s="17"/>
      <c r="X368" s="17"/>
      <c r="Y368" s="17"/>
      <c r="Z368" s="33"/>
      <c r="AA368" s="33"/>
      <c r="AB368" s="33"/>
      <c r="AC368" s="35"/>
      <c r="AD368" s="35"/>
      <c r="AE368" s="35"/>
      <c r="AF368" s="33"/>
      <c r="AG368" s="33"/>
      <c r="AH368" s="36"/>
      <c r="AI368" s="33"/>
      <c r="AJ368" s="37"/>
    </row>
    <row r="369" spans="1:36">
      <c r="A369" s="38"/>
      <c r="B369" s="38"/>
      <c r="C369" s="38"/>
      <c r="D369" s="38"/>
      <c r="E369" s="38"/>
      <c r="F369" s="38"/>
      <c r="G369" s="38"/>
      <c r="H369" s="38"/>
      <c r="I369" s="38"/>
      <c r="J369" s="38"/>
      <c r="K369" s="38"/>
      <c r="L369" s="38"/>
      <c r="M369" s="38"/>
      <c r="N369" s="38"/>
      <c r="O369" s="38"/>
      <c r="P369" s="38"/>
      <c r="Q369" s="38"/>
      <c r="R369" s="38"/>
      <c r="S369" s="38"/>
      <c r="T369" s="38"/>
      <c r="V369" s="22"/>
      <c r="W369" s="17"/>
      <c r="X369" s="17"/>
      <c r="Y369" s="17"/>
      <c r="Z369" s="38"/>
      <c r="AA369" s="38"/>
      <c r="AB369" s="38"/>
      <c r="AC369" s="39"/>
      <c r="AD369" s="39"/>
      <c r="AE369" s="39"/>
      <c r="AF369" s="38"/>
      <c r="AG369" s="38"/>
      <c r="AH369" s="40"/>
      <c r="AI369" s="38"/>
      <c r="AJ369" s="41"/>
    </row>
    <row r="370" spans="1:36">
      <c r="A370" s="33"/>
      <c r="B370" s="33"/>
      <c r="C370" s="33"/>
      <c r="D370" s="33"/>
      <c r="E370" s="33"/>
      <c r="F370" s="33"/>
      <c r="G370" s="33"/>
      <c r="H370" s="33"/>
      <c r="I370" s="33"/>
      <c r="J370" s="33"/>
      <c r="K370" s="33"/>
      <c r="L370" s="33"/>
      <c r="M370" s="33"/>
      <c r="N370" s="33"/>
      <c r="O370" s="33"/>
      <c r="P370" s="33"/>
      <c r="Q370" s="33"/>
      <c r="R370" s="33"/>
      <c r="S370" s="33"/>
      <c r="T370" s="33"/>
      <c r="V370" s="34"/>
      <c r="W370" s="17"/>
      <c r="X370" s="17"/>
      <c r="Y370" s="17"/>
      <c r="Z370" s="33"/>
      <c r="AA370" s="33"/>
      <c r="AB370" s="33"/>
      <c r="AC370" s="35"/>
      <c r="AD370" s="35"/>
      <c r="AE370" s="35"/>
      <c r="AF370" s="33"/>
      <c r="AG370" s="33"/>
      <c r="AH370" s="36"/>
      <c r="AI370" s="33"/>
      <c r="AJ370" s="37"/>
    </row>
    <row r="371" spans="1:36">
      <c r="A371" s="38"/>
      <c r="B371" s="38"/>
      <c r="C371" s="38"/>
      <c r="D371" s="38"/>
      <c r="E371" s="38"/>
      <c r="F371" s="38"/>
      <c r="G371" s="38"/>
      <c r="H371" s="38"/>
      <c r="I371" s="38"/>
      <c r="J371" s="38"/>
      <c r="K371" s="38"/>
      <c r="L371" s="38"/>
      <c r="M371" s="38"/>
      <c r="N371" s="38"/>
      <c r="O371" s="38"/>
      <c r="P371" s="38"/>
      <c r="Q371" s="38"/>
      <c r="R371" s="38"/>
      <c r="S371" s="38"/>
      <c r="T371" s="38"/>
      <c r="V371" s="22"/>
      <c r="W371" s="17"/>
      <c r="X371" s="17"/>
      <c r="Y371" s="17"/>
      <c r="Z371" s="38"/>
      <c r="AA371" s="38"/>
      <c r="AB371" s="38"/>
      <c r="AC371" s="39"/>
      <c r="AD371" s="39"/>
      <c r="AE371" s="39"/>
      <c r="AF371" s="38"/>
      <c r="AG371" s="38"/>
      <c r="AH371" s="40"/>
      <c r="AI371" s="38"/>
      <c r="AJ371" s="41"/>
    </row>
    <row r="372" spans="1:36">
      <c r="A372" s="33"/>
      <c r="B372" s="33"/>
      <c r="C372" s="33"/>
      <c r="D372" s="33"/>
      <c r="E372" s="33"/>
      <c r="F372" s="33"/>
      <c r="G372" s="33"/>
      <c r="H372" s="33"/>
      <c r="I372" s="33"/>
      <c r="J372" s="33"/>
      <c r="K372" s="33"/>
      <c r="L372" s="33"/>
      <c r="M372" s="33"/>
      <c r="N372" s="33"/>
      <c r="O372" s="33"/>
      <c r="P372" s="33"/>
      <c r="Q372" s="33"/>
      <c r="R372" s="33"/>
      <c r="S372" s="33"/>
      <c r="T372" s="33"/>
      <c r="V372" s="34"/>
      <c r="W372" s="17"/>
      <c r="X372" s="17"/>
      <c r="Y372" s="17"/>
      <c r="Z372" s="33"/>
      <c r="AA372" s="33"/>
      <c r="AB372" s="33"/>
      <c r="AC372" s="35"/>
      <c r="AD372" s="35"/>
      <c r="AE372" s="35"/>
      <c r="AF372" s="33"/>
      <c r="AG372" s="33"/>
      <c r="AH372" s="36"/>
      <c r="AI372" s="33"/>
      <c r="AJ372" s="37"/>
    </row>
    <row r="373" spans="1:36">
      <c r="A373" s="38"/>
      <c r="B373" s="38"/>
      <c r="C373" s="38"/>
      <c r="D373" s="38"/>
      <c r="E373" s="38"/>
      <c r="F373" s="38"/>
      <c r="G373" s="38"/>
      <c r="H373" s="38"/>
      <c r="I373" s="38"/>
      <c r="J373" s="38"/>
      <c r="K373" s="38"/>
      <c r="L373" s="38"/>
      <c r="M373" s="38"/>
      <c r="N373" s="38"/>
      <c r="O373" s="38"/>
      <c r="P373" s="38"/>
      <c r="Q373" s="38"/>
      <c r="R373" s="38"/>
      <c r="S373" s="38"/>
      <c r="T373" s="38"/>
      <c r="V373" s="22"/>
      <c r="W373" s="17"/>
      <c r="X373" s="17"/>
      <c r="Y373" s="17"/>
      <c r="Z373" s="38"/>
      <c r="AA373" s="38"/>
      <c r="AB373" s="38"/>
      <c r="AC373" s="39"/>
      <c r="AD373" s="39"/>
      <c r="AE373" s="39"/>
      <c r="AF373" s="38"/>
      <c r="AG373" s="38"/>
      <c r="AH373" s="40"/>
      <c r="AI373" s="38"/>
      <c r="AJ373" s="41"/>
    </row>
    <row r="374" spans="1:36">
      <c r="A374" s="33"/>
      <c r="B374" s="33"/>
      <c r="C374" s="33"/>
      <c r="D374" s="33"/>
      <c r="E374" s="33"/>
      <c r="F374" s="33"/>
      <c r="G374" s="33"/>
      <c r="H374" s="33"/>
      <c r="I374" s="33"/>
      <c r="J374" s="33"/>
      <c r="K374" s="33"/>
      <c r="L374" s="33"/>
      <c r="M374" s="33"/>
      <c r="N374" s="33"/>
      <c r="O374" s="33"/>
      <c r="P374" s="33"/>
      <c r="Q374" s="33"/>
      <c r="R374" s="33"/>
      <c r="S374" s="33"/>
      <c r="T374" s="33"/>
      <c r="V374" s="34"/>
      <c r="W374" s="17"/>
      <c r="X374" s="17"/>
      <c r="Y374" s="17"/>
      <c r="Z374" s="33"/>
      <c r="AA374" s="33"/>
      <c r="AB374" s="33"/>
      <c r="AC374" s="35"/>
      <c r="AD374" s="35"/>
      <c r="AE374" s="35"/>
      <c r="AF374" s="33"/>
      <c r="AG374" s="33"/>
      <c r="AH374" s="36"/>
      <c r="AI374" s="33"/>
      <c r="AJ374" s="37"/>
    </row>
    <row r="375" spans="1:36">
      <c r="A375" s="38"/>
      <c r="B375" s="38"/>
      <c r="C375" s="38"/>
      <c r="D375" s="38"/>
      <c r="E375" s="38"/>
      <c r="F375" s="38"/>
      <c r="G375" s="38"/>
      <c r="H375" s="38"/>
      <c r="I375" s="38"/>
      <c r="J375" s="38"/>
      <c r="K375" s="38"/>
      <c r="L375" s="38"/>
      <c r="M375" s="38"/>
      <c r="N375" s="38"/>
      <c r="O375" s="38"/>
      <c r="P375" s="38"/>
      <c r="Q375" s="38"/>
      <c r="R375" s="38"/>
      <c r="S375" s="38"/>
      <c r="T375" s="38"/>
      <c r="V375" s="22"/>
      <c r="W375" s="17"/>
      <c r="X375" s="17"/>
      <c r="Y375" s="17"/>
      <c r="Z375" s="38"/>
      <c r="AA375" s="38"/>
      <c r="AB375" s="38"/>
      <c r="AC375" s="39"/>
      <c r="AD375" s="39"/>
      <c r="AE375" s="39"/>
      <c r="AF375" s="38"/>
      <c r="AG375" s="38"/>
      <c r="AH375" s="40"/>
      <c r="AI375" s="38"/>
      <c r="AJ375" s="41"/>
    </row>
    <row r="376" spans="1:36">
      <c r="A376" s="33"/>
      <c r="B376" s="33"/>
      <c r="C376" s="33"/>
      <c r="D376" s="33"/>
      <c r="E376" s="33"/>
      <c r="F376" s="33"/>
      <c r="G376" s="33"/>
      <c r="H376" s="33"/>
      <c r="I376" s="33"/>
      <c r="J376" s="33"/>
      <c r="K376" s="33"/>
      <c r="L376" s="33"/>
      <c r="M376" s="33"/>
      <c r="N376" s="33"/>
      <c r="O376" s="33"/>
      <c r="P376" s="33"/>
      <c r="Q376" s="33"/>
      <c r="R376" s="33"/>
      <c r="S376" s="33"/>
      <c r="T376" s="33"/>
      <c r="V376" s="34"/>
      <c r="W376" s="17"/>
      <c r="X376" s="17"/>
      <c r="Y376" s="17"/>
      <c r="Z376" s="33"/>
      <c r="AA376" s="33"/>
      <c r="AB376" s="33"/>
      <c r="AC376" s="35"/>
      <c r="AD376" s="35"/>
      <c r="AE376" s="35"/>
      <c r="AF376" s="33"/>
      <c r="AG376" s="33"/>
      <c r="AH376" s="36"/>
      <c r="AI376" s="33"/>
      <c r="AJ376" s="37"/>
    </row>
    <row r="377" spans="1:36">
      <c r="A377" s="38"/>
      <c r="B377" s="38"/>
      <c r="C377" s="38"/>
      <c r="D377" s="38"/>
      <c r="E377" s="38"/>
      <c r="F377" s="38"/>
      <c r="G377" s="38"/>
      <c r="H377" s="38"/>
      <c r="I377" s="38"/>
      <c r="J377" s="38"/>
      <c r="K377" s="38"/>
      <c r="L377" s="38"/>
      <c r="M377" s="38"/>
      <c r="N377" s="38"/>
      <c r="O377" s="38"/>
      <c r="P377" s="38"/>
      <c r="Q377" s="38"/>
      <c r="R377" s="38"/>
      <c r="S377" s="38"/>
      <c r="T377" s="38"/>
      <c r="V377" s="22"/>
      <c r="W377" s="17"/>
      <c r="X377" s="17"/>
      <c r="Y377" s="17"/>
      <c r="Z377" s="38"/>
      <c r="AA377" s="38"/>
      <c r="AB377" s="38"/>
      <c r="AC377" s="39"/>
      <c r="AD377" s="39"/>
      <c r="AE377" s="39"/>
      <c r="AF377" s="38"/>
      <c r="AG377" s="38"/>
      <c r="AH377" s="40"/>
      <c r="AI377" s="38"/>
      <c r="AJ377" s="41"/>
    </row>
    <row r="378" spans="1:36">
      <c r="A378" s="33"/>
      <c r="B378" s="33"/>
      <c r="C378" s="33"/>
      <c r="D378" s="33"/>
      <c r="E378" s="33"/>
      <c r="F378" s="33"/>
      <c r="G378" s="33"/>
      <c r="H378" s="33"/>
      <c r="I378" s="33"/>
      <c r="J378" s="33"/>
      <c r="K378" s="33"/>
      <c r="L378" s="33"/>
      <c r="M378" s="33"/>
      <c r="N378" s="33"/>
      <c r="O378" s="33"/>
      <c r="P378" s="33"/>
      <c r="Q378" s="33"/>
      <c r="R378" s="33"/>
      <c r="S378" s="33"/>
      <c r="T378" s="33"/>
      <c r="V378" s="34"/>
      <c r="W378" s="17"/>
      <c r="X378" s="17"/>
      <c r="Y378" s="17"/>
      <c r="Z378" s="33"/>
      <c r="AA378" s="33"/>
      <c r="AB378" s="33"/>
      <c r="AC378" s="35"/>
      <c r="AD378" s="35"/>
      <c r="AE378" s="35"/>
      <c r="AF378" s="33"/>
      <c r="AG378" s="33"/>
      <c r="AH378" s="36"/>
      <c r="AI378" s="33"/>
      <c r="AJ378" s="37"/>
    </row>
    <row r="379" spans="1:36">
      <c r="A379" s="38"/>
      <c r="B379" s="38"/>
      <c r="C379" s="38"/>
      <c r="D379" s="38"/>
      <c r="E379" s="38"/>
      <c r="F379" s="38"/>
      <c r="G379" s="38"/>
      <c r="H379" s="38"/>
      <c r="I379" s="38"/>
      <c r="J379" s="38"/>
      <c r="K379" s="38"/>
      <c r="L379" s="38"/>
      <c r="M379" s="38"/>
      <c r="N379" s="38"/>
      <c r="O379" s="38"/>
      <c r="P379" s="38"/>
      <c r="Q379" s="38"/>
      <c r="R379" s="38"/>
      <c r="S379" s="38"/>
      <c r="T379" s="38"/>
      <c r="V379" s="22"/>
      <c r="W379" s="17"/>
      <c r="X379" s="17"/>
      <c r="Y379" s="17"/>
      <c r="Z379" s="38"/>
      <c r="AA379" s="38"/>
      <c r="AB379" s="38"/>
      <c r="AC379" s="39"/>
      <c r="AD379" s="39"/>
      <c r="AE379" s="39"/>
      <c r="AF379" s="38"/>
      <c r="AG379" s="38"/>
      <c r="AH379" s="40"/>
      <c r="AI379" s="38"/>
      <c r="AJ379" s="41"/>
    </row>
    <row r="380" spans="1:36">
      <c r="A380" s="33"/>
      <c r="B380" s="33"/>
      <c r="C380" s="33"/>
      <c r="D380" s="33"/>
      <c r="E380" s="33"/>
      <c r="F380" s="33"/>
      <c r="G380" s="33"/>
      <c r="H380" s="33"/>
      <c r="I380" s="33"/>
      <c r="J380" s="33"/>
      <c r="K380" s="33"/>
      <c r="L380" s="33"/>
      <c r="M380" s="33"/>
      <c r="N380" s="33"/>
      <c r="O380" s="33"/>
      <c r="P380" s="33"/>
      <c r="Q380" s="33"/>
      <c r="R380" s="33"/>
      <c r="S380" s="33"/>
      <c r="T380" s="33"/>
      <c r="V380" s="34"/>
      <c r="W380" s="17"/>
      <c r="X380" s="17"/>
      <c r="Y380" s="17"/>
      <c r="Z380" s="33"/>
      <c r="AA380" s="33"/>
      <c r="AB380" s="33"/>
      <c r="AC380" s="35"/>
      <c r="AD380" s="35"/>
      <c r="AE380" s="35"/>
      <c r="AF380" s="33"/>
      <c r="AG380" s="33"/>
      <c r="AH380" s="36"/>
      <c r="AI380" s="33"/>
      <c r="AJ380" s="37"/>
    </row>
    <row r="381" spans="1:36">
      <c r="A381" s="38"/>
      <c r="B381" s="38"/>
      <c r="C381" s="38"/>
      <c r="D381" s="38"/>
      <c r="E381" s="38"/>
      <c r="F381" s="38"/>
      <c r="G381" s="38"/>
      <c r="H381" s="38"/>
      <c r="I381" s="38"/>
      <c r="J381" s="38"/>
      <c r="K381" s="38"/>
      <c r="L381" s="38"/>
      <c r="M381" s="38"/>
      <c r="N381" s="38"/>
      <c r="O381" s="38"/>
      <c r="P381" s="38"/>
      <c r="Q381" s="38"/>
      <c r="R381" s="38"/>
      <c r="S381" s="38"/>
      <c r="T381" s="38"/>
      <c r="V381" s="22"/>
      <c r="W381" s="17"/>
      <c r="X381" s="17"/>
      <c r="Y381" s="17"/>
      <c r="Z381" s="38"/>
      <c r="AA381" s="38"/>
      <c r="AB381" s="38"/>
      <c r="AC381" s="39"/>
      <c r="AD381" s="39"/>
      <c r="AE381" s="39"/>
      <c r="AF381" s="38"/>
      <c r="AG381" s="38"/>
      <c r="AH381" s="40"/>
      <c r="AI381" s="38"/>
      <c r="AJ381" s="41"/>
    </row>
    <row r="382" spans="1:36">
      <c r="A382" s="33"/>
      <c r="B382" s="33"/>
      <c r="C382" s="33"/>
      <c r="D382" s="33"/>
      <c r="E382" s="33"/>
      <c r="F382" s="33"/>
      <c r="G382" s="33"/>
      <c r="H382" s="33"/>
      <c r="I382" s="33"/>
      <c r="J382" s="33"/>
      <c r="K382" s="33"/>
      <c r="L382" s="33"/>
      <c r="M382" s="33"/>
      <c r="N382" s="33"/>
      <c r="O382" s="33"/>
      <c r="P382" s="33"/>
      <c r="Q382" s="33"/>
      <c r="R382" s="33"/>
      <c r="S382" s="33"/>
      <c r="T382" s="33"/>
      <c r="V382" s="34"/>
      <c r="W382" s="17"/>
      <c r="X382" s="17"/>
      <c r="Y382" s="17"/>
      <c r="Z382" s="33"/>
      <c r="AA382" s="33"/>
      <c r="AB382" s="33"/>
      <c r="AC382" s="35"/>
      <c r="AD382" s="35"/>
      <c r="AE382" s="35"/>
      <c r="AF382" s="33"/>
      <c r="AG382" s="33"/>
      <c r="AH382" s="36"/>
      <c r="AI382" s="33"/>
      <c r="AJ382" s="37"/>
    </row>
    <row r="383" spans="1:36">
      <c r="A383" s="38"/>
      <c r="B383" s="38"/>
      <c r="C383" s="38"/>
      <c r="D383" s="38"/>
      <c r="E383" s="38"/>
      <c r="F383" s="38"/>
      <c r="G383" s="38"/>
      <c r="H383" s="38"/>
      <c r="I383" s="38"/>
      <c r="J383" s="38"/>
      <c r="K383" s="38"/>
      <c r="L383" s="38"/>
      <c r="M383" s="38"/>
      <c r="N383" s="38"/>
      <c r="O383" s="38"/>
      <c r="P383" s="38"/>
      <c r="Q383" s="38"/>
      <c r="R383" s="38"/>
      <c r="S383" s="38"/>
      <c r="T383" s="38"/>
      <c r="V383" s="22"/>
      <c r="W383" s="17"/>
      <c r="X383" s="17"/>
      <c r="Y383" s="17"/>
      <c r="Z383" s="38"/>
      <c r="AA383" s="38"/>
      <c r="AB383" s="38"/>
      <c r="AC383" s="39"/>
      <c r="AD383" s="39"/>
      <c r="AE383" s="39"/>
      <c r="AF383" s="38"/>
      <c r="AG383" s="38"/>
      <c r="AH383" s="40"/>
      <c r="AI383" s="38"/>
      <c r="AJ383" s="41"/>
    </row>
    <row r="384" spans="1:36">
      <c r="A384" s="33"/>
      <c r="B384" s="33"/>
      <c r="C384" s="33"/>
      <c r="D384" s="33"/>
      <c r="E384" s="33"/>
      <c r="F384" s="33"/>
      <c r="G384" s="33"/>
      <c r="H384" s="33"/>
      <c r="I384" s="33"/>
      <c r="J384" s="33"/>
      <c r="K384" s="33"/>
      <c r="L384" s="33"/>
      <c r="M384" s="33"/>
      <c r="N384" s="33"/>
      <c r="O384" s="33"/>
      <c r="P384" s="33"/>
      <c r="Q384" s="33"/>
      <c r="R384" s="33"/>
      <c r="S384" s="33"/>
      <c r="T384" s="33"/>
      <c r="V384" s="34"/>
      <c r="W384" s="17"/>
      <c r="X384" s="17"/>
      <c r="Y384" s="17"/>
      <c r="Z384" s="33"/>
      <c r="AA384" s="33"/>
      <c r="AB384" s="33"/>
      <c r="AC384" s="35"/>
      <c r="AD384" s="35"/>
      <c r="AE384" s="35"/>
      <c r="AF384" s="33"/>
      <c r="AG384" s="33"/>
      <c r="AH384" s="36"/>
      <c r="AI384" s="33"/>
      <c r="AJ384" s="37"/>
    </row>
    <row r="385" spans="1:36">
      <c r="A385" s="38"/>
      <c r="B385" s="38"/>
      <c r="C385" s="38"/>
      <c r="D385" s="38"/>
      <c r="E385" s="38"/>
      <c r="F385" s="38"/>
      <c r="G385" s="38"/>
      <c r="H385" s="38"/>
      <c r="I385" s="38"/>
      <c r="J385" s="38"/>
      <c r="K385" s="38"/>
      <c r="L385" s="38"/>
      <c r="M385" s="38"/>
      <c r="N385" s="38"/>
      <c r="O385" s="38"/>
      <c r="P385" s="38"/>
      <c r="Q385" s="38"/>
      <c r="R385" s="38"/>
      <c r="S385" s="38"/>
      <c r="T385" s="38"/>
      <c r="V385" s="22"/>
      <c r="W385" s="17"/>
      <c r="X385" s="17"/>
      <c r="Y385" s="17"/>
      <c r="Z385" s="38"/>
      <c r="AA385" s="38"/>
      <c r="AB385" s="38"/>
      <c r="AC385" s="39"/>
      <c r="AD385" s="39"/>
      <c r="AE385" s="39"/>
      <c r="AF385" s="38"/>
      <c r="AG385" s="38"/>
      <c r="AH385" s="40"/>
      <c r="AI385" s="38"/>
      <c r="AJ385" s="41"/>
    </row>
    <row r="386" spans="1:36">
      <c r="A386" s="33"/>
      <c r="B386" s="33"/>
      <c r="C386" s="33"/>
      <c r="D386" s="33"/>
      <c r="E386" s="33"/>
      <c r="F386" s="33"/>
      <c r="G386" s="33"/>
      <c r="H386" s="33"/>
      <c r="I386" s="33"/>
      <c r="J386" s="33"/>
      <c r="K386" s="33"/>
      <c r="L386" s="33"/>
      <c r="M386" s="33"/>
      <c r="N386" s="33"/>
      <c r="O386" s="33"/>
      <c r="P386" s="33"/>
      <c r="Q386" s="33"/>
      <c r="R386" s="33"/>
      <c r="S386" s="33"/>
      <c r="T386" s="33"/>
      <c r="V386" s="34"/>
      <c r="W386" s="17"/>
      <c r="X386" s="17"/>
      <c r="Y386" s="17"/>
      <c r="Z386" s="33"/>
      <c r="AA386" s="33"/>
      <c r="AB386" s="33"/>
      <c r="AC386" s="35"/>
      <c r="AD386" s="35"/>
      <c r="AE386" s="35"/>
      <c r="AF386" s="33"/>
      <c r="AG386" s="33"/>
      <c r="AH386" s="36"/>
      <c r="AI386" s="33"/>
      <c r="AJ386" s="37"/>
    </row>
    <row r="387" spans="1:36">
      <c r="A387" s="38"/>
      <c r="B387" s="38"/>
      <c r="C387" s="38"/>
      <c r="D387" s="38"/>
      <c r="E387" s="38"/>
      <c r="F387" s="38"/>
      <c r="G387" s="38"/>
      <c r="H387" s="38"/>
      <c r="I387" s="38"/>
      <c r="J387" s="38"/>
      <c r="K387" s="38"/>
      <c r="L387" s="38"/>
      <c r="M387" s="38"/>
      <c r="N387" s="38"/>
      <c r="O387" s="38"/>
      <c r="P387" s="38"/>
      <c r="Q387" s="38"/>
      <c r="R387" s="38"/>
      <c r="S387" s="38"/>
      <c r="T387" s="38"/>
      <c r="V387" s="22"/>
      <c r="W387" s="17"/>
      <c r="X387" s="17"/>
      <c r="Y387" s="17"/>
      <c r="Z387" s="38"/>
      <c r="AA387" s="38"/>
      <c r="AB387" s="38"/>
      <c r="AC387" s="39"/>
      <c r="AD387" s="39"/>
      <c r="AE387" s="39"/>
      <c r="AF387" s="38"/>
      <c r="AG387" s="38"/>
      <c r="AH387" s="40"/>
      <c r="AI387" s="38"/>
      <c r="AJ387" s="41"/>
    </row>
    <row r="388" spans="1:36">
      <c r="A388" s="33"/>
      <c r="B388" s="33"/>
      <c r="C388" s="33"/>
      <c r="D388" s="33"/>
      <c r="E388" s="33"/>
      <c r="F388" s="33"/>
      <c r="G388" s="33"/>
      <c r="H388" s="33"/>
      <c r="I388" s="33"/>
      <c r="J388" s="33"/>
      <c r="K388" s="33"/>
      <c r="L388" s="33"/>
      <c r="M388" s="33"/>
      <c r="N388" s="33"/>
      <c r="O388" s="33"/>
      <c r="P388" s="33"/>
      <c r="Q388" s="33"/>
      <c r="R388" s="33"/>
      <c r="S388" s="33"/>
      <c r="T388" s="33"/>
      <c r="V388" s="34"/>
      <c r="W388" s="17"/>
      <c r="X388" s="17"/>
      <c r="Y388" s="17"/>
      <c r="Z388" s="33"/>
      <c r="AA388" s="33"/>
      <c r="AB388" s="33"/>
      <c r="AC388" s="35"/>
      <c r="AD388" s="35"/>
      <c r="AE388" s="35"/>
      <c r="AF388" s="33"/>
      <c r="AG388" s="33"/>
      <c r="AH388" s="36"/>
      <c r="AI388" s="33"/>
      <c r="AJ388" s="37"/>
    </row>
    <row r="389" spans="1:36">
      <c r="A389" s="38"/>
      <c r="B389" s="38"/>
      <c r="C389" s="38"/>
      <c r="D389" s="38"/>
      <c r="E389" s="38"/>
      <c r="F389" s="38"/>
      <c r="G389" s="38"/>
      <c r="H389" s="38"/>
      <c r="I389" s="38"/>
      <c r="J389" s="38"/>
      <c r="K389" s="38"/>
      <c r="L389" s="38"/>
      <c r="M389" s="38"/>
      <c r="N389" s="38"/>
      <c r="O389" s="38"/>
      <c r="P389" s="38"/>
      <c r="Q389" s="38"/>
      <c r="R389" s="38"/>
      <c r="S389" s="38"/>
      <c r="T389" s="38"/>
      <c r="V389" s="22"/>
      <c r="W389" s="17"/>
      <c r="X389" s="17"/>
      <c r="Y389" s="17"/>
      <c r="Z389" s="38"/>
      <c r="AA389" s="38"/>
      <c r="AB389" s="38"/>
      <c r="AC389" s="39"/>
      <c r="AD389" s="39"/>
      <c r="AE389" s="39"/>
      <c r="AF389" s="38"/>
      <c r="AG389" s="38"/>
      <c r="AH389" s="40"/>
      <c r="AI389" s="38"/>
      <c r="AJ389" s="41"/>
    </row>
    <row r="390" spans="1:36">
      <c r="W390" s="17"/>
      <c r="X390" s="17"/>
      <c r="Y390" s="17"/>
      <c r="AC390" s="47"/>
      <c r="AD390" s="47"/>
      <c r="AE390" s="47"/>
      <c r="AH390" s="48"/>
    </row>
    <row r="391" spans="1:36">
      <c r="W391" s="17"/>
      <c r="X391" s="17"/>
      <c r="Y391" s="17"/>
      <c r="AC391" s="47"/>
      <c r="AD391" s="47"/>
      <c r="AE391" s="47"/>
      <c r="AH391" s="48"/>
    </row>
    <row r="392" spans="1:36">
      <c r="W392" s="17"/>
      <c r="X392" s="17"/>
      <c r="Y392" s="17"/>
      <c r="AC392" s="47"/>
      <c r="AD392" s="47"/>
      <c r="AE392" s="47"/>
      <c r="AH392" s="48"/>
    </row>
    <row r="393" spans="1:36">
      <c r="W393" s="17"/>
      <c r="X393" s="17"/>
      <c r="Y393" s="17"/>
      <c r="AC393" s="47"/>
      <c r="AD393" s="47"/>
      <c r="AE393" s="47"/>
      <c r="AH393" s="48"/>
    </row>
    <row r="394" spans="1:36">
      <c r="W394" s="17"/>
      <c r="X394" s="17"/>
      <c r="Y394" s="17"/>
      <c r="AC394" s="47"/>
      <c r="AD394" s="47"/>
      <c r="AE394" s="47"/>
      <c r="AH394" s="48"/>
    </row>
    <row r="395" spans="1:36">
      <c r="W395" s="17"/>
      <c r="X395" s="17"/>
      <c r="Y395" s="17"/>
      <c r="AC395" s="47"/>
      <c r="AD395" s="47"/>
      <c r="AE395" s="47"/>
      <c r="AH395" s="48"/>
    </row>
    <row r="396" spans="1:36">
      <c r="W396" s="17"/>
      <c r="X396" s="17"/>
      <c r="Y396" s="17"/>
      <c r="AC396" s="47"/>
      <c r="AD396" s="47"/>
      <c r="AE396" s="47"/>
      <c r="AH396" s="48"/>
    </row>
    <row r="397" spans="1:36">
      <c r="W397" s="17"/>
      <c r="X397" s="17"/>
      <c r="Y397" s="17"/>
      <c r="AC397" s="47"/>
      <c r="AD397" s="47"/>
      <c r="AE397" s="47"/>
      <c r="AH397" s="48"/>
    </row>
    <row r="398" spans="1:36">
      <c r="W398" s="17"/>
      <c r="X398" s="17"/>
      <c r="Y398" s="17"/>
      <c r="AC398" s="47"/>
      <c r="AD398" s="47"/>
      <c r="AE398" s="47"/>
      <c r="AH398" s="48"/>
    </row>
    <row r="399" spans="1:36">
      <c r="W399" s="17"/>
      <c r="X399" s="17"/>
      <c r="Y399" s="17"/>
      <c r="AC399" s="47"/>
      <c r="AD399" s="47"/>
      <c r="AE399" s="47"/>
      <c r="AH399" s="48"/>
    </row>
    <row r="400" spans="1:36">
      <c r="W400" s="17"/>
      <c r="X400" s="17"/>
      <c r="Y400" s="17"/>
      <c r="AC400" s="47"/>
      <c r="AD400" s="47"/>
      <c r="AE400" s="47"/>
      <c r="AH400" s="48"/>
    </row>
    <row r="401" spans="23:34">
      <c r="W401" s="17"/>
      <c r="X401" s="17"/>
      <c r="Y401" s="17"/>
      <c r="AC401" s="47"/>
      <c r="AD401" s="47"/>
      <c r="AE401" s="47"/>
      <c r="AH401" s="48"/>
    </row>
    <row r="402" spans="23:34">
      <c r="W402" s="17"/>
      <c r="X402" s="17"/>
      <c r="Y402" s="17"/>
      <c r="AC402" s="47"/>
      <c r="AD402" s="47"/>
      <c r="AE402" s="47"/>
      <c r="AH402" s="48"/>
    </row>
    <row r="403" spans="23:34">
      <c r="W403" s="17"/>
      <c r="X403" s="17"/>
      <c r="Y403" s="17"/>
      <c r="AC403" s="47"/>
      <c r="AD403" s="47"/>
      <c r="AE403" s="47"/>
      <c r="AH403" s="48"/>
    </row>
    <row r="404" spans="23:34">
      <c r="W404" s="17"/>
      <c r="X404" s="17"/>
      <c r="Y404" s="17"/>
      <c r="AC404" s="47"/>
      <c r="AD404" s="47"/>
      <c r="AE404" s="47"/>
      <c r="AH404" s="48"/>
    </row>
    <row r="405" spans="23:34">
      <c r="W405" s="17"/>
      <c r="X405" s="17"/>
      <c r="Y405" s="17"/>
      <c r="AC405" s="47"/>
      <c r="AD405" s="47"/>
      <c r="AE405" s="47"/>
      <c r="AH405" s="48"/>
    </row>
    <row r="406" spans="23:34">
      <c r="W406" s="17"/>
      <c r="X406" s="17"/>
      <c r="Y406" s="17"/>
      <c r="AC406" s="47"/>
      <c r="AD406" s="47"/>
      <c r="AE406" s="47"/>
      <c r="AH406" s="48"/>
    </row>
    <row r="407" spans="23:34">
      <c r="W407" s="17"/>
      <c r="X407" s="17"/>
      <c r="Y407" s="17"/>
      <c r="AC407" s="47"/>
      <c r="AD407" s="47"/>
      <c r="AE407" s="47"/>
      <c r="AH407" s="48"/>
    </row>
    <row r="408" spans="23:34">
      <c r="W408" s="17"/>
      <c r="X408" s="17"/>
      <c r="Y408" s="17"/>
      <c r="AC408" s="47"/>
      <c r="AD408" s="47"/>
      <c r="AE408" s="47"/>
      <c r="AH408" s="48"/>
    </row>
    <row r="409" spans="23:34">
      <c r="W409" s="17"/>
      <c r="X409" s="17"/>
      <c r="Y409" s="17"/>
      <c r="AC409" s="47"/>
      <c r="AD409" s="47"/>
      <c r="AE409" s="47"/>
      <c r="AH409" s="48"/>
    </row>
    <row r="410" spans="23:34">
      <c r="W410" s="17"/>
      <c r="X410" s="17"/>
      <c r="Y410" s="17"/>
      <c r="AC410" s="47"/>
      <c r="AD410" s="47"/>
      <c r="AE410" s="47"/>
      <c r="AH410" s="48"/>
    </row>
    <row r="411" spans="23:34">
      <c r="W411" s="17"/>
      <c r="X411" s="17"/>
      <c r="Y411" s="17"/>
      <c r="AC411" s="47"/>
      <c r="AD411" s="47"/>
      <c r="AE411" s="47"/>
      <c r="AH411" s="48"/>
    </row>
    <row r="412" spans="23:34">
      <c r="W412" s="17"/>
      <c r="X412" s="17"/>
      <c r="Y412" s="17"/>
      <c r="AC412" s="47"/>
      <c r="AD412" s="47"/>
      <c r="AE412" s="47"/>
      <c r="AH412" s="48"/>
    </row>
    <row r="413" spans="23:34">
      <c r="W413" s="17"/>
      <c r="X413" s="17"/>
      <c r="Y413" s="17"/>
      <c r="AC413" s="47"/>
      <c r="AD413" s="47"/>
      <c r="AE413" s="47"/>
      <c r="AH413" s="48"/>
    </row>
    <row r="414" spans="23:34">
      <c r="W414" s="17"/>
      <c r="X414" s="17"/>
      <c r="Y414" s="17"/>
      <c r="AC414" s="47"/>
      <c r="AD414" s="47"/>
      <c r="AE414" s="47"/>
      <c r="AH414" s="48"/>
    </row>
    <row r="415" spans="23:34">
      <c r="W415" s="17"/>
      <c r="X415" s="17"/>
      <c r="Y415" s="17"/>
      <c r="AC415" s="47"/>
      <c r="AD415" s="47"/>
      <c r="AE415" s="47"/>
      <c r="AH415" s="48"/>
    </row>
    <row r="416" spans="23:34">
      <c r="W416" s="17"/>
      <c r="X416" s="17"/>
      <c r="Y416" s="17"/>
      <c r="AC416" s="47"/>
      <c r="AD416" s="47"/>
      <c r="AE416" s="47"/>
      <c r="AH416" s="48"/>
    </row>
    <row r="417" spans="23:34">
      <c r="W417" s="17"/>
      <c r="X417" s="17"/>
      <c r="Y417" s="17"/>
      <c r="AC417" s="47"/>
      <c r="AD417" s="47"/>
      <c r="AE417" s="47"/>
      <c r="AH417" s="48"/>
    </row>
    <row r="418" spans="23:34">
      <c r="W418" s="17"/>
      <c r="X418" s="17"/>
      <c r="Y418" s="17"/>
      <c r="AC418" s="47"/>
      <c r="AD418" s="47"/>
      <c r="AE418" s="47"/>
      <c r="AH418" s="48"/>
    </row>
    <row r="419" spans="23:34">
      <c r="W419" s="17"/>
      <c r="X419" s="17"/>
      <c r="Y419" s="17"/>
      <c r="AC419" s="47"/>
      <c r="AD419" s="47"/>
      <c r="AE419" s="47"/>
      <c r="AH419" s="48"/>
    </row>
    <row r="420" spans="23:34">
      <c r="W420" s="17"/>
      <c r="X420" s="17"/>
      <c r="Y420" s="17"/>
      <c r="AC420" s="47"/>
      <c r="AD420" s="47"/>
      <c r="AE420" s="47"/>
      <c r="AH420" s="48"/>
    </row>
    <row r="421" spans="23:34">
      <c r="W421" s="17"/>
      <c r="X421" s="17"/>
      <c r="Y421" s="17"/>
      <c r="AC421" s="47"/>
      <c r="AD421" s="47"/>
      <c r="AE421" s="47"/>
      <c r="AH421" s="48"/>
    </row>
    <row r="422" spans="23:34">
      <c r="W422" s="17"/>
      <c r="X422" s="17"/>
      <c r="Y422" s="17"/>
      <c r="AC422" s="47"/>
      <c r="AD422" s="47"/>
      <c r="AE422" s="47"/>
      <c r="AH422" s="48"/>
    </row>
    <row r="423" spans="23:34">
      <c r="W423" s="17"/>
      <c r="X423" s="17"/>
      <c r="Y423" s="17"/>
      <c r="AC423" s="47"/>
      <c r="AD423" s="47"/>
      <c r="AE423" s="47"/>
      <c r="AH423" s="48"/>
    </row>
    <row r="424" spans="23:34">
      <c r="W424" s="17"/>
      <c r="X424" s="17"/>
      <c r="Y424" s="17"/>
      <c r="AC424" s="47"/>
      <c r="AD424" s="47"/>
      <c r="AE424" s="47"/>
      <c r="AH424" s="48"/>
    </row>
    <row r="425" spans="23:34">
      <c r="W425" s="17"/>
      <c r="X425" s="17"/>
      <c r="Y425" s="17"/>
      <c r="AC425" s="47"/>
      <c r="AD425" s="47"/>
      <c r="AE425" s="47"/>
      <c r="AH425" s="48"/>
    </row>
    <row r="426" spans="23:34">
      <c r="W426" s="17"/>
      <c r="X426" s="17"/>
      <c r="Y426" s="17"/>
      <c r="AC426" s="47"/>
      <c r="AD426" s="47"/>
      <c r="AE426" s="47"/>
      <c r="AH426" s="48"/>
    </row>
    <row r="427" spans="23:34">
      <c r="W427" s="17"/>
      <c r="X427" s="17"/>
      <c r="Y427" s="17"/>
      <c r="AC427" s="47"/>
      <c r="AD427" s="47"/>
      <c r="AE427" s="47"/>
      <c r="AH427" s="48"/>
    </row>
    <row r="428" spans="23:34">
      <c r="W428" s="17"/>
      <c r="X428" s="17"/>
      <c r="Y428" s="17"/>
      <c r="AC428" s="47"/>
      <c r="AD428" s="47"/>
      <c r="AE428" s="47"/>
      <c r="AH428" s="48"/>
    </row>
    <row r="429" spans="23:34">
      <c r="W429" s="17"/>
      <c r="X429" s="17"/>
      <c r="Y429" s="17"/>
      <c r="AC429" s="47"/>
      <c r="AD429" s="47"/>
      <c r="AE429" s="47"/>
      <c r="AH429" s="48"/>
    </row>
    <row r="430" spans="23:34">
      <c r="W430" s="17"/>
      <c r="X430" s="17"/>
      <c r="Y430" s="17"/>
      <c r="AC430" s="47"/>
      <c r="AD430" s="47"/>
      <c r="AE430" s="47"/>
      <c r="AH430" s="48"/>
    </row>
    <row r="431" spans="23:34">
      <c r="W431" s="17"/>
      <c r="X431" s="17"/>
      <c r="Y431" s="17"/>
      <c r="AC431" s="47"/>
      <c r="AD431" s="47"/>
      <c r="AE431" s="47"/>
      <c r="AH431" s="48"/>
    </row>
    <row r="432" spans="23:34">
      <c r="W432" s="17"/>
      <c r="X432" s="17"/>
      <c r="Y432" s="17"/>
      <c r="AC432" s="47"/>
      <c r="AD432" s="47"/>
      <c r="AE432" s="47"/>
      <c r="AH432" s="48"/>
    </row>
    <row r="433" spans="23:34">
      <c r="W433" s="17"/>
      <c r="X433" s="17"/>
      <c r="Y433" s="17"/>
      <c r="AC433" s="47"/>
      <c r="AD433" s="47"/>
      <c r="AE433" s="47"/>
      <c r="AH433" s="48"/>
    </row>
    <row r="434" spans="23:34">
      <c r="W434" s="17"/>
      <c r="X434" s="17"/>
      <c r="Y434" s="17"/>
      <c r="AC434" s="47"/>
      <c r="AD434" s="47"/>
      <c r="AE434" s="47"/>
      <c r="AH434" s="48"/>
    </row>
    <row r="435" spans="23:34">
      <c r="W435" s="17"/>
      <c r="X435" s="17"/>
      <c r="Y435" s="17"/>
      <c r="AC435" s="47"/>
      <c r="AD435" s="47"/>
      <c r="AE435" s="47"/>
      <c r="AH435" s="48"/>
    </row>
    <row r="436" spans="23:34">
      <c r="W436" s="17"/>
      <c r="X436" s="17"/>
      <c r="Y436" s="17"/>
      <c r="AC436" s="47"/>
      <c r="AD436" s="47"/>
      <c r="AE436" s="47"/>
      <c r="AH436" s="48"/>
    </row>
    <row r="437" spans="23:34">
      <c r="W437" s="17"/>
      <c r="X437" s="17"/>
      <c r="Y437" s="17"/>
      <c r="AC437" s="47"/>
      <c r="AD437" s="47"/>
      <c r="AE437" s="47"/>
      <c r="AH437" s="48"/>
    </row>
    <row r="438" spans="23:34">
      <c r="W438" s="17"/>
      <c r="X438" s="17"/>
      <c r="Y438" s="17"/>
      <c r="AC438" s="47"/>
      <c r="AD438" s="47"/>
      <c r="AE438" s="47"/>
      <c r="AH438" s="48"/>
    </row>
    <row r="439" spans="23:34">
      <c r="W439" s="17"/>
      <c r="X439" s="17"/>
      <c r="Y439" s="17"/>
      <c r="AC439" s="47"/>
      <c r="AD439" s="47"/>
      <c r="AE439" s="47"/>
      <c r="AH439" s="48"/>
    </row>
    <row r="440" spans="23:34">
      <c r="W440" s="17"/>
      <c r="X440" s="17"/>
      <c r="Y440" s="17"/>
      <c r="AC440" s="47"/>
      <c r="AD440" s="47"/>
      <c r="AE440" s="47"/>
      <c r="AH440" s="48"/>
    </row>
    <row r="441" spans="23:34">
      <c r="W441" s="17"/>
      <c r="X441" s="17"/>
      <c r="Y441" s="17"/>
      <c r="AC441" s="47"/>
      <c r="AD441" s="47"/>
      <c r="AE441" s="47"/>
      <c r="AH441" s="48"/>
    </row>
    <row r="442" spans="23:34">
      <c r="W442" s="17"/>
      <c r="X442" s="17"/>
      <c r="Y442" s="17"/>
      <c r="AC442" s="47"/>
      <c r="AD442" s="47"/>
      <c r="AE442" s="47"/>
      <c r="AH442" s="48"/>
    </row>
    <row r="443" spans="23:34">
      <c r="W443" s="17"/>
      <c r="X443" s="17"/>
      <c r="Y443" s="17"/>
      <c r="AC443" s="47"/>
      <c r="AD443" s="47"/>
      <c r="AE443" s="47"/>
      <c r="AH443" s="48"/>
    </row>
    <row r="444" spans="23:34">
      <c r="W444" s="17"/>
      <c r="X444" s="17"/>
      <c r="Y444" s="17"/>
      <c r="AC444" s="47"/>
      <c r="AD444" s="47"/>
      <c r="AE444" s="47"/>
      <c r="AH444" s="48"/>
    </row>
    <row r="445" spans="23:34">
      <c r="W445" s="17"/>
      <c r="X445" s="17"/>
      <c r="Y445" s="17"/>
      <c r="AC445" s="47"/>
      <c r="AD445" s="47"/>
      <c r="AE445" s="47"/>
      <c r="AH445" s="48"/>
    </row>
    <row r="446" spans="23:34">
      <c r="W446" s="17"/>
      <c r="X446" s="17"/>
      <c r="Y446" s="17"/>
      <c r="AC446" s="47"/>
      <c r="AD446" s="47"/>
      <c r="AE446" s="47"/>
      <c r="AH446" s="48"/>
    </row>
    <row r="447" spans="23:34">
      <c r="W447" s="17"/>
      <c r="X447" s="17"/>
      <c r="Y447" s="17"/>
      <c r="AC447" s="47"/>
      <c r="AD447" s="47"/>
      <c r="AE447" s="47"/>
      <c r="AH447" s="48"/>
    </row>
    <row r="448" spans="23:34">
      <c r="W448" s="17"/>
      <c r="X448" s="17"/>
      <c r="Y448" s="17"/>
      <c r="AC448" s="47"/>
      <c r="AD448" s="47"/>
      <c r="AE448" s="47"/>
      <c r="AH448" s="48"/>
    </row>
    <row r="449" spans="23:34">
      <c r="W449" s="17"/>
      <c r="X449" s="17"/>
      <c r="Y449" s="17"/>
      <c r="AC449" s="47"/>
      <c r="AD449" s="47"/>
      <c r="AE449" s="47"/>
      <c r="AH449" s="48"/>
    </row>
    <row r="450" spans="23:34">
      <c r="W450" s="17"/>
      <c r="X450" s="17"/>
      <c r="Y450" s="17"/>
      <c r="AC450" s="47"/>
      <c r="AD450" s="47"/>
      <c r="AE450" s="47"/>
      <c r="AH450" s="48"/>
    </row>
    <row r="451" spans="23:34">
      <c r="W451" s="17"/>
      <c r="X451" s="17"/>
      <c r="Y451" s="17"/>
      <c r="AC451" s="47"/>
      <c r="AD451" s="47"/>
      <c r="AE451" s="47"/>
      <c r="AH451" s="48"/>
    </row>
    <row r="452" spans="23:34">
      <c r="W452" s="17"/>
      <c r="X452" s="17"/>
      <c r="Y452" s="17"/>
      <c r="AC452" s="47"/>
      <c r="AD452" s="47"/>
      <c r="AE452" s="47"/>
      <c r="AH452" s="48"/>
    </row>
    <row r="453" spans="23:34">
      <c r="W453" s="17"/>
      <c r="X453" s="17"/>
      <c r="Y453" s="17"/>
      <c r="AC453" s="47"/>
      <c r="AD453" s="47"/>
      <c r="AE453" s="47"/>
      <c r="AH453" s="48"/>
    </row>
    <row r="454" spans="23:34">
      <c r="W454" s="17"/>
      <c r="X454" s="17"/>
      <c r="Y454" s="17"/>
      <c r="AC454" s="47"/>
      <c r="AD454" s="47"/>
      <c r="AE454" s="47"/>
      <c r="AH454" s="48"/>
    </row>
    <row r="455" spans="23:34">
      <c r="W455" s="17"/>
      <c r="X455" s="17"/>
      <c r="Y455" s="17"/>
      <c r="AC455" s="47"/>
      <c r="AD455" s="47"/>
      <c r="AE455" s="47"/>
      <c r="AH455" s="48"/>
    </row>
    <row r="456" spans="23:34">
      <c r="W456" s="17"/>
      <c r="X456" s="17"/>
      <c r="Y456" s="17"/>
      <c r="AC456" s="47"/>
      <c r="AD456" s="47"/>
      <c r="AE456" s="47"/>
      <c r="AH456" s="48"/>
    </row>
    <row r="457" spans="23:34">
      <c r="W457" s="17"/>
      <c r="X457" s="17"/>
      <c r="Y457" s="17"/>
      <c r="AC457" s="47"/>
      <c r="AD457" s="47"/>
      <c r="AE457" s="47"/>
      <c r="AH457" s="48"/>
    </row>
    <row r="458" spans="23:34">
      <c r="W458" s="17"/>
      <c r="X458" s="17"/>
      <c r="Y458" s="17"/>
      <c r="AC458" s="47"/>
      <c r="AD458" s="47"/>
      <c r="AE458" s="47"/>
      <c r="AH458" s="48"/>
    </row>
    <row r="459" spans="23:34">
      <c r="W459" s="17"/>
      <c r="X459" s="17"/>
      <c r="Y459" s="17"/>
      <c r="AC459" s="47"/>
      <c r="AD459" s="47"/>
      <c r="AE459" s="47"/>
      <c r="AH459" s="48"/>
    </row>
    <row r="460" spans="23:34">
      <c r="W460" s="17"/>
      <c r="X460" s="17"/>
      <c r="Y460" s="17"/>
      <c r="AC460" s="47"/>
      <c r="AD460" s="47"/>
      <c r="AE460" s="47"/>
      <c r="AH460" s="48"/>
    </row>
    <row r="461" spans="23:34">
      <c r="W461" s="17"/>
      <c r="X461" s="17"/>
      <c r="Y461" s="17"/>
      <c r="AC461" s="47"/>
      <c r="AD461" s="47"/>
      <c r="AE461" s="47"/>
      <c r="AH461" s="48"/>
    </row>
    <row r="462" spans="23:34">
      <c r="W462" s="17"/>
      <c r="X462" s="17"/>
      <c r="Y462" s="17"/>
      <c r="AC462" s="47"/>
      <c r="AD462" s="47"/>
      <c r="AE462" s="47"/>
      <c r="AH462" s="48"/>
    </row>
    <row r="463" spans="23:34">
      <c r="W463" s="17"/>
      <c r="X463" s="17"/>
      <c r="Y463" s="17"/>
      <c r="AC463" s="47"/>
      <c r="AD463" s="47"/>
      <c r="AE463" s="47"/>
      <c r="AH463" s="48"/>
    </row>
    <row r="464" spans="23:34">
      <c r="W464" s="17"/>
      <c r="X464" s="17"/>
      <c r="Y464" s="17"/>
      <c r="AC464" s="47"/>
      <c r="AD464" s="47"/>
      <c r="AE464" s="47"/>
      <c r="AH464" s="48"/>
    </row>
    <row r="465" spans="23:34">
      <c r="W465" s="17"/>
      <c r="X465" s="17"/>
      <c r="Y465" s="17"/>
      <c r="AC465" s="47"/>
      <c r="AD465" s="47"/>
      <c r="AE465" s="47"/>
      <c r="AH465" s="48"/>
    </row>
    <row r="466" spans="23:34">
      <c r="W466" s="17"/>
      <c r="X466" s="17"/>
      <c r="Y466" s="17"/>
      <c r="AC466" s="47"/>
      <c r="AD466" s="47"/>
      <c r="AE466" s="47"/>
      <c r="AH466" s="48"/>
    </row>
    <row r="467" spans="23:34">
      <c r="W467" s="17"/>
      <c r="X467" s="17"/>
      <c r="Y467" s="17"/>
      <c r="AC467" s="47"/>
      <c r="AD467" s="47"/>
      <c r="AE467" s="47"/>
      <c r="AH467" s="48"/>
    </row>
    <row r="468" spans="23:34">
      <c r="W468" s="17"/>
      <c r="X468" s="17"/>
      <c r="Y468" s="17"/>
      <c r="AC468" s="47"/>
      <c r="AD468" s="47"/>
      <c r="AE468" s="47"/>
      <c r="AH468" s="48"/>
    </row>
    <row r="469" spans="23:34">
      <c r="W469" s="17"/>
      <c r="X469" s="17"/>
      <c r="Y469" s="17"/>
      <c r="AC469" s="47"/>
      <c r="AD469" s="47"/>
      <c r="AE469" s="47"/>
      <c r="AH469" s="48"/>
    </row>
    <row r="470" spans="23:34">
      <c r="W470" s="17"/>
      <c r="X470" s="17"/>
      <c r="Y470" s="17"/>
      <c r="AC470" s="47"/>
      <c r="AD470" s="47"/>
      <c r="AE470" s="47"/>
      <c r="AH470" s="48"/>
    </row>
    <row r="471" spans="23:34">
      <c r="W471" s="17"/>
      <c r="X471" s="17"/>
      <c r="Y471" s="17"/>
      <c r="AC471" s="47"/>
      <c r="AD471" s="47"/>
      <c r="AE471" s="47"/>
      <c r="AH471" s="48"/>
    </row>
    <row r="472" spans="23:34">
      <c r="W472" s="17"/>
      <c r="X472" s="17"/>
      <c r="Y472" s="17"/>
      <c r="AC472" s="47"/>
      <c r="AD472" s="47"/>
      <c r="AE472" s="47"/>
      <c r="AH472" s="48"/>
    </row>
    <row r="473" spans="23:34">
      <c r="W473" s="17"/>
      <c r="X473" s="17"/>
      <c r="Y473" s="17"/>
      <c r="AC473" s="47"/>
      <c r="AD473" s="47"/>
      <c r="AE473" s="47"/>
      <c r="AH473" s="48"/>
    </row>
    <row r="474" spans="23:34">
      <c r="W474" s="17"/>
      <c r="X474" s="17"/>
      <c r="Y474" s="17"/>
      <c r="AC474" s="47"/>
      <c r="AD474" s="47"/>
      <c r="AE474" s="47"/>
      <c r="AH474" s="48"/>
    </row>
    <row r="475" spans="23:34">
      <c r="W475" s="17"/>
      <c r="X475" s="17"/>
      <c r="Y475" s="17"/>
      <c r="AC475" s="47"/>
      <c r="AD475" s="47"/>
      <c r="AE475" s="47"/>
      <c r="AH475" s="48"/>
    </row>
    <row r="476" spans="23:34">
      <c r="W476" s="17"/>
      <c r="X476" s="17"/>
      <c r="Y476" s="17"/>
      <c r="AC476" s="47"/>
      <c r="AD476" s="47"/>
      <c r="AE476" s="47"/>
      <c r="AH476" s="48"/>
    </row>
    <row r="477" spans="23:34">
      <c r="W477" s="17"/>
      <c r="X477" s="17"/>
      <c r="Y477" s="17"/>
      <c r="AC477" s="47"/>
      <c r="AD477" s="47"/>
      <c r="AE477" s="47"/>
      <c r="AH477" s="48"/>
    </row>
    <row r="478" spans="23:34">
      <c r="W478" s="17"/>
      <c r="X478" s="17"/>
      <c r="Y478" s="17"/>
      <c r="AC478" s="47"/>
      <c r="AD478" s="47"/>
      <c r="AE478" s="47"/>
      <c r="AH478" s="48"/>
    </row>
    <row r="479" spans="23:34">
      <c r="W479" s="17"/>
      <c r="X479" s="17"/>
      <c r="Y479" s="17"/>
      <c r="AC479" s="47"/>
      <c r="AD479" s="47"/>
      <c r="AE479" s="47"/>
      <c r="AH479" s="48"/>
    </row>
    <row r="480" spans="23:34">
      <c r="W480" s="17"/>
      <c r="X480" s="17"/>
      <c r="Y480" s="17"/>
      <c r="AC480" s="47"/>
      <c r="AD480" s="47"/>
      <c r="AE480" s="47"/>
      <c r="AH480" s="48"/>
    </row>
    <row r="481" spans="23:34">
      <c r="W481" s="17"/>
      <c r="X481" s="17"/>
      <c r="Y481" s="17"/>
      <c r="AC481" s="47"/>
      <c r="AD481" s="47"/>
      <c r="AE481" s="47"/>
      <c r="AH481" s="48"/>
    </row>
    <row r="482" spans="23:34">
      <c r="W482" s="17"/>
      <c r="X482" s="17"/>
      <c r="Y482" s="17"/>
      <c r="AC482" s="47"/>
      <c r="AD482" s="47"/>
      <c r="AE482" s="47"/>
      <c r="AH482" s="48"/>
    </row>
    <row r="483" spans="23:34">
      <c r="W483" s="17"/>
      <c r="X483" s="17"/>
      <c r="Y483" s="17"/>
      <c r="AC483" s="47"/>
      <c r="AD483" s="47"/>
      <c r="AE483" s="47"/>
      <c r="AH483" s="48"/>
    </row>
    <row r="484" spans="23:34">
      <c r="W484" s="17"/>
      <c r="X484" s="17"/>
      <c r="Y484" s="17"/>
      <c r="AC484" s="47"/>
      <c r="AD484" s="47"/>
      <c r="AE484" s="47"/>
      <c r="AH484" s="48"/>
    </row>
    <row r="485" spans="23:34">
      <c r="W485" s="17"/>
      <c r="X485" s="17"/>
      <c r="Y485" s="17"/>
      <c r="AC485" s="47"/>
      <c r="AD485" s="47"/>
      <c r="AE485" s="47"/>
      <c r="AH485" s="48"/>
    </row>
    <row r="486" spans="23:34">
      <c r="W486" s="17"/>
      <c r="X486" s="17"/>
      <c r="Y486" s="17"/>
      <c r="AC486" s="47"/>
      <c r="AD486" s="47"/>
      <c r="AE486" s="47"/>
      <c r="AH486" s="48"/>
    </row>
    <row r="487" spans="23:34">
      <c r="W487" s="17"/>
      <c r="X487" s="17"/>
      <c r="Y487" s="17"/>
      <c r="AC487" s="47"/>
      <c r="AD487" s="47"/>
      <c r="AE487" s="47"/>
      <c r="AH487" s="48"/>
    </row>
    <row r="488" spans="23:34">
      <c r="W488" s="17"/>
      <c r="X488" s="17"/>
      <c r="Y488" s="17"/>
      <c r="AC488" s="47"/>
      <c r="AD488" s="47"/>
      <c r="AE488" s="47"/>
      <c r="AH488" s="48"/>
    </row>
    <row r="489" spans="23:34">
      <c r="W489" s="17"/>
      <c r="X489" s="17"/>
      <c r="Y489" s="17"/>
      <c r="AC489" s="47"/>
      <c r="AD489" s="47"/>
      <c r="AE489" s="47"/>
      <c r="AH489" s="48"/>
    </row>
    <row r="490" spans="23:34">
      <c r="W490" s="17"/>
      <c r="X490" s="17"/>
      <c r="Y490" s="17"/>
      <c r="AC490" s="47"/>
      <c r="AD490" s="47"/>
      <c r="AE490" s="47"/>
      <c r="AH490" s="48"/>
    </row>
    <row r="491" spans="23:34">
      <c r="W491" s="17"/>
      <c r="X491" s="17"/>
      <c r="Y491" s="17"/>
      <c r="AC491" s="47"/>
      <c r="AD491" s="47"/>
      <c r="AE491" s="47"/>
      <c r="AH491" s="48"/>
    </row>
    <row r="492" spans="23:34">
      <c r="W492" s="17"/>
      <c r="X492" s="17"/>
      <c r="Y492" s="17"/>
      <c r="AC492" s="47"/>
      <c r="AD492" s="47"/>
      <c r="AE492" s="47"/>
      <c r="AH492" s="48"/>
    </row>
    <row r="493" spans="23:34">
      <c r="W493" s="17"/>
      <c r="X493" s="17"/>
      <c r="Y493" s="17"/>
      <c r="AC493" s="47"/>
      <c r="AD493" s="47"/>
      <c r="AE493" s="47"/>
      <c r="AH493" s="48"/>
    </row>
    <row r="494" spans="23:34">
      <c r="W494" s="17"/>
      <c r="X494" s="17"/>
      <c r="Y494" s="17"/>
      <c r="AC494" s="47"/>
      <c r="AD494" s="47"/>
      <c r="AE494" s="47"/>
      <c r="AH494" s="48"/>
    </row>
    <row r="495" spans="23:34">
      <c r="W495" s="17"/>
      <c r="X495" s="17"/>
      <c r="Y495" s="17"/>
      <c r="AC495" s="47"/>
      <c r="AD495" s="47"/>
      <c r="AE495" s="47"/>
      <c r="AH495" s="48"/>
    </row>
    <row r="496" spans="23:34">
      <c r="W496" s="17"/>
      <c r="X496" s="17"/>
      <c r="Y496" s="17"/>
      <c r="AC496" s="47"/>
      <c r="AD496" s="47"/>
      <c r="AE496" s="47"/>
      <c r="AH496" s="48"/>
    </row>
    <row r="497" spans="23:34">
      <c r="W497" s="17"/>
      <c r="X497" s="17"/>
      <c r="Y497" s="17"/>
      <c r="AC497" s="47"/>
      <c r="AD497" s="47"/>
      <c r="AE497" s="47"/>
      <c r="AH497" s="48"/>
    </row>
    <row r="498" spans="23:34">
      <c r="W498" s="17"/>
      <c r="X498" s="17"/>
      <c r="Y498" s="17"/>
      <c r="AC498" s="47"/>
      <c r="AD498" s="47"/>
      <c r="AE498" s="47"/>
      <c r="AH498" s="48"/>
    </row>
    <row r="499" spans="23:34">
      <c r="W499" s="17"/>
      <c r="X499" s="17"/>
      <c r="Y499" s="17"/>
      <c r="AC499" s="47"/>
      <c r="AD499" s="47"/>
      <c r="AE499" s="47"/>
      <c r="AH499" s="48"/>
    </row>
    <row r="500" spans="23:34">
      <c r="W500" s="17"/>
      <c r="X500" s="17"/>
      <c r="Y500" s="17"/>
      <c r="AC500" s="47"/>
      <c r="AD500" s="47"/>
      <c r="AE500" s="47"/>
      <c r="AH500" s="48"/>
    </row>
    <row r="501" spans="23:34">
      <c r="W501" s="17"/>
      <c r="X501" s="17"/>
      <c r="Y501" s="17"/>
      <c r="AC501" s="47"/>
      <c r="AD501" s="47"/>
      <c r="AE501" s="47"/>
      <c r="AH501" s="48"/>
    </row>
    <row r="502" spans="23:34">
      <c r="W502" s="17"/>
      <c r="X502" s="17"/>
      <c r="Y502" s="17"/>
      <c r="AC502" s="47"/>
      <c r="AD502" s="47"/>
      <c r="AE502" s="47"/>
      <c r="AH502" s="48"/>
    </row>
    <row r="503" spans="23:34">
      <c r="W503" s="17"/>
      <c r="X503" s="17"/>
      <c r="Y503" s="17"/>
      <c r="AC503" s="47"/>
      <c r="AD503" s="47"/>
      <c r="AE503" s="47"/>
      <c r="AH503" s="48"/>
    </row>
    <row r="504" spans="23:34">
      <c r="W504" s="17"/>
      <c r="X504" s="17"/>
      <c r="Y504" s="17"/>
      <c r="AC504" s="47"/>
      <c r="AD504" s="47"/>
      <c r="AE504" s="47"/>
      <c r="AH504" s="48"/>
    </row>
    <row r="505" spans="23:34">
      <c r="W505" s="17"/>
      <c r="X505" s="17"/>
      <c r="Y505" s="17"/>
      <c r="AC505" s="47"/>
      <c r="AD505" s="47"/>
      <c r="AE505" s="47"/>
      <c r="AH505" s="48"/>
    </row>
    <row r="506" spans="23:34">
      <c r="W506" s="17"/>
      <c r="X506" s="17"/>
      <c r="Y506" s="17"/>
      <c r="AC506" s="47"/>
      <c r="AD506" s="47"/>
      <c r="AE506" s="47"/>
      <c r="AH506" s="48"/>
    </row>
    <row r="507" spans="23:34">
      <c r="W507" s="17"/>
      <c r="X507" s="17"/>
      <c r="Y507" s="17"/>
      <c r="AC507" s="47"/>
      <c r="AD507" s="47"/>
      <c r="AE507" s="47"/>
      <c r="AH507" s="48"/>
    </row>
    <row r="508" spans="23:34">
      <c r="W508" s="17"/>
      <c r="X508" s="17"/>
      <c r="Y508" s="17"/>
      <c r="AC508" s="47"/>
      <c r="AD508" s="47"/>
      <c r="AE508" s="47"/>
      <c r="AH508" s="48"/>
    </row>
    <row r="509" spans="23:34">
      <c r="W509" s="17"/>
      <c r="X509" s="17"/>
      <c r="Y509" s="17"/>
      <c r="AC509" s="47"/>
      <c r="AD509" s="47"/>
      <c r="AE509" s="47"/>
      <c r="AH509" s="48"/>
    </row>
    <row r="510" spans="23:34">
      <c r="W510" s="17"/>
      <c r="X510" s="17"/>
      <c r="Y510" s="17"/>
      <c r="AC510" s="47"/>
      <c r="AD510" s="47"/>
      <c r="AE510" s="47"/>
      <c r="AH510" s="48"/>
    </row>
    <row r="511" spans="23:34">
      <c r="W511" s="17"/>
      <c r="X511" s="17"/>
      <c r="Y511" s="17"/>
      <c r="AC511" s="47"/>
      <c r="AD511" s="47"/>
      <c r="AE511" s="47"/>
      <c r="AH511" s="48"/>
    </row>
    <row r="512" spans="23:34">
      <c r="W512" s="17"/>
      <c r="X512" s="17"/>
      <c r="Y512" s="17"/>
      <c r="AC512" s="47"/>
      <c r="AD512" s="47"/>
      <c r="AE512" s="47"/>
      <c r="AH512" s="48"/>
    </row>
    <row r="513" spans="23:34">
      <c r="W513" s="17"/>
      <c r="X513" s="17"/>
      <c r="Y513" s="17"/>
      <c r="AC513" s="47"/>
      <c r="AD513" s="47"/>
      <c r="AE513" s="47"/>
      <c r="AH513" s="48"/>
    </row>
    <row r="514" spans="23:34">
      <c r="W514" s="17"/>
      <c r="X514" s="17"/>
      <c r="Y514" s="17"/>
      <c r="AC514" s="47"/>
      <c r="AD514" s="47"/>
      <c r="AE514" s="47"/>
      <c r="AH514" s="48"/>
    </row>
    <row r="515" spans="23:34">
      <c r="W515" s="17"/>
      <c r="X515" s="17"/>
      <c r="Y515" s="17"/>
      <c r="AC515" s="47"/>
      <c r="AD515" s="47"/>
      <c r="AE515" s="47"/>
      <c r="AH515" s="48"/>
    </row>
    <row r="516" spans="23:34">
      <c r="W516" s="17"/>
      <c r="X516" s="17"/>
      <c r="Y516" s="17"/>
      <c r="AC516" s="47"/>
      <c r="AD516" s="47"/>
      <c r="AE516" s="47"/>
      <c r="AH516" s="48"/>
    </row>
    <row r="517" spans="23:34">
      <c r="W517" s="17"/>
      <c r="X517" s="17"/>
      <c r="Y517" s="17"/>
      <c r="AC517" s="47"/>
      <c r="AD517" s="47"/>
      <c r="AE517" s="47"/>
      <c r="AH517" s="48"/>
    </row>
    <row r="518" spans="23:34">
      <c r="W518" s="17"/>
      <c r="X518" s="17"/>
      <c r="Y518" s="17"/>
      <c r="AC518" s="47"/>
      <c r="AD518" s="47"/>
      <c r="AE518" s="47"/>
      <c r="AH518" s="48"/>
    </row>
    <row r="519" spans="23:34">
      <c r="W519" s="17"/>
      <c r="X519" s="17"/>
      <c r="Y519" s="17"/>
      <c r="AC519" s="47"/>
      <c r="AD519" s="47"/>
      <c r="AE519" s="47"/>
      <c r="AH519" s="48"/>
    </row>
    <row r="520" spans="23:34">
      <c r="W520" s="17"/>
      <c r="X520" s="17"/>
      <c r="Y520" s="17"/>
      <c r="AC520" s="47"/>
      <c r="AD520" s="47"/>
      <c r="AE520" s="47"/>
      <c r="AH520" s="48"/>
    </row>
    <row r="521" spans="23:34">
      <c r="W521" s="17"/>
      <c r="X521" s="17"/>
      <c r="Y521" s="17"/>
      <c r="AC521" s="47"/>
      <c r="AD521" s="47"/>
      <c r="AE521" s="47"/>
      <c r="AH521" s="48"/>
    </row>
    <row r="522" spans="23:34">
      <c r="W522" s="17"/>
      <c r="X522" s="17"/>
      <c r="Y522" s="17"/>
      <c r="AC522" s="47"/>
      <c r="AD522" s="47"/>
      <c r="AE522" s="47"/>
      <c r="AH522" s="48"/>
    </row>
    <row r="523" spans="23:34">
      <c r="W523" s="17"/>
      <c r="X523" s="17"/>
      <c r="Y523" s="17"/>
      <c r="AC523" s="47"/>
      <c r="AD523" s="47"/>
      <c r="AE523" s="47"/>
      <c r="AH523" s="48"/>
    </row>
    <row r="524" spans="23:34">
      <c r="W524" s="17"/>
      <c r="X524" s="17"/>
      <c r="Y524" s="17"/>
      <c r="AC524" s="47"/>
      <c r="AD524" s="47"/>
      <c r="AE524" s="47"/>
      <c r="AH524" s="48"/>
    </row>
    <row r="525" spans="23:34">
      <c r="W525" s="17"/>
      <c r="X525" s="17"/>
      <c r="Y525" s="17"/>
      <c r="AC525" s="47"/>
      <c r="AD525" s="47"/>
      <c r="AE525" s="47"/>
      <c r="AH525" s="48"/>
    </row>
    <row r="526" spans="23:34">
      <c r="W526" s="17"/>
      <c r="X526" s="17"/>
      <c r="Y526" s="17"/>
      <c r="AC526" s="47"/>
      <c r="AD526" s="47"/>
      <c r="AE526" s="47"/>
      <c r="AH526" s="48"/>
    </row>
    <row r="527" spans="23:34">
      <c r="W527" s="17"/>
      <c r="X527" s="17"/>
      <c r="Y527" s="17"/>
      <c r="AC527" s="47"/>
      <c r="AD527" s="47"/>
      <c r="AE527" s="47"/>
      <c r="AH527" s="48"/>
    </row>
    <row r="528" spans="23:34">
      <c r="W528" s="17"/>
      <c r="X528" s="17"/>
      <c r="Y528" s="17"/>
      <c r="AC528" s="47"/>
      <c r="AD528" s="47"/>
      <c r="AE528" s="47"/>
      <c r="AH528" s="48"/>
    </row>
    <row r="529" spans="23:34">
      <c r="W529" s="17"/>
      <c r="X529" s="17"/>
      <c r="Y529" s="17"/>
      <c r="AC529" s="47"/>
      <c r="AD529" s="47"/>
      <c r="AE529" s="47"/>
      <c r="AH529" s="48"/>
    </row>
    <row r="530" spans="23:34">
      <c r="W530" s="17"/>
      <c r="X530" s="17"/>
      <c r="Y530" s="17"/>
      <c r="AC530" s="47"/>
      <c r="AD530" s="47"/>
      <c r="AE530" s="47"/>
      <c r="AH530" s="48"/>
    </row>
    <row r="531" spans="23:34">
      <c r="W531" s="17"/>
      <c r="X531" s="17"/>
      <c r="Y531" s="17"/>
      <c r="AC531" s="47"/>
      <c r="AD531" s="47"/>
      <c r="AE531" s="47"/>
      <c r="AH531" s="48"/>
    </row>
    <row r="532" spans="23:34">
      <c r="W532" s="17"/>
      <c r="X532" s="17"/>
      <c r="Y532" s="17"/>
      <c r="AC532" s="47"/>
      <c r="AD532" s="47"/>
      <c r="AE532" s="47"/>
      <c r="AH532" s="48"/>
    </row>
    <row r="533" spans="23:34">
      <c r="W533" s="17"/>
      <c r="X533" s="17"/>
      <c r="Y533" s="17"/>
      <c r="AC533" s="47"/>
      <c r="AD533" s="47"/>
      <c r="AE533" s="47"/>
      <c r="AH533" s="48"/>
    </row>
    <row r="534" spans="23:34">
      <c r="W534" s="17"/>
      <c r="X534" s="17"/>
      <c r="Y534" s="17"/>
      <c r="AC534" s="47"/>
      <c r="AD534" s="47"/>
      <c r="AE534" s="47"/>
      <c r="AH534" s="48"/>
    </row>
    <row r="535" spans="23:34">
      <c r="W535" s="17"/>
      <c r="X535" s="17"/>
      <c r="Y535" s="17"/>
      <c r="AC535" s="47"/>
      <c r="AD535" s="47"/>
      <c r="AE535" s="47"/>
      <c r="AH535" s="48"/>
    </row>
    <row r="536" spans="23:34">
      <c r="W536" s="17"/>
      <c r="X536" s="17"/>
      <c r="Y536" s="17"/>
      <c r="AC536" s="47"/>
      <c r="AD536" s="47"/>
      <c r="AE536" s="47"/>
      <c r="AH536" s="48"/>
    </row>
    <row r="537" spans="23:34">
      <c r="W537" s="17"/>
      <c r="X537" s="17"/>
      <c r="Y537" s="17"/>
      <c r="AC537" s="47"/>
      <c r="AD537" s="47"/>
      <c r="AE537" s="47"/>
      <c r="AH537" s="48"/>
    </row>
    <row r="538" spans="23:34">
      <c r="W538" s="17"/>
      <c r="X538" s="17"/>
      <c r="Y538" s="17"/>
      <c r="AC538" s="47"/>
      <c r="AD538" s="47"/>
      <c r="AE538" s="47"/>
      <c r="AH538" s="48"/>
    </row>
    <row r="539" spans="23:34">
      <c r="W539" s="17"/>
      <c r="X539" s="17"/>
      <c r="Y539" s="17"/>
      <c r="AC539" s="47"/>
      <c r="AD539" s="47"/>
      <c r="AE539" s="47"/>
      <c r="AH539" s="48"/>
    </row>
    <row r="540" spans="23:34">
      <c r="W540" s="17"/>
      <c r="X540" s="17"/>
      <c r="Y540" s="17"/>
      <c r="AC540" s="47"/>
      <c r="AD540" s="47"/>
      <c r="AE540" s="47"/>
      <c r="AH540" s="48"/>
    </row>
    <row r="541" spans="23:34">
      <c r="W541" s="17"/>
      <c r="X541" s="17"/>
      <c r="Y541" s="17"/>
      <c r="AC541" s="47"/>
      <c r="AD541" s="47"/>
      <c r="AE541" s="47"/>
      <c r="AH541" s="48"/>
    </row>
    <row r="542" spans="23:34">
      <c r="W542" s="17"/>
      <c r="X542" s="17"/>
      <c r="Y542" s="17"/>
      <c r="AC542" s="47"/>
      <c r="AD542" s="47"/>
      <c r="AE542" s="47"/>
      <c r="AH542" s="48"/>
    </row>
    <row r="543" spans="23:34">
      <c r="W543" s="17"/>
      <c r="X543" s="17"/>
      <c r="Y543" s="17"/>
      <c r="AC543" s="47"/>
      <c r="AD543" s="47"/>
      <c r="AE543" s="47"/>
      <c r="AH543" s="48"/>
    </row>
    <row r="544" spans="23:34">
      <c r="W544" s="17"/>
      <c r="X544" s="17"/>
      <c r="Y544" s="17"/>
      <c r="AC544" s="47"/>
      <c r="AD544" s="47"/>
      <c r="AE544" s="47"/>
      <c r="AH544" s="48"/>
    </row>
    <row r="545" spans="23:34">
      <c r="W545" s="17"/>
      <c r="X545" s="17"/>
      <c r="Y545" s="17"/>
      <c r="AC545" s="47"/>
      <c r="AD545" s="47"/>
      <c r="AE545" s="47"/>
      <c r="AH545" s="48"/>
    </row>
    <row r="546" spans="23:34">
      <c r="W546" s="17"/>
      <c r="X546" s="17"/>
      <c r="Y546" s="17"/>
      <c r="AC546" s="47"/>
      <c r="AD546" s="47"/>
      <c r="AE546" s="47"/>
      <c r="AH546" s="48"/>
    </row>
    <row r="547" spans="23:34">
      <c r="W547" s="17"/>
      <c r="X547" s="17"/>
      <c r="Y547" s="17"/>
      <c r="AC547" s="47"/>
      <c r="AD547" s="47"/>
      <c r="AE547" s="47"/>
      <c r="AH547" s="48"/>
    </row>
    <row r="548" spans="23:34">
      <c r="W548" s="17"/>
      <c r="X548" s="17"/>
      <c r="Y548" s="17"/>
      <c r="AC548" s="47"/>
      <c r="AD548" s="47"/>
      <c r="AE548" s="47"/>
      <c r="AH548" s="48"/>
    </row>
    <row r="549" spans="23:34">
      <c r="W549" s="17"/>
      <c r="X549" s="17"/>
      <c r="Y549" s="17"/>
      <c r="AC549" s="47"/>
      <c r="AD549" s="47"/>
      <c r="AE549" s="47"/>
      <c r="AH549" s="48"/>
    </row>
    <row r="550" spans="23:34">
      <c r="W550" s="17"/>
      <c r="X550" s="17"/>
      <c r="Y550" s="17"/>
      <c r="AC550" s="47"/>
      <c r="AD550" s="47"/>
      <c r="AE550" s="47"/>
      <c r="AH550" s="48"/>
    </row>
    <row r="551" spans="23:34">
      <c r="W551" s="17"/>
      <c r="X551" s="17"/>
      <c r="Y551" s="17"/>
      <c r="AC551" s="47"/>
      <c r="AD551" s="47"/>
      <c r="AE551" s="47"/>
      <c r="AH551" s="48"/>
    </row>
    <row r="552" spans="23:34">
      <c r="W552" s="17"/>
      <c r="X552" s="17"/>
      <c r="Y552" s="17"/>
      <c r="AC552" s="47"/>
      <c r="AD552" s="47"/>
      <c r="AE552" s="47"/>
      <c r="AH552" s="48"/>
    </row>
    <row r="553" spans="23:34">
      <c r="W553" s="17"/>
      <c r="X553" s="17"/>
      <c r="Y553" s="17"/>
      <c r="AC553" s="47"/>
      <c r="AD553" s="47"/>
      <c r="AE553" s="47"/>
      <c r="AH553" s="48"/>
    </row>
    <row r="554" spans="23:34">
      <c r="W554" s="17"/>
      <c r="X554" s="17"/>
      <c r="Y554" s="17"/>
      <c r="AC554" s="47"/>
      <c r="AD554" s="47"/>
      <c r="AE554" s="47"/>
      <c r="AH554" s="48"/>
    </row>
    <row r="555" spans="23:34">
      <c r="W555" s="17"/>
      <c r="X555" s="17"/>
      <c r="Y555" s="17"/>
      <c r="AC555" s="47"/>
      <c r="AD555" s="47"/>
      <c r="AE555" s="47"/>
      <c r="AH555" s="48"/>
    </row>
    <row r="556" spans="23:34">
      <c r="W556" s="17"/>
      <c r="X556" s="17"/>
      <c r="Y556" s="17"/>
      <c r="AC556" s="47"/>
      <c r="AD556" s="47"/>
      <c r="AE556" s="47"/>
      <c r="AH556" s="48"/>
    </row>
    <row r="557" spans="23:34">
      <c r="W557" s="17"/>
      <c r="X557" s="17"/>
      <c r="Y557" s="17"/>
      <c r="AC557" s="47"/>
      <c r="AD557" s="47"/>
      <c r="AE557" s="47"/>
      <c r="AH557" s="48"/>
    </row>
    <row r="558" spans="23:34">
      <c r="W558" s="17"/>
      <c r="X558" s="17"/>
      <c r="Y558" s="17"/>
      <c r="AC558" s="47"/>
      <c r="AD558" s="47"/>
      <c r="AE558" s="47"/>
      <c r="AH558" s="48"/>
    </row>
    <row r="559" spans="23:34">
      <c r="W559" s="17"/>
      <c r="X559" s="17"/>
      <c r="Y559" s="17"/>
      <c r="AC559" s="47"/>
      <c r="AD559" s="47"/>
      <c r="AE559" s="47"/>
      <c r="AH559" s="48"/>
    </row>
    <row r="560" spans="23:34">
      <c r="W560" s="17"/>
      <c r="X560" s="17"/>
      <c r="Y560" s="17"/>
      <c r="AC560" s="47"/>
      <c r="AD560" s="47"/>
      <c r="AE560" s="47"/>
      <c r="AH560" s="48"/>
    </row>
    <row r="561" spans="23:34">
      <c r="W561" s="17"/>
      <c r="X561" s="17"/>
      <c r="Y561" s="17"/>
      <c r="AC561" s="47"/>
      <c r="AD561" s="47"/>
      <c r="AE561" s="47"/>
      <c r="AH561" s="48"/>
    </row>
    <row r="562" spans="23:34">
      <c r="W562" s="17"/>
      <c r="X562" s="17"/>
      <c r="Y562" s="17"/>
      <c r="AC562" s="47"/>
      <c r="AD562" s="47"/>
      <c r="AE562" s="47"/>
      <c r="AH562" s="48"/>
    </row>
    <row r="563" spans="23:34">
      <c r="W563" s="17"/>
      <c r="X563" s="17"/>
      <c r="Y563" s="17"/>
      <c r="AC563" s="47"/>
      <c r="AD563" s="47"/>
      <c r="AE563" s="47"/>
      <c r="AH563" s="48"/>
    </row>
    <row r="564" spans="23:34">
      <c r="W564" s="17"/>
      <c r="X564" s="17"/>
      <c r="Y564" s="17"/>
      <c r="AC564" s="47"/>
      <c r="AD564" s="47"/>
      <c r="AE564" s="47"/>
      <c r="AH564" s="48"/>
    </row>
    <row r="565" spans="23:34">
      <c r="W565" s="17"/>
      <c r="X565" s="17"/>
      <c r="Y565" s="17"/>
      <c r="AC565" s="47"/>
      <c r="AD565" s="47"/>
      <c r="AE565" s="47"/>
      <c r="AH565" s="48"/>
    </row>
    <row r="566" spans="23:34">
      <c r="W566" s="17"/>
      <c r="X566" s="17"/>
      <c r="Y566" s="17"/>
      <c r="AC566" s="47"/>
      <c r="AD566" s="47"/>
      <c r="AE566" s="47"/>
      <c r="AH566" s="48"/>
    </row>
    <row r="567" spans="23:34">
      <c r="W567" s="17"/>
      <c r="X567" s="17"/>
      <c r="Y567" s="17"/>
      <c r="AC567" s="47"/>
      <c r="AD567" s="47"/>
      <c r="AE567" s="47"/>
      <c r="AH567" s="48"/>
    </row>
    <row r="568" spans="23:34">
      <c r="W568" s="17"/>
      <c r="X568" s="17"/>
      <c r="Y568" s="17"/>
      <c r="AC568" s="47"/>
      <c r="AD568" s="47"/>
      <c r="AE568" s="47"/>
      <c r="AH568" s="48"/>
    </row>
    <row r="569" spans="23:34">
      <c r="AC569" s="47"/>
      <c r="AD569" s="47"/>
      <c r="AE569" s="47"/>
      <c r="AH569" s="48"/>
    </row>
    <row r="570" spans="23:34">
      <c r="AC570" s="47"/>
      <c r="AD570" s="47"/>
      <c r="AE570" s="47"/>
      <c r="AH570" s="48"/>
    </row>
    <row r="571" spans="23:34">
      <c r="AC571" s="47"/>
      <c r="AD571" s="47"/>
      <c r="AE571" s="47"/>
      <c r="AH571" s="48"/>
    </row>
    <row r="572" spans="23:34">
      <c r="AC572" s="47"/>
      <c r="AD572" s="47"/>
      <c r="AE572" s="47"/>
      <c r="AH572" s="48"/>
    </row>
    <row r="573" spans="23:34">
      <c r="AC573" s="47"/>
      <c r="AD573" s="47"/>
      <c r="AE573" s="47"/>
      <c r="AH573" s="48"/>
    </row>
    <row r="574" spans="23:34">
      <c r="AC574" s="47"/>
      <c r="AD574" s="47"/>
      <c r="AE574" s="47"/>
      <c r="AH574" s="48"/>
    </row>
    <row r="575" spans="23:34">
      <c r="AC575" s="47"/>
      <c r="AD575" s="47"/>
      <c r="AE575" s="47"/>
      <c r="AH575" s="48"/>
    </row>
    <row r="576" spans="23:34">
      <c r="AC576" s="47"/>
      <c r="AD576" s="47"/>
      <c r="AE576" s="47"/>
      <c r="AH576" s="48"/>
    </row>
    <row r="577" spans="29:34">
      <c r="AC577" s="47"/>
      <c r="AD577" s="47"/>
      <c r="AE577" s="47"/>
      <c r="AH577" s="48"/>
    </row>
    <row r="578" spans="29:34">
      <c r="AC578" s="47"/>
      <c r="AD578" s="47"/>
      <c r="AE578" s="47"/>
      <c r="AH578" s="48"/>
    </row>
    <row r="579" spans="29:34">
      <c r="AC579" s="47"/>
      <c r="AD579" s="47"/>
      <c r="AE579" s="47"/>
      <c r="AH579" s="48"/>
    </row>
    <row r="580" spans="29:34">
      <c r="AC580" s="47"/>
      <c r="AD580" s="47"/>
      <c r="AE580" s="47"/>
      <c r="AH580" s="48"/>
    </row>
    <row r="581" spans="29:34">
      <c r="AC581" s="47"/>
      <c r="AD581" s="47"/>
      <c r="AE581" s="47"/>
      <c r="AH581" s="48"/>
    </row>
    <row r="582" spans="29:34">
      <c r="AC582" s="47"/>
      <c r="AD582" s="47"/>
      <c r="AE582" s="47"/>
      <c r="AH582" s="48"/>
    </row>
    <row r="583" spans="29:34">
      <c r="AC583" s="47"/>
      <c r="AD583" s="47"/>
      <c r="AE583" s="47"/>
      <c r="AH583" s="48"/>
    </row>
    <row r="584" spans="29:34">
      <c r="AC584" s="47"/>
      <c r="AD584" s="47"/>
      <c r="AE584" s="47"/>
      <c r="AH584" s="48"/>
    </row>
    <row r="585" spans="29:34">
      <c r="AC585" s="47"/>
      <c r="AD585" s="47"/>
      <c r="AE585" s="47"/>
      <c r="AH585" s="48"/>
    </row>
    <row r="586" spans="29:34">
      <c r="AC586" s="47"/>
      <c r="AD586" s="47"/>
      <c r="AE586" s="47"/>
      <c r="AH586" s="48"/>
    </row>
    <row r="587" spans="29:34">
      <c r="AC587" s="47"/>
      <c r="AD587" s="47"/>
      <c r="AE587" s="47"/>
      <c r="AH587" s="48"/>
    </row>
    <row r="588" spans="29:34">
      <c r="AC588" s="47"/>
      <c r="AD588" s="47"/>
      <c r="AE588" s="47"/>
      <c r="AH588" s="48"/>
    </row>
    <row r="589" spans="29:34">
      <c r="AC589" s="47"/>
      <c r="AD589" s="47"/>
      <c r="AE589" s="47"/>
      <c r="AH589" s="48"/>
    </row>
    <row r="590" spans="29:34">
      <c r="AC590" s="47"/>
      <c r="AD590" s="47"/>
      <c r="AE590" s="47"/>
      <c r="AH590" s="48"/>
    </row>
    <row r="591" spans="29:34">
      <c r="AC591" s="47"/>
      <c r="AD591" s="47"/>
      <c r="AE591" s="47"/>
      <c r="AH591" s="48"/>
    </row>
    <row r="592" spans="29:34">
      <c r="AC592" s="47"/>
      <c r="AD592" s="47"/>
      <c r="AE592" s="47"/>
      <c r="AH592" s="48"/>
    </row>
    <row r="593" spans="29:34">
      <c r="AC593" s="47"/>
      <c r="AD593" s="47"/>
      <c r="AE593" s="47"/>
      <c r="AH593" s="48"/>
    </row>
    <row r="594" spans="29:34">
      <c r="AC594" s="47"/>
      <c r="AD594" s="47"/>
      <c r="AE594" s="47"/>
      <c r="AH594" s="48"/>
    </row>
    <row r="595" spans="29:34">
      <c r="AC595" s="47"/>
      <c r="AD595" s="47"/>
      <c r="AE595" s="47"/>
      <c r="AH595" s="48"/>
    </row>
    <row r="596" spans="29:34">
      <c r="AC596" s="47"/>
      <c r="AD596" s="47"/>
      <c r="AE596" s="47"/>
      <c r="AH596" s="48"/>
    </row>
    <row r="597" spans="29:34">
      <c r="AC597" s="47"/>
      <c r="AD597" s="47"/>
      <c r="AE597" s="47"/>
      <c r="AH597" s="48"/>
    </row>
    <row r="598" spans="29:34">
      <c r="AC598" s="47"/>
      <c r="AD598" s="47"/>
      <c r="AE598" s="47"/>
      <c r="AH598" s="48"/>
    </row>
    <row r="599" spans="29:34">
      <c r="AC599" s="47"/>
      <c r="AD599" s="47"/>
      <c r="AE599" s="47"/>
      <c r="AH599" s="48"/>
    </row>
    <row r="600" spans="29:34">
      <c r="AC600" s="47"/>
      <c r="AD600" s="47"/>
      <c r="AE600" s="47"/>
      <c r="AH600" s="48"/>
    </row>
    <row r="601" spans="29:34">
      <c r="AC601" s="47"/>
      <c r="AD601" s="47"/>
      <c r="AE601" s="47"/>
      <c r="AH601" s="48"/>
    </row>
    <row r="602" spans="29:34">
      <c r="AC602" s="47"/>
      <c r="AD602" s="47"/>
      <c r="AE602" s="47"/>
      <c r="AH602" s="48"/>
    </row>
    <row r="603" spans="29:34">
      <c r="AC603" s="47"/>
      <c r="AD603" s="47"/>
      <c r="AE603" s="47"/>
      <c r="AH603" s="48"/>
    </row>
    <row r="604" spans="29:34">
      <c r="AC604" s="47"/>
      <c r="AD604" s="47"/>
      <c r="AE604" s="47"/>
      <c r="AH604" s="48"/>
    </row>
    <row r="605" spans="29:34">
      <c r="AC605" s="47"/>
      <c r="AD605" s="47"/>
      <c r="AE605" s="47"/>
      <c r="AH605" s="48"/>
    </row>
    <row r="606" spans="29:34">
      <c r="AC606" s="47"/>
      <c r="AD606" s="47"/>
      <c r="AE606" s="47"/>
      <c r="AH606" s="48"/>
    </row>
    <row r="607" spans="29:34">
      <c r="AC607" s="47"/>
      <c r="AD607" s="47"/>
      <c r="AE607" s="47"/>
      <c r="AH607" s="48"/>
    </row>
    <row r="608" spans="29:34">
      <c r="AC608" s="47"/>
      <c r="AD608" s="47"/>
      <c r="AE608" s="47"/>
      <c r="AH608" s="48"/>
    </row>
    <row r="609" spans="29:34">
      <c r="AC609" s="47"/>
      <c r="AD609" s="47"/>
      <c r="AE609" s="47"/>
      <c r="AH609" s="48"/>
    </row>
    <row r="610" spans="29:34">
      <c r="AC610" s="47"/>
      <c r="AD610" s="47"/>
      <c r="AE610" s="47"/>
      <c r="AH610" s="48"/>
    </row>
    <row r="611" spans="29:34">
      <c r="AC611" s="47"/>
      <c r="AD611" s="47"/>
      <c r="AE611" s="47"/>
      <c r="AH611" s="48"/>
    </row>
    <row r="612" spans="29:34">
      <c r="AC612" s="47"/>
      <c r="AD612" s="47"/>
      <c r="AE612" s="47"/>
      <c r="AH612" s="48"/>
    </row>
    <row r="613" spans="29:34">
      <c r="AC613" s="47"/>
      <c r="AD613" s="47"/>
      <c r="AE613" s="47"/>
      <c r="AH613" s="48"/>
    </row>
    <row r="614" spans="29:34">
      <c r="AC614" s="47"/>
      <c r="AD614" s="47"/>
      <c r="AE614" s="47"/>
      <c r="AH614" s="48"/>
    </row>
    <row r="615" spans="29:34">
      <c r="AC615" s="47"/>
      <c r="AD615" s="47"/>
      <c r="AE615" s="47"/>
      <c r="AH615" s="48"/>
    </row>
    <row r="616" spans="29:34">
      <c r="AC616" s="47"/>
      <c r="AD616" s="47"/>
      <c r="AE616" s="47"/>
      <c r="AH616" s="48"/>
    </row>
    <row r="617" spans="29:34">
      <c r="AC617" s="47"/>
      <c r="AD617" s="47"/>
      <c r="AE617" s="47"/>
      <c r="AH617" s="48"/>
    </row>
    <row r="618" spans="29:34">
      <c r="AC618" s="47"/>
      <c r="AD618" s="47"/>
      <c r="AE618" s="47"/>
      <c r="AH618" s="48"/>
    </row>
    <row r="619" spans="29:34">
      <c r="AC619" s="47"/>
      <c r="AD619" s="47"/>
      <c r="AE619" s="47"/>
      <c r="AH619" s="48"/>
    </row>
    <row r="620" spans="29:34">
      <c r="AC620" s="47"/>
      <c r="AD620" s="47"/>
      <c r="AE620" s="47"/>
      <c r="AH620" s="48"/>
    </row>
    <row r="621" spans="29:34">
      <c r="AC621" s="47"/>
      <c r="AD621" s="47"/>
      <c r="AE621" s="47"/>
      <c r="AH621" s="48"/>
    </row>
    <row r="622" spans="29:34">
      <c r="AC622" s="47"/>
      <c r="AD622" s="47"/>
      <c r="AE622" s="47"/>
      <c r="AH622" s="48"/>
    </row>
    <row r="623" spans="29:34">
      <c r="AC623" s="47"/>
      <c r="AD623" s="47"/>
      <c r="AE623" s="47"/>
      <c r="AH623" s="48"/>
    </row>
    <row r="624" spans="29:34">
      <c r="AC624" s="47"/>
      <c r="AD624" s="47"/>
      <c r="AE624" s="47"/>
      <c r="AH624" s="48"/>
    </row>
    <row r="625" spans="29:34">
      <c r="AC625" s="47"/>
      <c r="AD625" s="47"/>
      <c r="AE625" s="47"/>
      <c r="AH625" s="48"/>
    </row>
    <row r="626" spans="29:34">
      <c r="AC626" s="47"/>
      <c r="AD626" s="47"/>
      <c r="AE626" s="47"/>
      <c r="AH626" s="48"/>
    </row>
    <row r="627" spans="29:34">
      <c r="AC627" s="47"/>
      <c r="AD627" s="47"/>
      <c r="AE627" s="47"/>
      <c r="AH627" s="48"/>
    </row>
    <row r="628" spans="29:34">
      <c r="AC628" s="47"/>
      <c r="AD628" s="47"/>
      <c r="AE628" s="47"/>
      <c r="AH628" s="48"/>
    </row>
    <row r="629" spans="29:34">
      <c r="AC629" s="47"/>
      <c r="AD629" s="47"/>
      <c r="AE629" s="47"/>
      <c r="AH629" s="48"/>
    </row>
    <row r="630" spans="29:34">
      <c r="AC630" s="47"/>
      <c r="AD630" s="47"/>
      <c r="AE630" s="47"/>
      <c r="AH630" s="48"/>
    </row>
    <row r="631" spans="29:34">
      <c r="AC631" s="47"/>
      <c r="AD631" s="47"/>
      <c r="AE631" s="47"/>
      <c r="AH631" s="48"/>
    </row>
    <row r="632" spans="29:34">
      <c r="AC632" s="47"/>
      <c r="AD632" s="47"/>
      <c r="AE632" s="47"/>
      <c r="AH632" s="48"/>
    </row>
    <row r="633" spans="29:34">
      <c r="AC633" s="47"/>
      <c r="AD633" s="47"/>
      <c r="AE633" s="47"/>
      <c r="AH633" s="48"/>
    </row>
    <row r="634" spans="29:34">
      <c r="AC634" s="47"/>
      <c r="AD634" s="47"/>
      <c r="AE634" s="47"/>
      <c r="AH634" s="48"/>
    </row>
    <row r="635" spans="29:34">
      <c r="AC635" s="47"/>
      <c r="AD635" s="47"/>
      <c r="AE635" s="47"/>
      <c r="AH635" s="48"/>
    </row>
    <row r="636" spans="29:34">
      <c r="AC636" s="47"/>
      <c r="AD636" s="47"/>
      <c r="AE636" s="47"/>
      <c r="AH636" s="48"/>
    </row>
    <row r="637" spans="29:34">
      <c r="AC637" s="47"/>
      <c r="AD637" s="47"/>
      <c r="AE637" s="47"/>
      <c r="AH637" s="48"/>
    </row>
    <row r="638" spans="29:34">
      <c r="AC638" s="47"/>
      <c r="AD638" s="47"/>
      <c r="AE638" s="47"/>
      <c r="AH638" s="48"/>
    </row>
    <row r="639" spans="29:34">
      <c r="AC639" s="47"/>
      <c r="AD639" s="47"/>
      <c r="AE639" s="47"/>
      <c r="AH639" s="48"/>
    </row>
    <row r="640" spans="29:34">
      <c r="AC640" s="47"/>
      <c r="AD640" s="47"/>
      <c r="AE640" s="47"/>
      <c r="AH640" s="48"/>
    </row>
  </sheetData>
  <phoneticPr fontId="6" type="noConversion"/>
  <conditionalFormatting sqref="AD2">
    <cfRule type="expression" dxfId="21" priority="2">
      <formula>AND($H2&lt;&gt;"",$H2&lt;TODAY())</formula>
    </cfRule>
    <cfRule type="expression" dxfId="20" priority="3">
      <formula>AND($H2&gt;=TODAY(),$H2&lt;=TODAY()+7)</formula>
    </cfRule>
  </conditionalFormatting>
  <conditionalFormatting sqref="AD2:AD317">
    <cfRule type="expression" dxfId="19" priority="14">
      <formula>AND($AD2&lt;&gt;"",$AD2&lt;TODAY())</formula>
    </cfRule>
    <cfRule type="expression" dxfId="18" priority="15">
      <formula>AND($AD2&gt;=TODAY(),$AD2&lt;=TODAY()+7)</formula>
    </cfRule>
  </conditionalFormatting>
  <conditionalFormatting sqref="AD102:AD317">
    <cfRule type="expression" dxfId="17" priority="12">
      <formula>AND($H102&lt;&gt;"",$H102&lt;TODAY())</formula>
    </cfRule>
    <cfRule type="expression" dxfId="16" priority="13">
      <formula>AND($H102&gt;=TODAY(),$H102&lt;=TODAY()+7)</formula>
    </cfRule>
  </conditionalFormatting>
  <conditionalFormatting sqref="AE318:AE389">
    <cfRule type="expression" dxfId="15" priority="6">
      <formula>AND($F318&lt;&gt;"",$F318&lt;TODAY())</formula>
    </cfRule>
    <cfRule type="expression" dxfId="14" priority="7">
      <formula>AND($F318&gt;=TODAY(),$F318&lt;=TODAY()+7)</formula>
    </cfRule>
  </conditionalFormatting>
  <conditionalFormatting sqref="AE318:AE640">
    <cfRule type="expression" dxfId="13" priority="8">
      <formula>AND($AE318&lt;&gt;"",$AE318&lt;TODAY())</formula>
    </cfRule>
    <cfRule type="expression" dxfId="12" priority="9">
      <formula>AND($AE318&gt;=TODAY(),$AE318&lt;=TODAY()+7)</formula>
    </cfRule>
  </conditionalFormatting>
  <conditionalFormatting sqref="AG2">
    <cfRule type="colorScale" priority="1">
      <colorScale>
        <cfvo type="min"/>
        <cfvo type="percentile" val="50"/>
        <cfvo type="max"/>
        <color rgb="FFFECACA"/>
        <color rgb="FFFEF3C7"/>
        <color rgb="FFDCFCE7"/>
      </colorScale>
    </cfRule>
  </conditionalFormatting>
  <conditionalFormatting sqref="AH318:AH640 AG2:AG317">
    <cfRule type="colorScale" priority="10">
      <colorScale>
        <cfvo type="min"/>
        <cfvo type="percentile" val="50"/>
        <cfvo type="max"/>
        <color rgb="FFFECACA"/>
        <color rgb="FFFEF3C7"/>
        <color rgb="FFDCFCE7"/>
      </colorScale>
    </cfRule>
  </conditionalFormatting>
  <conditionalFormatting sqref="AR178:AR201">
    <cfRule type="expression" dxfId="11" priority="4">
      <formula>AND($AE318&lt;&gt;"",$AE318&lt;TODAY())</formula>
    </cfRule>
    <cfRule type="expression" dxfId="10" priority="5">
      <formula>AND($AE318&gt;=TODAY(),$AE318&lt;=TODAY()+7)</formula>
    </cfRule>
  </conditionalFormatting>
  <conditionalFormatting sqref="AU178:AU201 AH318:AH389 AG102:AG317">
    <cfRule type="colorScale" priority="11">
      <colorScale>
        <cfvo type="min"/>
        <cfvo type="percentile" val="50"/>
        <cfvo type="max"/>
        <color rgb="FFFECACA"/>
        <color rgb="FFFEF3C7"/>
        <color rgb="FFDCFCE7"/>
      </colorScale>
    </cfRule>
  </conditionalFormatting>
  <hyperlinks>
    <hyperlink ref="F246" r:id="rId1" xr:uid="{E321AEDB-26D9-43D6-87DC-680A95A9D5D0}"/>
    <hyperlink ref="AI246" r:id="rId2" xr:uid="{8DD762D2-8480-47FC-8969-09A1E3E52C7C}"/>
    <hyperlink ref="T246" r:id="rId3" xr:uid="{14A258F1-6359-4205-9DB4-ECCF0796832A}"/>
    <hyperlink ref="R246" r:id="rId4" display="tel:3607044313" xr:uid="{E43CAA23-A487-4EBE-83FE-B77795B71111}"/>
    <hyperlink ref="F2" r:id="rId5" xr:uid="{8B758193-E8C7-478F-8CB5-8092DEE5781F}"/>
    <hyperlink ref="T2" r:id="rId6" xr:uid="{2F62BDC7-0EA2-4887-A741-D61B65237800}"/>
    <hyperlink ref="R2" r:id="rId7" display="tel:3607044313" xr:uid="{E7E354AD-052F-4F8B-A128-A8E3E191029A}"/>
    <hyperlink ref="G2" r:id="rId8" xr:uid="{CA1338F1-2434-4D66-B967-EA322F6E67E7}"/>
    <hyperlink ref="J2" r:id="rId9" xr:uid="{FBFA4986-E4F0-4B55-B099-E62957BF58BE}"/>
    <hyperlink ref="W2" r:id="rId10" xr:uid="{8CD76FBC-7276-4469-BA9F-F534CB7CEB95}"/>
    <hyperlink ref="F3" r:id="rId11" xr:uid="{C9DD7563-5D47-473D-900C-BDE5DA341B82}"/>
    <hyperlink ref="T3" r:id="rId12" xr:uid="{6524A626-B014-4B5B-9216-69DE2370BBCB}"/>
    <hyperlink ref="J3" r:id="rId13" xr:uid="{D2E27283-5427-4369-B772-7DCD1BA802EB}"/>
    <hyperlink ref="G3" r:id="rId14" xr:uid="{41FAC91B-9BE0-447F-9A85-040AACCCFE6A}"/>
  </hyperlinks>
  <pageMargins left="0.7" right="0.7" top="0.75" bottom="0.75" header="0.3" footer="0.3"/>
  <tableParts count="1">
    <tablePart r:id="rId15"/>
  </tableParts>
  <extLst>
    <ext xmlns:x14="http://schemas.microsoft.com/office/spreadsheetml/2009/9/main" uri="{CCE6A557-97BC-4b89-ADB6-D9C93CAAB3DF}">
      <x14:dataValidations xmlns:xm="http://schemas.microsoft.com/office/excel/2006/main" count="5">
        <x14:dataValidation type="list" xr:uid="{F49C121E-C5A4-4471-BDD1-A87D44EEC948}">
          <x14:formula1>
            <xm:f>Lists!$H$2:$H$9</xm:f>
          </x14:formula1>
          <xm:sqref>D318:E640 E2:E317</xm:sqref>
        </x14:dataValidation>
        <x14:dataValidation type="list" xr:uid="{181E2A1C-8BBD-4925-A917-B891FB7CA849}">
          <x14:formula1>
            <xm:f>Lists!$G$2:$G$9</xm:f>
          </x14:formula1>
          <xm:sqref>B318:B640 C2:C317</xm:sqref>
        </x14:dataValidation>
        <x14:dataValidation type="list" xr:uid="{E6EBDF4C-138B-4A66-AD1D-A8A9F7139D2D}">
          <x14:formula1>
            <xm:f>Lists!$L$2:$L$3</xm:f>
          </x14:formula1>
          <xm:sqref>AV178:AV201 AH2:AH317 AI318:AI640</xm:sqref>
        </x14:dataValidation>
        <x14:dataValidation type="list" xr:uid="{3BC910FC-BDA0-422D-986B-E635780DDAEA}">
          <x14:formula1>
            <xm:f>Lists!$F$2:$F$4</xm:f>
          </x14:formula1>
          <xm:sqref>AT178:AT201 AF2:AF317 AG318:AG640</xm:sqref>
        </x14:dataValidation>
        <x14:dataValidation type="list" xr:uid="{F5881858-0A1F-4096-B567-DC2F862AD9DF}">
          <x14:formula1>
            <xm:f>Lists!$A$2:$A$11</xm:f>
          </x14:formula1>
          <xm:sqref>AS178:AS201 AF318:AF640 AE2:AE317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500"/>
  <sheetViews>
    <sheetView workbookViewId="0">
      <selection activeCell="F2" sqref="F2"/>
    </sheetView>
  </sheetViews>
  <sheetFormatPr defaultRowHeight="14.25"/>
  <cols>
    <col min="1" max="1" width="14" customWidth="1"/>
    <col min="2" max="2" width="28" customWidth="1"/>
    <col min="3" max="6" width="14" customWidth="1"/>
    <col min="7" max="7" width="24" customWidth="1"/>
    <col min="8" max="8" width="14" customWidth="1"/>
    <col min="9" max="9" width="24" customWidth="1"/>
    <col min="10" max="14" width="14" customWidth="1"/>
    <col min="15" max="15" width="28" customWidth="1"/>
  </cols>
  <sheetData>
    <row r="1" spans="1:15" ht="32.1" customHeight="1">
      <c r="A1" s="2" t="s">
        <v>69</v>
      </c>
      <c r="B1" s="2" t="s">
        <v>31</v>
      </c>
      <c r="C1" s="2" t="s">
        <v>70</v>
      </c>
      <c r="D1" s="2" t="s">
        <v>71</v>
      </c>
      <c r="E1" s="2" t="s">
        <v>72</v>
      </c>
      <c r="F1" s="2" t="s">
        <v>73</v>
      </c>
      <c r="G1" s="2" t="s">
        <v>74</v>
      </c>
      <c r="H1" s="2" t="s">
        <v>75</v>
      </c>
      <c r="I1" s="2" t="s">
        <v>76</v>
      </c>
      <c r="J1" s="2" t="s">
        <v>77</v>
      </c>
      <c r="K1" s="2" t="s">
        <v>78</v>
      </c>
      <c r="L1" s="2" t="s">
        <v>79</v>
      </c>
      <c r="M1" s="2" t="s">
        <v>48</v>
      </c>
      <c r="N1" s="2" t="s">
        <v>49</v>
      </c>
      <c r="O1" s="2" t="s">
        <v>15</v>
      </c>
    </row>
    <row r="2" spans="1:15" ht="28.5">
      <c r="A2" s="3" t="s">
        <v>80</v>
      </c>
      <c r="B2" s="3" t="s">
        <v>54</v>
      </c>
      <c r="C2" s="3" t="s">
        <v>81</v>
      </c>
      <c r="D2" s="3" t="s">
        <v>82</v>
      </c>
      <c r="E2" s="3" t="s">
        <v>37</v>
      </c>
      <c r="F2" s="3" t="s">
        <v>37</v>
      </c>
      <c r="G2" s="3" t="s">
        <v>83</v>
      </c>
      <c r="H2" s="3" t="s">
        <v>84</v>
      </c>
      <c r="I2" s="3" t="s">
        <v>85</v>
      </c>
      <c r="J2" s="3" t="s">
        <v>74</v>
      </c>
      <c r="K2" s="3" t="s">
        <v>66</v>
      </c>
      <c r="L2" s="3" t="s">
        <v>86</v>
      </c>
      <c r="M2" s="4">
        <v>46205</v>
      </c>
      <c r="N2" s="4">
        <v>46212</v>
      </c>
      <c r="O2" s="3" t="s">
        <v>87</v>
      </c>
    </row>
    <row r="3" spans="1:15">
      <c r="A3" s="3" t="s">
        <v>283</v>
      </c>
      <c r="B3" s="3"/>
      <c r="C3" s="3"/>
      <c r="D3" s="3"/>
      <c r="E3" s="3"/>
      <c r="F3" s="3"/>
      <c r="G3" s="3"/>
      <c r="H3" s="3"/>
      <c r="I3" s="3"/>
      <c r="J3" s="3"/>
      <c r="K3" s="3"/>
      <c r="L3" s="3"/>
      <c r="M3" s="4"/>
      <c r="N3" s="4"/>
      <c r="O3" s="3"/>
    </row>
    <row r="4" spans="1:15">
      <c r="A4" s="3" t="s">
        <v>284</v>
      </c>
      <c r="B4" s="3"/>
      <c r="C4" s="3"/>
      <c r="D4" s="3"/>
      <c r="E4" s="3"/>
      <c r="F4" s="3"/>
      <c r="G4" s="3"/>
      <c r="H4" s="3"/>
      <c r="I4" s="3"/>
      <c r="J4" s="3"/>
      <c r="K4" s="3"/>
      <c r="L4" s="3"/>
      <c r="M4" s="4"/>
      <c r="N4" s="4"/>
      <c r="O4" s="3"/>
    </row>
    <row r="5" spans="1:15">
      <c r="A5" s="3" t="s">
        <v>285</v>
      </c>
      <c r="B5" s="3"/>
      <c r="C5" s="3"/>
      <c r="D5" s="3"/>
      <c r="E5" s="3"/>
      <c r="F5" s="3"/>
      <c r="G5" s="3"/>
      <c r="H5" s="3"/>
      <c r="I5" s="3"/>
      <c r="J5" s="3"/>
      <c r="K5" s="3"/>
      <c r="L5" s="3"/>
      <c r="M5" s="4"/>
      <c r="N5" s="4"/>
      <c r="O5" s="3"/>
    </row>
    <row r="6" spans="1:15">
      <c r="A6" s="3" t="s">
        <v>286</v>
      </c>
      <c r="B6" s="3"/>
      <c r="C6" s="3"/>
      <c r="D6" s="3"/>
      <c r="E6" s="3"/>
      <c r="F6" s="3"/>
      <c r="G6" s="3"/>
      <c r="H6" s="3"/>
      <c r="I6" s="3"/>
      <c r="J6" s="3"/>
      <c r="K6" s="3"/>
      <c r="L6" s="3"/>
      <c r="M6" s="4"/>
      <c r="N6" s="4"/>
      <c r="O6" s="3"/>
    </row>
    <row r="7" spans="1:15">
      <c r="A7" s="3" t="s">
        <v>287</v>
      </c>
      <c r="B7" s="3"/>
      <c r="C7" s="3"/>
      <c r="D7" s="3"/>
      <c r="E7" s="3"/>
      <c r="F7" s="3"/>
      <c r="G7" s="3"/>
      <c r="H7" s="3"/>
      <c r="I7" s="3"/>
      <c r="J7" s="3"/>
      <c r="K7" s="3"/>
      <c r="L7" s="3"/>
      <c r="M7" s="4"/>
      <c r="N7" s="4"/>
      <c r="O7" s="3"/>
    </row>
    <row r="8" spans="1:15">
      <c r="A8" s="3" t="s">
        <v>288</v>
      </c>
      <c r="B8" s="3"/>
      <c r="C8" s="3"/>
      <c r="D8" s="3"/>
      <c r="E8" s="3"/>
      <c r="F8" s="3"/>
      <c r="G8" s="3"/>
      <c r="H8" s="3"/>
      <c r="I8" s="3"/>
      <c r="J8" s="3"/>
      <c r="K8" s="3"/>
      <c r="L8" s="3"/>
      <c r="M8" s="4"/>
      <c r="N8" s="4"/>
      <c r="O8" s="3"/>
    </row>
    <row r="9" spans="1:15">
      <c r="A9" s="3" t="s">
        <v>289</v>
      </c>
      <c r="B9" s="3"/>
      <c r="C9" s="3"/>
      <c r="D9" s="3"/>
      <c r="E9" s="3"/>
      <c r="F9" s="3"/>
      <c r="G9" s="3"/>
      <c r="H9" s="3"/>
      <c r="I9" s="3"/>
      <c r="J9" s="3"/>
      <c r="K9" s="3"/>
      <c r="L9" s="3"/>
      <c r="M9" s="4"/>
      <c r="N9" s="4"/>
      <c r="O9" s="3"/>
    </row>
    <row r="10" spans="1:15">
      <c r="A10" s="3" t="s">
        <v>290</v>
      </c>
      <c r="B10" s="3"/>
      <c r="C10" s="3"/>
      <c r="D10" s="3"/>
      <c r="E10" s="3"/>
      <c r="F10" s="3"/>
      <c r="G10" s="3"/>
      <c r="H10" s="3"/>
      <c r="I10" s="3"/>
      <c r="J10" s="3"/>
      <c r="K10" s="3"/>
      <c r="L10" s="3"/>
      <c r="M10" s="4"/>
      <c r="N10" s="4"/>
      <c r="O10" s="3"/>
    </row>
    <row r="11" spans="1:15">
      <c r="A11" s="3" t="s">
        <v>291</v>
      </c>
      <c r="B11" s="3"/>
      <c r="C11" s="3"/>
      <c r="D11" s="3"/>
      <c r="E11" s="3"/>
      <c r="F11" s="3"/>
      <c r="G11" s="3"/>
      <c r="H11" s="3"/>
      <c r="I11" s="3"/>
      <c r="J11" s="3"/>
      <c r="K11" s="3"/>
      <c r="L11" s="3"/>
      <c r="M11" s="4"/>
      <c r="N11" s="4"/>
      <c r="O11" s="3"/>
    </row>
    <row r="12" spans="1:15">
      <c r="A12" s="3" t="s">
        <v>292</v>
      </c>
      <c r="B12" s="3"/>
      <c r="C12" s="3"/>
      <c r="D12" s="3"/>
      <c r="E12" s="3"/>
      <c r="F12" s="3"/>
      <c r="G12" s="3"/>
      <c r="H12" s="3"/>
      <c r="I12" s="3"/>
      <c r="J12" s="3"/>
      <c r="K12" s="3"/>
      <c r="L12" s="3"/>
      <c r="M12" s="4"/>
      <c r="N12" s="4"/>
      <c r="O12" s="3"/>
    </row>
    <row r="13" spans="1:15">
      <c r="A13" s="3" t="s">
        <v>293</v>
      </c>
      <c r="B13" s="3"/>
      <c r="C13" s="3"/>
      <c r="D13" s="3"/>
      <c r="E13" s="3"/>
      <c r="F13" s="3"/>
      <c r="G13" s="3"/>
      <c r="H13" s="3"/>
      <c r="I13" s="3"/>
      <c r="J13" s="3"/>
      <c r="K13" s="3"/>
      <c r="L13" s="3"/>
      <c r="M13" s="4"/>
      <c r="N13" s="4"/>
      <c r="O13" s="3"/>
    </row>
    <row r="14" spans="1:15">
      <c r="A14" s="3" t="s">
        <v>294</v>
      </c>
      <c r="B14" s="3"/>
      <c r="C14" s="3"/>
      <c r="D14" s="3"/>
      <c r="E14" s="3"/>
      <c r="F14" s="3"/>
      <c r="G14" s="3"/>
      <c r="H14" s="3"/>
      <c r="I14" s="3"/>
      <c r="J14" s="3"/>
      <c r="K14" s="3"/>
      <c r="L14" s="3"/>
      <c r="M14" s="4"/>
      <c r="N14" s="4"/>
      <c r="O14" s="3"/>
    </row>
    <row r="15" spans="1:15">
      <c r="A15" s="3" t="s">
        <v>295</v>
      </c>
      <c r="B15" s="3"/>
      <c r="C15" s="3"/>
      <c r="D15" s="3"/>
      <c r="E15" s="3"/>
      <c r="F15" s="3"/>
      <c r="G15" s="3"/>
      <c r="H15" s="3"/>
      <c r="I15" s="3"/>
      <c r="J15" s="3"/>
      <c r="K15" s="3"/>
      <c r="L15" s="3"/>
      <c r="M15" s="4"/>
      <c r="N15" s="4"/>
      <c r="O15" s="3"/>
    </row>
    <row r="16" spans="1:15">
      <c r="A16" s="3" t="s">
        <v>296</v>
      </c>
      <c r="B16" s="3"/>
      <c r="C16" s="3"/>
      <c r="D16" s="3"/>
      <c r="E16" s="3"/>
      <c r="F16" s="3"/>
      <c r="G16" s="3"/>
      <c r="H16" s="3"/>
      <c r="I16" s="3"/>
      <c r="J16" s="3"/>
      <c r="K16" s="3"/>
      <c r="L16" s="3"/>
      <c r="M16" s="4"/>
      <c r="N16" s="4"/>
      <c r="O16" s="3"/>
    </row>
    <row r="17" spans="1:15">
      <c r="A17" s="3" t="s">
        <v>297</v>
      </c>
      <c r="B17" s="3"/>
      <c r="C17" s="3"/>
      <c r="D17" s="3"/>
      <c r="E17" s="3"/>
      <c r="F17" s="3"/>
      <c r="G17" s="3"/>
      <c r="H17" s="3"/>
      <c r="I17" s="3"/>
      <c r="J17" s="3"/>
      <c r="K17" s="3"/>
      <c r="L17" s="3"/>
      <c r="M17" s="4"/>
      <c r="N17" s="4"/>
      <c r="O17" s="3"/>
    </row>
    <row r="18" spans="1:15">
      <c r="A18" s="3" t="s">
        <v>298</v>
      </c>
      <c r="B18" s="3"/>
      <c r="C18" s="3"/>
      <c r="D18" s="3"/>
      <c r="E18" s="3"/>
      <c r="F18" s="3"/>
      <c r="G18" s="3"/>
      <c r="H18" s="3"/>
      <c r="I18" s="3"/>
      <c r="J18" s="3"/>
      <c r="K18" s="3"/>
      <c r="L18" s="3"/>
      <c r="M18" s="4"/>
      <c r="N18" s="4"/>
      <c r="O18" s="3"/>
    </row>
    <row r="19" spans="1:15">
      <c r="A19" s="3" t="s">
        <v>299</v>
      </c>
      <c r="B19" s="3"/>
      <c r="C19" s="3"/>
      <c r="D19" s="3"/>
      <c r="E19" s="3"/>
      <c r="F19" s="3"/>
      <c r="G19" s="3"/>
      <c r="H19" s="3"/>
      <c r="I19" s="3"/>
      <c r="J19" s="3"/>
      <c r="K19" s="3"/>
      <c r="L19" s="3"/>
      <c r="M19" s="4"/>
      <c r="N19" s="4"/>
      <c r="O19" s="3"/>
    </row>
    <row r="20" spans="1:15">
      <c r="A20" s="3" t="s">
        <v>300</v>
      </c>
      <c r="B20" s="3"/>
      <c r="C20" s="3"/>
      <c r="D20" s="3"/>
      <c r="E20" s="3"/>
      <c r="F20" s="3"/>
      <c r="G20" s="3"/>
      <c r="H20" s="3"/>
      <c r="I20" s="3"/>
      <c r="J20" s="3"/>
      <c r="K20" s="3"/>
      <c r="L20" s="3"/>
      <c r="M20" s="4"/>
      <c r="N20" s="4"/>
      <c r="O20" s="3"/>
    </row>
    <row r="21" spans="1:15">
      <c r="A21" s="3" t="s">
        <v>301</v>
      </c>
      <c r="B21" s="3"/>
      <c r="C21" s="3"/>
      <c r="D21" s="3"/>
      <c r="E21" s="3"/>
      <c r="F21" s="3"/>
      <c r="G21" s="3"/>
      <c r="H21" s="3"/>
      <c r="I21" s="3"/>
      <c r="J21" s="3"/>
      <c r="K21" s="3"/>
      <c r="L21" s="3"/>
      <c r="M21" s="4"/>
      <c r="N21" s="4"/>
      <c r="O21" s="3"/>
    </row>
    <row r="22" spans="1:15">
      <c r="A22" s="3" t="s">
        <v>302</v>
      </c>
      <c r="B22" s="3"/>
      <c r="C22" s="3"/>
      <c r="D22" s="3"/>
      <c r="E22" s="3"/>
      <c r="F22" s="3"/>
      <c r="G22" s="3"/>
      <c r="H22" s="3"/>
      <c r="I22" s="3"/>
      <c r="J22" s="3"/>
      <c r="K22" s="3"/>
      <c r="L22" s="3"/>
      <c r="M22" s="4"/>
      <c r="N22" s="4"/>
      <c r="O22" s="3"/>
    </row>
    <row r="23" spans="1:15">
      <c r="A23" s="3" t="s">
        <v>303</v>
      </c>
      <c r="B23" s="3"/>
      <c r="C23" s="3"/>
      <c r="D23" s="3"/>
      <c r="E23" s="3"/>
      <c r="F23" s="3"/>
      <c r="G23" s="3"/>
      <c r="H23" s="3"/>
      <c r="I23" s="3"/>
      <c r="J23" s="3"/>
      <c r="K23" s="3"/>
      <c r="L23" s="3"/>
      <c r="M23" s="4"/>
      <c r="N23" s="4"/>
      <c r="O23" s="3"/>
    </row>
    <row r="24" spans="1:15">
      <c r="A24" s="3" t="s">
        <v>304</v>
      </c>
      <c r="B24" s="3"/>
      <c r="C24" s="3"/>
      <c r="D24" s="3"/>
      <c r="E24" s="3"/>
      <c r="F24" s="3"/>
      <c r="G24" s="3"/>
      <c r="H24" s="3"/>
      <c r="I24" s="3"/>
      <c r="J24" s="3"/>
      <c r="K24" s="3"/>
      <c r="L24" s="3"/>
      <c r="M24" s="4"/>
      <c r="N24" s="4"/>
      <c r="O24" s="3"/>
    </row>
    <row r="25" spans="1:15">
      <c r="A25" s="3" t="s">
        <v>305</v>
      </c>
      <c r="B25" s="3"/>
      <c r="C25" s="3"/>
      <c r="D25" s="3"/>
      <c r="E25" s="3"/>
      <c r="F25" s="3"/>
      <c r="G25" s="3"/>
      <c r="H25" s="3"/>
      <c r="I25" s="3"/>
      <c r="J25" s="3"/>
      <c r="K25" s="3"/>
      <c r="L25" s="3"/>
      <c r="M25" s="4"/>
      <c r="N25" s="4"/>
      <c r="O25" s="3"/>
    </row>
    <row r="26" spans="1:15">
      <c r="A26" s="3" t="s">
        <v>306</v>
      </c>
      <c r="B26" s="3"/>
      <c r="C26" s="3"/>
      <c r="D26" s="3"/>
      <c r="E26" s="3"/>
      <c r="F26" s="3"/>
      <c r="G26" s="3"/>
      <c r="H26" s="3"/>
      <c r="I26" s="3"/>
      <c r="J26" s="3"/>
      <c r="K26" s="3"/>
      <c r="L26" s="3"/>
      <c r="M26" s="4"/>
      <c r="N26" s="4"/>
      <c r="O26" s="3"/>
    </row>
    <row r="27" spans="1:15">
      <c r="A27" s="3" t="s">
        <v>307</v>
      </c>
      <c r="B27" s="3"/>
      <c r="C27" s="3"/>
      <c r="D27" s="3"/>
      <c r="E27" s="3"/>
      <c r="F27" s="3"/>
      <c r="G27" s="3"/>
      <c r="H27" s="3"/>
      <c r="I27" s="3"/>
      <c r="J27" s="3"/>
      <c r="K27" s="3"/>
      <c r="L27" s="3"/>
      <c r="M27" s="4"/>
      <c r="N27" s="4"/>
      <c r="O27" s="3"/>
    </row>
    <row r="28" spans="1:15">
      <c r="A28" s="3" t="s">
        <v>308</v>
      </c>
      <c r="B28" s="3"/>
      <c r="C28" s="3"/>
      <c r="D28" s="3"/>
      <c r="E28" s="3"/>
      <c r="F28" s="3"/>
      <c r="G28" s="3"/>
      <c r="H28" s="3"/>
      <c r="I28" s="3"/>
      <c r="J28" s="3"/>
      <c r="K28" s="3"/>
      <c r="L28" s="3"/>
      <c r="M28" s="4"/>
      <c r="N28" s="4"/>
      <c r="O28" s="3"/>
    </row>
    <row r="29" spans="1:15">
      <c r="A29" s="3" t="s">
        <v>309</v>
      </c>
      <c r="B29" s="3"/>
      <c r="C29" s="3"/>
      <c r="D29" s="3"/>
      <c r="E29" s="3"/>
      <c r="F29" s="3"/>
      <c r="G29" s="3"/>
      <c r="H29" s="3"/>
      <c r="I29" s="3"/>
      <c r="J29" s="3"/>
      <c r="K29" s="3"/>
      <c r="L29" s="3"/>
      <c r="M29" s="4"/>
      <c r="N29" s="4"/>
      <c r="O29" s="3"/>
    </row>
    <row r="30" spans="1:15">
      <c r="A30" s="3" t="s">
        <v>310</v>
      </c>
      <c r="B30" s="3"/>
      <c r="C30" s="3"/>
      <c r="D30" s="3"/>
      <c r="E30" s="3"/>
      <c r="F30" s="3"/>
      <c r="G30" s="3"/>
      <c r="H30" s="3"/>
      <c r="I30" s="3"/>
      <c r="J30" s="3"/>
      <c r="K30" s="3"/>
      <c r="L30" s="3"/>
      <c r="M30" s="4"/>
      <c r="N30" s="4"/>
      <c r="O30" s="3"/>
    </row>
    <row r="31" spans="1:15">
      <c r="A31" s="3" t="s">
        <v>311</v>
      </c>
      <c r="B31" s="3"/>
      <c r="C31" s="3"/>
      <c r="D31" s="3"/>
      <c r="E31" s="3"/>
      <c r="F31" s="3"/>
      <c r="G31" s="3"/>
      <c r="H31" s="3"/>
      <c r="I31" s="3"/>
      <c r="J31" s="3"/>
      <c r="K31" s="3"/>
      <c r="L31" s="3"/>
      <c r="M31" s="4"/>
      <c r="N31" s="4"/>
      <c r="O31" s="3"/>
    </row>
    <row r="32" spans="1:15">
      <c r="A32" s="3" t="s">
        <v>312</v>
      </c>
      <c r="B32" s="3"/>
      <c r="C32" s="3"/>
      <c r="D32" s="3"/>
      <c r="E32" s="3"/>
      <c r="F32" s="3"/>
      <c r="G32" s="3"/>
      <c r="H32" s="3"/>
      <c r="I32" s="3"/>
      <c r="J32" s="3"/>
      <c r="K32" s="3"/>
      <c r="L32" s="3"/>
      <c r="M32" s="4"/>
      <c r="N32" s="4"/>
      <c r="O32" s="3"/>
    </row>
    <row r="33" spans="1:15">
      <c r="A33" s="3" t="s">
        <v>313</v>
      </c>
      <c r="B33" s="3"/>
      <c r="C33" s="3"/>
      <c r="D33" s="3"/>
      <c r="E33" s="3"/>
      <c r="F33" s="3"/>
      <c r="G33" s="3"/>
      <c r="H33" s="3"/>
      <c r="I33" s="3"/>
      <c r="J33" s="3"/>
      <c r="K33" s="3"/>
      <c r="L33" s="3"/>
      <c r="M33" s="4"/>
      <c r="N33" s="4"/>
      <c r="O33" s="3"/>
    </row>
    <row r="34" spans="1:15">
      <c r="A34" s="3" t="s">
        <v>314</v>
      </c>
      <c r="B34" s="3"/>
      <c r="C34" s="3"/>
      <c r="D34" s="3"/>
      <c r="E34" s="3"/>
      <c r="F34" s="3"/>
      <c r="G34" s="3"/>
      <c r="H34" s="3"/>
      <c r="I34" s="3"/>
      <c r="J34" s="3"/>
      <c r="K34" s="3"/>
      <c r="L34" s="3"/>
      <c r="M34" s="4"/>
      <c r="N34" s="4"/>
      <c r="O34" s="3"/>
    </row>
    <row r="35" spans="1:15">
      <c r="A35" s="3" t="s">
        <v>315</v>
      </c>
      <c r="B35" s="3"/>
      <c r="C35" s="3"/>
      <c r="D35" s="3"/>
      <c r="E35" s="3"/>
      <c r="F35" s="3"/>
      <c r="G35" s="3"/>
      <c r="H35" s="3"/>
      <c r="I35" s="3"/>
      <c r="J35" s="3"/>
      <c r="K35" s="3"/>
      <c r="L35" s="3"/>
      <c r="M35" s="4"/>
      <c r="N35" s="4"/>
      <c r="O35" s="3"/>
    </row>
    <row r="36" spans="1:15">
      <c r="A36" s="3" t="s">
        <v>316</v>
      </c>
      <c r="B36" s="3"/>
      <c r="C36" s="3"/>
      <c r="D36" s="3"/>
      <c r="E36" s="3"/>
      <c r="F36" s="3"/>
      <c r="G36" s="3"/>
      <c r="H36" s="3"/>
      <c r="I36" s="3"/>
      <c r="J36" s="3"/>
      <c r="K36" s="3"/>
      <c r="L36" s="3"/>
      <c r="M36" s="4"/>
      <c r="N36" s="4"/>
      <c r="O36" s="3"/>
    </row>
    <row r="37" spans="1:15">
      <c r="A37" s="3" t="s">
        <v>317</v>
      </c>
      <c r="B37" s="3"/>
      <c r="C37" s="3"/>
      <c r="D37" s="3"/>
      <c r="E37" s="3"/>
      <c r="F37" s="3"/>
      <c r="G37" s="3"/>
      <c r="H37" s="3"/>
      <c r="I37" s="3"/>
      <c r="J37" s="3"/>
      <c r="K37" s="3"/>
      <c r="L37" s="3"/>
      <c r="M37" s="4"/>
      <c r="N37" s="4"/>
      <c r="O37" s="3"/>
    </row>
    <row r="38" spans="1:15">
      <c r="A38" s="3" t="s">
        <v>318</v>
      </c>
      <c r="B38" s="3"/>
      <c r="C38" s="3"/>
      <c r="D38" s="3"/>
      <c r="E38" s="3"/>
      <c r="F38" s="3"/>
      <c r="G38" s="3"/>
      <c r="H38" s="3"/>
      <c r="I38" s="3"/>
      <c r="J38" s="3"/>
      <c r="K38" s="3"/>
      <c r="L38" s="3"/>
      <c r="M38" s="4"/>
      <c r="N38" s="4"/>
      <c r="O38" s="3"/>
    </row>
    <row r="39" spans="1:15">
      <c r="A39" s="3" t="s">
        <v>319</v>
      </c>
      <c r="B39" s="3"/>
      <c r="C39" s="3"/>
      <c r="D39" s="3"/>
      <c r="E39" s="3"/>
      <c r="F39" s="3"/>
      <c r="G39" s="3"/>
      <c r="H39" s="3"/>
      <c r="I39" s="3"/>
      <c r="J39" s="3"/>
      <c r="K39" s="3"/>
      <c r="L39" s="3"/>
      <c r="M39" s="4"/>
      <c r="N39" s="4"/>
      <c r="O39" s="3"/>
    </row>
    <row r="40" spans="1:15">
      <c r="A40" s="3" t="s">
        <v>320</v>
      </c>
      <c r="B40" s="3"/>
      <c r="C40" s="3"/>
      <c r="D40" s="3"/>
      <c r="E40" s="3"/>
      <c r="F40" s="3"/>
      <c r="G40" s="3"/>
      <c r="H40" s="3"/>
      <c r="I40" s="3"/>
      <c r="J40" s="3"/>
      <c r="K40" s="3"/>
      <c r="L40" s="3"/>
      <c r="M40" s="4"/>
      <c r="N40" s="4"/>
      <c r="O40" s="3"/>
    </row>
    <row r="41" spans="1:15">
      <c r="A41" s="3" t="s">
        <v>321</v>
      </c>
      <c r="B41" s="3"/>
      <c r="C41" s="3"/>
      <c r="D41" s="3"/>
      <c r="E41" s="3"/>
      <c r="F41" s="3"/>
      <c r="G41" s="3"/>
      <c r="H41" s="3"/>
      <c r="I41" s="3"/>
      <c r="J41" s="3"/>
      <c r="K41" s="3"/>
      <c r="L41" s="3"/>
      <c r="M41" s="4"/>
      <c r="N41" s="4"/>
      <c r="O41" s="3"/>
    </row>
    <row r="42" spans="1:15">
      <c r="A42" s="3" t="s">
        <v>322</v>
      </c>
      <c r="B42" s="3"/>
      <c r="C42" s="3"/>
      <c r="D42" s="3"/>
      <c r="E42" s="3"/>
      <c r="F42" s="3"/>
      <c r="G42" s="3"/>
      <c r="H42" s="3"/>
      <c r="I42" s="3"/>
      <c r="J42" s="3"/>
      <c r="K42" s="3"/>
      <c r="L42" s="3"/>
      <c r="M42" s="4"/>
      <c r="N42" s="4"/>
      <c r="O42" s="3"/>
    </row>
    <row r="43" spans="1:15">
      <c r="A43" s="3" t="s">
        <v>323</v>
      </c>
      <c r="B43" s="3"/>
      <c r="C43" s="3"/>
      <c r="D43" s="3"/>
      <c r="E43" s="3"/>
      <c r="F43" s="3"/>
      <c r="G43" s="3"/>
      <c r="H43" s="3"/>
      <c r="I43" s="3"/>
      <c r="J43" s="3"/>
      <c r="K43" s="3"/>
      <c r="L43" s="3"/>
      <c r="M43" s="4"/>
      <c r="N43" s="4"/>
      <c r="O43" s="3"/>
    </row>
    <row r="44" spans="1:15">
      <c r="A44" s="3" t="s">
        <v>324</v>
      </c>
      <c r="B44" s="3"/>
      <c r="C44" s="3"/>
      <c r="D44" s="3"/>
      <c r="E44" s="3"/>
      <c r="F44" s="3"/>
      <c r="G44" s="3"/>
      <c r="H44" s="3"/>
      <c r="I44" s="3"/>
      <c r="J44" s="3"/>
      <c r="K44" s="3"/>
      <c r="L44" s="3"/>
      <c r="M44" s="4"/>
      <c r="N44" s="4"/>
      <c r="O44" s="3"/>
    </row>
    <row r="45" spans="1:15">
      <c r="A45" s="3" t="s">
        <v>325</v>
      </c>
      <c r="B45" s="3"/>
      <c r="C45" s="3"/>
      <c r="D45" s="3"/>
      <c r="E45" s="3"/>
      <c r="F45" s="3"/>
      <c r="G45" s="3"/>
      <c r="H45" s="3"/>
      <c r="I45" s="3"/>
      <c r="J45" s="3"/>
      <c r="K45" s="3"/>
      <c r="L45" s="3"/>
      <c r="M45" s="4"/>
      <c r="N45" s="4"/>
      <c r="O45" s="3"/>
    </row>
    <row r="46" spans="1:15">
      <c r="A46" s="3" t="s">
        <v>326</v>
      </c>
      <c r="B46" s="3"/>
      <c r="C46" s="3"/>
      <c r="D46" s="3"/>
      <c r="E46" s="3"/>
      <c r="F46" s="3"/>
      <c r="G46" s="3"/>
      <c r="H46" s="3"/>
      <c r="I46" s="3"/>
      <c r="J46" s="3"/>
      <c r="K46" s="3"/>
      <c r="L46" s="3"/>
      <c r="M46" s="4"/>
      <c r="N46" s="4"/>
      <c r="O46" s="3"/>
    </row>
    <row r="47" spans="1:15">
      <c r="A47" s="3" t="s">
        <v>327</v>
      </c>
      <c r="B47" s="3"/>
      <c r="C47" s="3"/>
      <c r="D47" s="3"/>
      <c r="E47" s="3"/>
      <c r="F47" s="3"/>
      <c r="G47" s="3"/>
      <c r="H47" s="3"/>
      <c r="I47" s="3"/>
      <c r="J47" s="3"/>
      <c r="K47" s="3"/>
      <c r="L47" s="3"/>
      <c r="M47" s="4"/>
      <c r="N47" s="4"/>
      <c r="O47" s="3"/>
    </row>
    <row r="48" spans="1:15">
      <c r="A48" s="3" t="s">
        <v>328</v>
      </c>
      <c r="B48" s="3"/>
      <c r="C48" s="3"/>
      <c r="D48" s="3"/>
      <c r="E48" s="3"/>
      <c r="F48" s="3"/>
      <c r="G48" s="3"/>
      <c r="H48" s="3"/>
      <c r="I48" s="3"/>
      <c r="J48" s="3"/>
      <c r="K48" s="3"/>
      <c r="L48" s="3"/>
      <c r="M48" s="4"/>
      <c r="N48" s="4"/>
      <c r="O48" s="3"/>
    </row>
    <row r="49" spans="1:15">
      <c r="A49" s="3" t="s">
        <v>329</v>
      </c>
      <c r="B49" s="3"/>
      <c r="C49" s="3"/>
      <c r="D49" s="3"/>
      <c r="E49" s="3"/>
      <c r="F49" s="3"/>
      <c r="G49" s="3"/>
      <c r="H49" s="3"/>
      <c r="I49" s="3"/>
      <c r="J49" s="3"/>
      <c r="K49" s="3"/>
      <c r="L49" s="3"/>
      <c r="M49" s="4"/>
      <c r="N49" s="4"/>
      <c r="O49" s="3"/>
    </row>
    <row r="50" spans="1:15">
      <c r="A50" s="3" t="s">
        <v>330</v>
      </c>
      <c r="B50" s="3"/>
      <c r="C50" s="3"/>
      <c r="D50" s="3"/>
      <c r="E50" s="3"/>
      <c r="F50" s="3"/>
      <c r="G50" s="3"/>
      <c r="H50" s="3"/>
      <c r="I50" s="3"/>
      <c r="J50" s="3"/>
      <c r="K50" s="3"/>
      <c r="L50" s="3"/>
      <c r="M50" s="4"/>
      <c r="N50" s="4"/>
      <c r="O50" s="3"/>
    </row>
    <row r="51" spans="1:15">
      <c r="A51" s="3" t="s">
        <v>331</v>
      </c>
      <c r="B51" s="3"/>
      <c r="C51" s="3"/>
      <c r="D51" s="3"/>
      <c r="E51" s="3"/>
      <c r="F51" s="3"/>
      <c r="G51" s="3"/>
      <c r="H51" s="3"/>
      <c r="I51" s="3"/>
      <c r="J51" s="3"/>
      <c r="K51" s="3"/>
      <c r="L51" s="3"/>
      <c r="M51" s="4"/>
      <c r="N51" s="4"/>
      <c r="O51" s="3"/>
    </row>
    <row r="52" spans="1:15">
      <c r="A52" s="3" t="s">
        <v>332</v>
      </c>
      <c r="B52" s="3"/>
      <c r="C52" s="3"/>
      <c r="D52" s="3"/>
      <c r="E52" s="3"/>
      <c r="F52" s="3"/>
      <c r="G52" s="3"/>
      <c r="H52" s="3"/>
      <c r="I52" s="3"/>
      <c r="J52" s="3"/>
      <c r="K52" s="3"/>
      <c r="L52" s="3"/>
      <c r="M52" s="4"/>
      <c r="N52" s="4"/>
      <c r="O52" s="3"/>
    </row>
    <row r="53" spans="1:15">
      <c r="A53" s="3" t="s">
        <v>333</v>
      </c>
      <c r="B53" s="3"/>
      <c r="C53" s="3"/>
      <c r="D53" s="3"/>
      <c r="E53" s="3"/>
      <c r="F53" s="3"/>
      <c r="G53" s="3"/>
      <c r="H53" s="3"/>
      <c r="I53" s="3"/>
      <c r="J53" s="3"/>
      <c r="K53" s="3"/>
      <c r="L53" s="3"/>
      <c r="M53" s="4"/>
      <c r="N53" s="4"/>
      <c r="O53" s="3"/>
    </row>
    <row r="54" spans="1:15">
      <c r="A54" s="3" t="s">
        <v>334</v>
      </c>
      <c r="B54" s="3"/>
      <c r="C54" s="3"/>
      <c r="D54" s="3"/>
      <c r="E54" s="3"/>
      <c r="F54" s="3"/>
      <c r="G54" s="3"/>
      <c r="H54" s="3"/>
      <c r="I54" s="3"/>
      <c r="J54" s="3"/>
      <c r="K54" s="3"/>
      <c r="L54" s="3"/>
      <c r="M54" s="4"/>
      <c r="N54" s="4"/>
      <c r="O54" s="3"/>
    </row>
    <row r="55" spans="1:15">
      <c r="A55" s="3" t="s">
        <v>335</v>
      </c>
      <c r="B55" s="3"/>
      <c r="C55" s="3"/>
      <c r="D55" s="3"/>
      <c r="E55" s="3"/>
      <c r="F55" s="3"/>
      <c r="G55" s="3"/>
      <c r="H55" s="3"/>
      <c r="I55" s="3"/>
      <c r="J55" s="3"/>
      <c r="K55" s="3"/>
      <c r="L55" s="3"/>
      <c r="M55" s="4"/>
      <c r="N55" s="4"/>
      <c r="O55" s="3"/>
    </row>
    <row r="56" spans="1:15">
      <c r="A56" s="3" t="s">
        <v>336</v>
      </c>
      <c r="B56" s="3"/>
      <c r="C56" s="3"/>
      <c r="D56" s="3"/>
      <c r="E56" s="3"/>
      <c r="F56" s="3"/>
      <c r="G56" s="3"/>
      <c r="H56" s="3"/>
      <c r="I56" s="3"/>
      <c r="J56" s="3"/>
      <c r="K56" s="3"/>
      <c r="L56" s="3"/>
      <c r="M56" s="4"/>
      <c r="N56" s="4"/>
      <c r="O56" s="3"/>
    </row>
    <row r="57" spans="1:15">
      <c r="A57" s="3" t="s">
        <v>337</v>
      </c>
      <c r="B57" s="3"/>
      <c r="C57" s="3"/>
      <c r="D57" s="3"/>
      <c r="E57" s="3"/>
      <c r="F57" s="3"/>
      <c r="G57" s="3"/>
      <c r="H57" s="3"/>
      <c r="I57" s="3"/>
      <c r="J57" s="3"/>
      <c r="K57" s="3"/>
      <c r="L57" s="3"/>
      <c r="M57" s="4"/>
      <c r="N57" s="4"/>
      <c r="O57" s="3"/>
    </row>
    <row r="58" spans="1:15">
      <c r="A58" s="3" t="s">
        <v>338</v>
      </c>
      <c r="B58" s="3"/>
      <c r="C58" s="3"/>
      <c r="D58" s="3"/>
      <c r="E58" s="3"/>
      <c r="F58" s="3"/>
      <c r="G58" s="3"/>
      <c r="H58" s="3"/>
      <c r="I58" s="3"/>
      <c r="J58" s="3"/>
      <c r="K58" s="3"/>
      <c r="L58" s="3"/>
      <c r="M58" s="4"/>
      <c r="N58" s="4"/>
      <c r="O58" s="3"/>
    </row>
    <row r="59" spans="1:15">
      <c r="A59" s="3" t="s">
        <v>339</v>
      </c>
      <c r="B59" s="3"/>
      <c r="C59" s="3"/>
      <c r="D59" s="3"/>
      <c r="E59" s="3"/>
      <c r="F59" s="3"/>
      <c r="G59" s="3"/>
      <c r="H59" s="3"/>
      <c r="I59" s="3"/>
      <c r="J59" s="3"/>
      <c r="K59" s="3"/>
      <c r="L59" s="3"/>
      <c r="M59" s="4"/>
      <c r="N59" s="4"/>
      <c r="O59" s="3"/>
    </row>
    <row r="60" spans="1:15">
      <c r="A60" s="3" t="s">
        <v>340</v>
      </c>
      <c r="B60" s="3"/>
      <c r="C60" s="3"/>
      <c r="D60" s="3"/>
      <c r="E60" s="3"/>
      <c r="F60" s="3"/>
      <c r="G60" s="3"/>
      <c r="H60" s="3"/>
      <c r="I60" s="3"/>
      <c r="J60" s="3"/>
      <c r="K60" s="3"/>
      <c r="L60" s="3"/>
      <c r="M60" s="4"/>
      <c r="N60" s="4"/>
      <c r="O60" s="3"/>
    </row>
    <row r="61" spans="1:15">
      <c r="A61" s="3" t="s">
        <v>341</v>
      </c>
      <c r="B61" s="3"/>
      <c r="C61" s="3"/>
      <c r="D61" s="3"/>
      <c r="E61" s="3"/>
      <c r="F61" s="3"/>
      <c r="G61" s="3"/>
      <c r="H61" s="3"/>
      <c r="I61" s="3"/>
      <c r="J61" s="3"/>
      <c r="K61" s="3"/>
      <c r="L61" s="3"/>
      <c r="M61" s="4"/>
      <c r="N61" s="4"/>
      <c r="O61" s="3"/>
    </row>
    <row r="62" spans="1:15">
      <c r="A62" s="3" t="s">
        <v>342</v>
      </c>
      <c r="B62" s="3"/>
      <c r="C62" s="3"/>
      <c r="D62" s="3"/>
      <c r="E62" s="3"/>
      <c r="F62" s="3"/>
      <c r="G62" s="3"/>
      <c r="H62" s="3"/>
      <c r="I62" s="3"/>
      <c r="J62" s="3"/>
      <c r="K62" s="3"/>
      <c r="L62" s="3"/>
      <c r="M62" s="4"/>
      <c r="N62" s="4"/>
      <c r="O62" s="3"/>
    </row>
    <row r="63" spans="1:15">
      <c r="A63" s="3" t="s">
        <v>343</v>
      </c>
      <c r="B63" s="3"/>
      <c r="C63" s="3"/>
      <c r="D63" s="3"/>
      <c r="E63" s="3"/>
      <c r="F63" s="3"/>
      <c r="G63" s="3"/>
      <c r="H63" s="3"/>
      <c r="I63" s="3"/>
      <c r="J63" s="3"/>
      <c r="K63" s="3"/>
      <c r="L63" s="3"/>
      <c r="M63" s="4"/>
      <c r="N63" s="4"/>
      <c r="O63" s="3"/>
    </row>
    <row r="64" spans="1:15">
      <c r="A64" s="3" t="s">
        <v>344</v>
      </c>
      <c r="B64" s="3"/>
      <c r="C64" s="3"/>
      <c r="D64" s="3"/>
      <c r="E64" s="3"/>
      <c r="F64" s="3"/>
      <c r="G64" s="3"/>
      <c r="H64" s="3"/>
      <c r="I64" s="3"/>
      <c r="J64" s="3"/>
      <c r="K64" s="3"/>
      <c r="L64" s="3"/>
      <c r="M64" s="4"/>
      <c r="N64" s="4"/>
      <c r="O64" s="3"/>
    </row>
    <row r="65" spans="1:15">
      <c r="A65" s="3" t="s">
        <v>345</v>
      </c>
      <c r="B65" s="3"/>
      <c r="C65" s="3"/>
      <c r="D65" s="3"/>
      <c r="E65" s="3"/>
      <c r="F65" s="3"/>
      <c r="G65" s="3"/>
      <c r="H65" s="3"/>
      <c r="I65" s="3"/>
      <c r="J65" s="3"/>
      <c r="K65" s="3"/>
      <c r="L65" s="3"/>
      <c r="M65" s="4"/>
      <c r="N65" s="4"/>
      <c r="O65" s="3"/>
    </row>
    <row r="66" spans="1:15">
      <c r="A66" s="3" t="s">
        <v>346</v>
      </c>
      <c r="B66" s="3"/>
      <c r="C66" s="3"/>
      <c r="D66" s="3"/>
      <c r="E66" s="3"/>
      <c r="F66" s="3"/>
      <c r="G66" s="3"/>
      <c r="H66" s="3"/>
      <c r="I66" s="3"/>
      <c r="J66" s="3"/>
      <c r="K66" s="3"/>
      <c r="L66" s="3"/>
      <c r="M66" s="4"/>
      <c r="N66" s="4"/>
      <c r="O66" s="3"/>
    </row>
    <row r="67" spans="1:15">
      <c r="A67" s="3" t="s">
        <v>347</v>
      </c>
      <c r="B67" s="3"/>
      <c r="C67" s="3"/>
      <c r="D67" s="3"/>
      <c r="E67" s="3"/>
      <c r="F67" s="3"/>
      <c r="G67" s="3"/>
      <c r="H67" s="3"/>
      <c r="I67" s="3"/>
      <c r="J67" s="3"/>
      <c r="K67" s="3"/>
      <c r="L67" s="3"/>
      <c r="M67" s="4"/>
      <c r="N67" s="4"/>
      <c r="O67" s="3"/>
    </row>
    <row r="68" spans="1:15">
      <c r="A68" s="3" t="s">
        <v>348</v>
      </c>
      <c r="B68" s="3"/>
      <c r="C68" s="3"/>
      <c r="D68" s="3"/>
      <c r="E68" s="3"/>
      <c r="F68" s="3"/>
      <c r="G68" s="3"/>
      <c r="H68" s="3"/>
      <c r="I68" s="3"/>
      <c r="J68" s="3"/>
      <c r="K68" s="3"/>
      <c r="L68" s="3"/>
      <c r="M68" s="4"/>
      <c r="N68" s="4"/>
      <c r="O68" s="3"/>
    </row>
    <row r="69" spans="1:15">
      <c r="A69" s="3" t="s">
        <v>349</v>
      </c>
      <c r="B69" s="3"/>
      <c r="C69" s="3"/>
      <c r="D69" s="3"/>
      <c r="E69" s="3"/>
      <c r="F69" s="3"/>
      <c r="G69" s="3"/>
      <c r="H69" s="3"/>
      <c r="I69" s="3"/>
      <c r="J69" s="3"/>
      <c r="K69" s="3"/>
      <c r="L69" s="3"/>
      <c r="M69" s="4"/>
      <c r="N69" s="4"/>
      <c r="O69" s="3"/>
    </row>
    <row r="70" spans="1:15">
      <c r="A70" s="3" t="s">
        <v>350</v>
      </c>
      <c r="B70" s="3"/>
      <c r="C70" s="3"/>
      <c r="D70" s="3"/>
      <c r="E70" s="3"/>
      <c r="F70" s="3"/>
      <c r="G70" s="3"/>
      <c r="H70" s="3"/>
      <c r="I70" s="3"/>
      <c r="J70" s="3"/>
      <c r="K70" s="3"/>
      <c r="L70" s="3"/>
      <c r="M70" s="4"/>
      <c r="N70" s="4"/>
      <c r="O70" s="3"/>
    </row>
    <row r="71" spans="1:15">
      <c r="A71" s="3" t="s">
        <v>351</v>
      </c>
      <c r="B71" s="3"/>
      <c r="C71" s="3"/>
      <c r="D71" s="3"/>
      <c r="E71" s="3"/>
      <c r="F71" s="3"/>
      <c r="G71" s="3"/>
      <c r="H71" s="3"/>
      <c r="I71" s="3"/>
      <c r="J71" s="3"/>
      <c r="K71" s="3"/>
      <c r="L71" s="3"/>
      <c r="M71" s="4"/>
      <c r="N71" s="4"/>
      <c r="O71" s="3"/>
    </row>
    <row r="72" spans="1:15">
      <c r="A72" s="3" t="s">
        <v>352</v>
      </c>
      <c r="B72" s="3"/>
      <c r="C72" s="3"/>
      <c r="D72" s="3"/>
      <c r="E72" s="3"/>
      <c r="F72" s="3"/>
      <c r="G72" s="3"/>
      <c r="H72" s="3"/>
      <c r="I72" s="3"/>
      <c r="J72" s="3"/>
      <c r="K72" s="3"/>
      <c r="L72" s="3"/>
      <c r="M72" s="4"/>
      <c r="N72" s="4"/>
      <c r="O72" s="3"/>
    </row>
    <row r="73" spans="1:15">
      <c r="A73" s="3" t="s">
        <v>353</v>
      </c>
      <c r="B73" s="3"/>
      <c r="C73" s="3"/>
      <c r="D73" s="3"/>
      <c r="E73" s="3"/>
      <c r="F73" s="3"/>
      <c r="G73" s="3"/>
      <c r="H73" s="3"/>
      <c r="I73" s="3"/>
      <c r="J73" s="3"/>
      <c r="K73" s="3"/>
      <c r="L73" s="3"/>
      <c r="M73" s="4"/>
      <c r="N73" s="4"/>
      <c r="O73" s="3"/>
    </row>
    <row r="74" spans="1:15">
      <c r="A74" s="3" t="s">
        <v>354</v>
      </c>
      <c r="B74" s="3"/>
      <c r="C74" s="3"/>
      <c r="D74" s="3"/>
      <c r="E74" s="3"/>
      <c r="F74" s="3"/>
      <c r="G74" s="3"/>
      <c r="H74" s="3"/>
      <c r="I74" s="3"/>
      <c r="J74" s="3"/>
      <c r="K74" s="3"/>
      <c r="L74" s="3"/>
      <c r="M74" s="4"/>
      <c r="N74" s="4"/>
      <c r="O74" s="3"/>
    </row>
    <row r="75" spans="1:15">
      <c r="A75" s="3" t="s">
        <v>355</v>
      </c>
      <c r="B75" s="3"/>
      <c r="C75" s="3"/>
      <c r="D75" s="3"/>
      <c r="E75" s="3"/>
      <c r="F75" s="3"/>
      <c r="G75" s="3"/>
      <c r="H75" s="3"/>
      <c r="I75" s="3"/>
      <c r="J75" s="3"/>
      <c r="K75" s="3"/>
      <c r="L75" s="3"/>
      <c r="M75" s="4"/>
      <c r="N75" s="4"/>
      <c r="O75" s="3"/>
    </row>
    <row r="76" spans="1:15">
      <c r="A76" s="3" t="s">
        <v>356</v>
      </c>
      <c r="B76" s="3"/>
      <c r="C76" s="3"/>
      <c r="D76" s="3"/>
      <c r="E76" s="3"/>
      <c r="F76" s="3"/>
      <c r="G76" s="3"/>
      <c r="H76" s="3"/>
      <c r="I76" s="3"/>
      <c r="J76" s="3"/>
      <c r="K76" s="3"/>
      <c r="L76" s="3"/>
      <c r="M76" s="4"/>
      <c r="N76" s="4"/>
      <c r="O76" s="3"/>
    </row>
    <row r="77" spans="1:15">
      <c r="A77" s="3" t="s">
        <v>357</v>
      </c>
      <c r="B77" s="3"/>
      <c r="C77" s="3"/>
      <c r="D77" s="3"/>
      <c r="E77" s="3"/>
      <c r="F77" s="3"/>
      <c r="G77" s="3"/>
      <c r="H77" s="3"/>
      <c r="I77" s="3"/>
      <c r="J77" s="3"/>
      <c r="K77" s="3"/>
      <c r="L77" s="3"/>
      <c r="M77" s="4"/>
      <c r="N77" s="4"/>
      <c r="O77" s="3"/>
    </row>
    <row r="78" spans="1:15">
      <c r="A78" s="3" t="s">
        <v>358</v>
      </c>
      <c r="B78" s="3"/>
      <c r="C78" s="3"/>
      <c r="D78" s="3"/>
      <c r="E78" s="3"/>
      <c r="F78" s="3"/>
      <c r="G78" s="3"/>
      <c r="H78" s="3"/>
      <c r="I78" s="3"/>
      <c r="J78" s="3"/>
      <c r="K78" s="3"/>
      <c r="L78" s="3"/>
      <c r="M78" s="4"/>
      <c r="N78" s="4"/>
      <c r="O78" s="3"/>
    </row>
    <row r="79" spans="1:15">
      <c r="A79" s="3" t="s">
        <v>359</v>
      </c>
      <c r="B79" s="3"/>
      <c r="C79" s="3"/>
      <c r="D79" s="3"/>
      <c r="E79" s="3"/>
      <c r="F79" s="3"/>
      <c r="G79" s="3"/>
      <c r="H79" s="3"/>
      <c r="I79" s="3"/>
      <c r="J79" s="3"/>
      <c r="K79" s="3"/>
      <c r="L79" s="3"/>
      <c r="M79" s="4"/>
      <c r="N79" s="4"/>
      <c r="O79" s="3"/>
    </row>
    <row r="80" spans="1:15">
      <c r="A80" s="3" t="s">
        <v>360</v>
      </c>
      <c r="B80" s="3"/>
      <c r="C80" s="3"/>
      <c r="D80" s="3"/>
      <c r="E80" s="3"/>
      <c r="F80" s="3"/>
      <c r="G80" s="3"/>
      <c r="H80" s="3"/>
      <c r="I80" s="3"/>
      <c r="J80" s="3"/>
      <c r="K80" s="3"/>
      <c r="L80" s="3"/>
      <c r="M80" s="4"/>
      <c r="N80" s="4"/>
      <c r="O80" s="3"/>
    </row>
    <row r="81" spans="1:15">
      <c r="A81" s="3" t="s">
        <v>361</v>
      </c>
      <c r="B81" s="3"/>
      <c r="C81" s="3"/>
      <c r="D81" s="3"/>
      <c r="E81" s="3"/>
      <c r="F81" s="3"/>
      <c r="G81" s="3"/>
      <c r="H81" s="3"/>
      <c r="I81" s="3"/>
      <c r="J81" s="3"/>
      <c r="K81" s="3"/>
      <c r="L81" s="3"/>
      <c r="M81" s="4"/>
      <c r="N81" s="4"/>
      <c r="O81" s="3"/>
    </row>
    <row r="82" spans="1:15">
      <c r="A82" s="3" t="s">
        <v>362</v>
      </c>
      <c r="B82" s="3"/>
      <c r="C82" s="3"/>
      <c r="D82" s="3"/>
      <c r="E82" s="3"/>
      <c r="F82" s="3"/>
      <c r="G82" s="3"/>
      <c r="H82" s="3"/>
      <c r="I82" s="3"/>
      <c r="J82" s="3"/>
      <c r="K82" s="3"/>
      <c r="L82" s="3"/>
      <c r="M82" s="4"/>
      <c r="N82" s="4"/>
      <c r="O82" s="3"/>
    </row>
    <row r="83" spans="1:15">
      <c r="A83" s="3" t="s">
        <v>363</v>
      </c>
      <c r="B83" s="3"/>
      <c r="C83" s="3"/>
      <c r="D83" s="3"/>
      <c r="E83" s="3"/>
      <c r="F83" s="3"/>
      <c r="G83" s="3"/>
      <c r="H83" s="3"/>
      <c r="I83" s="3"/>
      <c r="J83" s="3"/>
      <c r="K83" s="3"/>
      <c r="L83" s="3"/>
      <c r="M83" s="4"/>
      <c r="N83" s="4"/>
      <c r="O83" s="3"/>
    </row>
    <row r="84" spans="1:15">
      <c r="A84" s="3" t="s">
        <v>364</v>
      </c>
      <c r="B84" s="3"/>
      <c r="C84" s="3"/>
      <c r="D84" s="3"/>
      <c r="E84" s="3"/>
      <c r="F84" s="3"/>
      <c r="G84" s="3"/>
      <c r="H84" s="3"/>
      <c r="I84" s="3"/>
      <c r="J84" s="3"/>
      <c r="K84" s="3"/>
      <c r="L84" s="3"/>
      <c r="M84" s="4"/>
      <c r="N84" s="4"/>
      <c r="O84" s="3"/>
    </row>
    <row r="85" spans="1:15">
      <c r="A85" s="3" t="s">
        <v>365</v>
      </c>
      <c r="B85" s="3"/>
      <c r="C85" s="3"/>
      <c r="D85" s="3"/>
      <c r="E85" s="3"/>
      <c r="F85" s="3"/>
      <c r="G85" s="3"/>
      <c r="H85" s="3"/>
      <c r="I85" s="3"/>
      <c r="J85" s="3"/>
      <c r="K85" s="3"/>
      <c r="L85" s="3"/>
      <c r="M85" s="4"/>
      <c r="N85" s="4"/>
      <c r="O85" s="3"/>
    </row>
    <row r="86" spans="1:15">
      <c r="A86" s="3" t="s">
        <v>366</v>
      </c>
      <c r="B86" s="3"/>
      <c r="C86" s="3"/>
      <c r="D86" s="3"/>
      <c r="E86" s="3"/>
      <c r="F86" s="3"/>
      <c r="G86" s="3"/>
      <c r="H86" s="3"/>
      <c r="I86" s="3"/>
      <c r="J86" s="3"/>
      <c r="K86" s="3"/>
      <c r="L86" s="3"/>
      <c r="M86" s="4"/>
      <c r="N86" s="4"/>
      <c r="O86" s="3"/>
    </row>
    <row r="87" spans="1:15">
      <c r="A87" s="3" t="s">
        <v>367</v>
      </c>
      <c r="B87" s="3"/>
      <c r="C87" s="3"/>
      <c r="D87" s="3"/>
      <c r="E87" s="3"/>
      <c r="F87" s="3"/>
      <c r="G87" s="3"/>
      <c r="H87" s="3"/>
      <c r="I87" s="3"/>
      <c r="J87" s="3"/>
      <c r="K87" s="3"/>
      <c r="L87" s="3"/>
      <c r="M87" s="4"/>
      <c r="N87" s="4"/>
      <c r="O87" s="3"/>
    </row>
    <row r="88" spans="1:15">
      <c r="A88" s="3" t="s">
        <v>368</v>
      </c>
      <c r="B88" s="3"/>
      <c r="C88" s="3"/>
      <c r="D88" s="3"/>
      <c r="E88" s="3"/>
      <c r="F88" s="3"/>
      <c r="G88" s="3"/>
      <c r="H88" s="3"/>
      <c r="I88" s="3"/>
      <c r="J88" s="3"/>
      <c r="K88" s="3"/>
      <c r="L88" s="3"/>
      <c r="M88" s="4"/>
      <c r="N88" s="4"/>
      <c r="O88" s="3"/>
    </row>
    <row r="89" spans="1:15">
      <c r="A89" s="3" t="s">
        <v>369</v>
      </c>
      <c r="B89" s="3"/>
      <c r="C89" s="3"/>
      <c r="D89" s="3"/>
      <c r="E89" s="3"/>
      <c r="F89" s="3"/>
      <c r="G89" s="3"/>
      <c r="H89" s="3"/>
      <c r="I89" s="3"/>
      <c r="J89" s="3"/>
      <c r="K89" s="3"/>
      <c r="L89" s="3"/>
      <c r="M89" s="4"/>
      <c r="N89" s="4"/>
      <c r="O89" s="3"/>
    </row>
    <row r="90" spans="1:15">
      <c r="A90" s="3" t="s">
        <v>370</v>
      </c>
      <c r="B90" s="3"/>
      <c r="C90" s="3"/>
      <c r="D90" s="3"/>
      <c r="E90" s="3"/>
      <c r="F90" s="3"/>
      <c r="G90" s="3"/>
      <c r="H90" s="3"/>
      <c r="I90" s="3"/>
      <c r="J90" s="3"/>
      <c r="K90" s="3"/>
      <c r="L90" s="3"/>
      <c r="M90" s="4"/>
      <c r="N90" s="4"/>
      <c r="O90" s="3"/>
    </row>
    <row r="91" spans="1:15">
      <c r="A91" s="3" t="s">
        <v>371</v>
      </c>
      <c r="B91" s="3"/>
      <c r="C91" s="3"/>
      <c r="D91" s="3"/>
      <c r="E91" s="3"/>
      <c r="F91" s="3"/>
      <c r="G91" s="3"/>
      <c r="H91" s="3"/>
      <c r="I91" s="3"/>
      <c r="J91" s="3"/>
      <c r="K91" s="3"/>
      <c r="L91" s="3"/>
      <c r="M91" s="4"/>
      <c r="N91" s="4"/>
      <c r="O91" s="3"/>
    </row>
    <row r="92" spans="1:15">
      <c r="A92" s="3" t="s">
        <v>372</v>
      </c>
      <c r="B92" s="3"/>
      <c r="C92" s="3"/>
      <c r="D92" s="3"/>
      <c r="E92" s="3"/>
      <c r="F92" s="3"/>
      <c r="G92" s="3"/>
      <c r="H92" s="3"/>
      <c r="I92" s="3"/>
      <c r="J92" s="3"/>
      <c r="K92" s="3"/>
      <c r="L92" s="3"/>
      <c r="M92" s="4"/>
      <c r="N92" s="4"/>
      <c r="O92" s="3"/>
    </row>
    <row r="93" spans="1:15">
      <c r="A93" s="3" t="s">
        <v>373</v>
      </c>
      <c r="B93" s="3"/>
      <c r="C93" s="3"/>
      <c r="D93" s="3"/>
      <c r="E93" s="3"/>
      <c r="F93" s="3"/>
      <c r="G93" s="3"/>
      <c r="H93" s="3"/>
      <c r="I93" s="3"/>
      <c r="J93" s="3"/>
      <c r="K93" s="3"/>
      <c r="L93" s="3"/>
      <c r="M93" s="4"/>
      <c r="N93" s="4"/>
      <c r="O93" s="3"/>
    </row>
    <row r="94" spans="1:15">
      <c r="A94" s="3" t="s">
        <v>374</v>
      </c>
      <c r="B94" s="3"/>
      <c r="C94" s="3"/>
      <c r="D94" s="3"/>
      <c r="E94" s="3"/>
      <c r="F94" s="3"/>
      <c r="G94" s="3"/>
      <c r="H94" s="3"/>
      <c r="I94" s="3"/>
      <c r="J94" s="3"/>
      <c r="K94" s="3"/>
      <c r="L94" s="3"/>
      <c r="M94" s="4"/>
      <c r="N94" s="4"/>
      <c r="O94" s="3"/>
    </row>
    <row r="95" spans="1:15">
      <c r="A95" s="3" t="s">
        <v>375</v>
      </c>
      <c r="B95" s="3"/>
      <c r="C95" s="3"/>
      <c r="D95" s="3"/>
      <c r="E95" s="3"/>
      <c r="F95" s="3"/>
      <c r="G95" s="3"/>
      <c r="H95" s="3"/>
      <c r="I95" s="3"/>
      <c r="J95" s="3"/>
      <c r="K95" s="3"/>
      <c r="L95" s="3"/>
      <c r="M95" s="4"/>
      <c r="N95" s="4"/>
      <c r="O95" s="3"/>
    </row>
    <row r="96" spans="1:15">
      <c r="A96" s="3" t="s">
        <v>376</v>
      </c>
      <c r="B96" s="3"/>
      <c r="C96" s="3"/>
      <c r="D96" s="3"/>
      <c r="E96" s="3"/>
      <c r="F96" s="3"/>
      <c r="G96" s="3"/>
      <c r="H96" s="3"/>
      <c r="I96" s="3"/>
      <c r="J96" s="3"/>
      <c r="K96" s="3"/>
      <c r="L96" s="3"/>
      <c r="M96" s="4"/>
      <c r="N96" s="4"/>
      <c r="O96" s="3"/>
    </row>
    <row r="97" spans="1:15">
      <c r="A97" s="3" t="s">
        <v>377</v>
      </c>
      <c r="B97" s="3"/>
      <c r="C97" s="3"/>
      <c r="D97" s="3"/>
      <c r="E97" s="3"/>
      <c r="F97" s="3"/>
      <c r="G97" s="3"/>
      <c r="H97" s="3"/>
      <c r="I97" s="3"/>
      <c r="J97" s="3"/>
      <c r="K97" s="3"/>
      <c r="L97" s="3"/>
      <c r="M97" s="4"/>
      <c r="N97" s="4"/>
      <c r="O97" s="3"/>
    </row>
    <row r="98" spans="1:15">
      <c r="A98" s="3" t="s">
        <v>378</v>
      </c>
      <c r="B98" s="3"/>
      <c r="C98" s="3"/>
      <c r="D98" s="3"/>
      <c r="E98" s="3"/>
      <c r="F98" s="3"/>
      <c r="G98" s="3"/>
      <c r="H98" s="3"/>
      <c r="I98" s="3"/>
      <c r="J98" s="3"/>
      <c r="K98" s="3"/>
      <c r="L98" s="3"/>
      <c r="M98" s="4"/>
      <c r="N98" s="4"/>
      <c r="O98" s="3"/>
    </row>
    <row r="99" spans="1:15">
      <c r="A99" s="3" t="s">
        <v>379</v>
      </c>
      <c r="B99" s="3"/>
      <c r="C99" s="3"/>
      <c r="D99" s="3"/>
      <c r="E99" s="3"/>
      <c r="F99" s="3"/>
      <c r="G99" s="3"/>
      <c r="H99" s="3"/>
      <c r="I99" s="3"/>
      <c r="J99" s="3"/>
      <c r="K99" s="3"/>
      <c r="L99" s="3"/>
      <c r="M99" s="4"/>
      <c r="N99" s="4"/>
      <c r="O99" s="3"/>
    </row>
    <row r="100" spans="1:15">
      <c r="A100" s="3" t="s">
        <v>380</v>
      </c>
      <c r="B100" s="3"/>
      <c r="C100" s="3"/>
      <c r="D100" s="3"/>
      <c r="E100" s="3"/>
      <c r="F100" s="3"/>
      <c r="G100" s="3"/>
      <c r="H100" s="3"/>
      <c r="I100" s="3"/>
      <c r="J100" s="3"/>
      <c r="K100" s="3"/>
      <c r="L100" s="3"/>
      <c r="M100" s="4"/>
      <c r="N100" s="4"/>
      <c r="O100" s="3"/>
    </row>
    <row r="101" spans="1:15">
      <c r="A101" s="3" t="s">
        <v>381</v>
      </c>
      <c r="B101" s="3"/>
      <c r="C101" s="3"/>
      <c r="D101" s="3"/>
      <c r="E101" s="3"/>
      <c r="F101" s="3"/>
      <c r="G101" s="3"/>
      <c r="H101" s="3"/>
      <c r="I101" s="3"/>
      <c r="J101" s="3"/>
      <c r="K101" s="3"/>
      <c r="L101" s="3"/>
      <c r="M101" s="4"/>
      <c r="N101" s="4"/>
      <c r="O101" s="3"/>
    </row>
    <row r="102" spans="1:15">
      <c r="A102" s="3"/>
      <c r="B102" s="3"/>
      <c r="C102" s="3"/>
      <c r="D102" s="3"/>
      <c r="E102" s="3"/>
      <c r="F102" s="3"/>
      <c r="G102" s="3"/>
      <c r="H102" s="3"/>
      <c r="I102" s="3"/>
      <c r="J102" s="3"/>
      <c r="K102" s="3"/>
      <c r="L102" s="3"/>
      <c r="M102" s="4"/>
      <c r="N102" s="4"/>
      <c r="O102" s="3"/>
    </row>
    <row r="103" spans="1:15">
      <c r="A103" s="3"/>
      <c r="B103" s="3"/>
      <c r="C103" s="3"/>
      <c r="D103" s="3"/>
      <c r="E103" s="3"/>
      <c r="F103" s="3"/>
      <c r="G103" s="3"/>
      <c r="H103" s="3"/>
      <c r="I103" s="3"/>
      <c r="J103" s="3"/>
      <c r="K103" s="3"/>
      <c r="L103" s="3"/>
      <c r="M103" s="4"/>
      <c r="N103" s="4"/>
      <c r="O103" s="3"/>
    </row>
    <row r="104" spans="1:15">
      <c r="A104" s="3"/>
      <c r="B104" s="3"/>
      <c r="C104" s="3"/>
      <c r="D104" s="3"/>
      <c r="E104" s="3"/>
      <c r="F104" s="3"/>
      <c r="G104" s="3"/>
      <c r="H104" s="3"/>
      <c r="I104" s="3"/>
      <c r="J104" s="3"/>
      <c r="K104" s="3"/>
      <c r="L104" s="3"/>
      <c r="M104" s="4"/>
      <c r="N104" s="4"/>
      <c r="O104" s="3"/>
    </row>
    <row r="105" spans="1:15">
      <c r="A105" s="3"/>
      <c r="B105" s="3"/>
      <c r="C105" s="3"/>
      <c r="D105" s="3"/>
      <c r="E105" s="3"/>
      <c r="F105" s="3"/>
      <c r="G105" s="3"/>
      <c r="H105" s="3"/>
      <c r="I105" s="3"/>
      <c r="J105" s="3"/>
      <c r="K105" s="3"/>
      <c r="L105" s="3"/>
      <c r="M105" s="4"/>
      <c r="N105" s="4"/>
      <c r="O105" s="3"/>
    </row>
    <row r="106" spans="1:15">
      <c r="A106" s="3"/>
      <c r="B106" s="3"/>
      <c r="C106" s="3"/>
      <c r="D106" s="3"/>
      <c r="E106" s="3"/>
      <c r="F106" s="3"/>
      <c r="G106" s="3"/>
      <c r="H106" s="3"/>
      <c r="I106" s="3"/>
      <c r="J106" s="3"/>
      <c r="K106" s="3"/>
      <c r="L106" s="3"/>
      <c r="M106" s="4"/>
      <c r="N106" s="4"/>
      <c r="O106" s="3"/>
    </row>
    <row r="107" spans="1:15">
      <c r="A107" s="3"/>
      <c r="B107" s="3"/>
      <c r="C107" s="3"/>
      <c r="D107" s="3"/>
      <c r="E107" s="3"/>
      <c r="F107" s="3"/>
      <c r="G107" s="3"/>
      <c r="H107" s="3"/>
      <c r="I107" s="3"/>
      <c r="J107" s="3"/>
      <c r="K107" s="3"/>
      <c r="L107" s="3"/>
      <c r="M107" s="4"/>
      <c r="N107" s="4"/>
      <c r="O107" s="3"/>
    </row>
    <row r="108" spans="1:15">
      <c r="A108" s="3"/>
      <c r="B108" s="3"/>
      <c r="C108" s="3"/>
      <c r="D108" s="3"/>
      <c r="E108" s="3"/>
      <c r="F108" s="3"/>
      <c r="G108" s="3"/>
      <c r="H108" s="3"/>
      <c r="I108" s="3"/>
      <c r="J108" s="3"/>
      <c r="K108" s="3"/>
      <c r="L108" s="3"/>
      <c r="M108" s="4"/>
      <c r="N108" s="4"/>
      <c r="O108" s="3"/>
    </row>
    <row r="109" spans="1:15">
      <c r="A109" s="3"/>
      <c r="B109" s="3"/>
      <c r="C109" s="3"/>
      <c r="D109" s="3"/>
      <c r="E109" s="3"/>
      <c r="F109" s="3"/>
      <c r="G109" s="3"/>
      <c r="H109" s="3"/>
      <c r="I109" s="3"/>
      <c r="J109" s="3"/>
      <c r="K109" s="3"/>
      <c r="L109" s="3"/>
      <c r="M109" s="4"/>
      <c r="N109" s="4"/>
      <c r="O109" s="3"/>
    </row>
    <row r="110" spans="1:15">
      <c r="A110" s="3"/>
      <c r="B110" s="3"/>
      <c r="C110" s="3"/>
      <c r="D110" s="3"/>
      <c r="E110" s="3"/>
      <c r="F110" s="3"/>
      <c r="G110" s="3"/>
      <c r="H110" s="3"/>
      <c r="I110" s="3"/>
      <c r="J110" s="3"/>
      <c r="K110" s="3"/>
      <c r="L110" s="3"/>
      <c r="M110" s="4"/>
      <c r="N110" s="4"/>
      <c r="O110" s="3"/>
    </row>
    <row r="111" spans="1:15">
      <c r="A111" s="3"/>
      <c r="B111" s="3"/>
      <c r="C111" s="3"/>
      <c r="D111" s="3"/>
      <c r="E111" s="3"/>
      <c r="F111" s="3"/>
      <c r="G111" s="3"/>
      <c r="H111" s="3"/>
      <c r="I111" s="3"/>
      <c r="J111" s="3"/>
      <c r="K111" s="3"/>
      <c r="L111" s="3"/>
      <c r="M111" s="4"/>
      <c r="N111" s="4"/>
      <c r="O111" s="3"/>
    </row>
    <row r="112" spans="1:15">
      <c r="A112" s="3"/>
      <c r="B112" s="3"/>
      <c r="C112" s="3"/>
      <c r="D112" s="3"/>
      <c r="E112" s="3"/>
      <c r="F112" s="3"/>
      <c r="G112" s="3"/>
      <c r="H112" s="3"/>
      <c r="I112" s="3"/>
      <c r="J112" s="3"/>
      <c r="K112" s="3"/>
      <c r="L112" s="3"/>
      <c r="M112" s="4"/>
      <c r="N112" s="4"/>
      <c r="O112" s="3"/>
    </row>
    <row r="113" spans="1:15">
      <c r="A113" s="3"/>
      <c r="B113" s="3"/>
      <c r="C113" s="3"/>
      <c r="D113" s="3"/>
      <c r="E113" s="3"/>
      <c r="F113" s="3"/>
      <c r="G113" s="3"/>
      <c r="H113" s="3"/>
      <c r="I113" s="3"/>
      <c r="J113" s="3"/>
      <c r="K113" s="3"/>
      <c r="L113" s="3"/>
      <c r="M113" s="4"/>
      <c r="N113" s="4"/>
      <c r="O113" s="3"/>
    </row>
    <row r="114" spans="1:15">
      <c r="A114" s="3"/>
      <c r="B114" s="3"/>
      <c r="C114" s="3"/>
      <c r="D114" s="3"/>
      <c r="E114" s="3"/>
      <c r="F114" s="3"/>
      <c r="G114" s="3"/>
      <c r="H114" s="3"/>
      <c r="I114" s="3"/>
      <c r="J114" s="3"/>
      <c r="K114" s="3"/>
      <c r="L114" s="3"/>
      <c r="M114" s="4"/>
      <c r="N114" s="4"/>
      <c r="O114" s="3"/>
    </row>
    <row r="115" spans="1:15">
      <c r="A115" s="3"/>
      <c r="B115" s="3"/>
      <c r="C115" s="3"/>
      <c r="D115" s="3"/>
      <c r="E115" s="3"/>
      <c r="F115" s="3"/>
      <c r="G115" s="3"/>
      <c r="H115" s="3"/>
      <c r="I115" s="3"/>
      <c r="J115" s="3"/>
      <c r="K115" s="3"/>
      <c r="L115" s="3"/>
      <c r="M115" s="4"/>
      <c r="N115" s="4"/>
      <c r="O115" s="3"/>
    </row>
    <row r="116" spans="1:15">
      <c r="A116" s="3"/>
      <c r="B116" s="3"/>
      <c r="C116" s="3"/>
      <c r="D116" s="3"/>
      <c r="E116" s="3"/>
      <c r="F116" s="3"/>
      <c r="G116" s="3"/>
      <c r="H116" s="3"/>
      <c r="I116" s="3"/>
      <c r="J116" s="3"/>
      <c r="K116" s="3"/>
      <c r="L116" s="3"/>
      <c r="M116" s="4"/>
      <c r="N116" s="4"/>
      <c r="O116" s="3"/>
    </row>
    <row r="117" spans="1:15">
      <c r="A117" s="3"/>
      <c r="B117" s="3"/>
      <c r="C117" s="3"/>
      <c r="D117" s="3"/>
      <c r="E117" s="3"/>
      <c r="F117" s="3"/>
      <c r="G117" s="3"/>
      <c r="H117" s="3"/>
      <c r="I117" s="3"/>
      <c r="J117" s="3"/>
      <c r="K117" s="3"/>
      <c r="L117" s="3"/>
      <c r="M117" s="4"/>
      <c r="N117" s="4"/>
      <c r="O117" s="3"/>
    </row>
    <row r="118" spans="1:15">
      <c r="A118" s="3"/>
      <c r="B118" s="3"/>
      <c r="C118" s="3"/>
      <c r="D118" s="3"/>
      <c r="E118" s="3"/>
      <c r="F118" s="3"/>
      <c r="G118" s="3"/>
      <c r="H118" s="3"/>
      <c r="I118" s="3"/>
      <c r="J118" s="3"/>
      <c r="K118" s="3"/>
      <c r="L118" s="3"/>
      <c r="M118" s="4"/>
      <c r="N118" s="4"/>
      <c r="O118" s="3"/>
    </row>
    <row r="119" spans="1:15">
      <c r="A119" s="3"/>
      <c r="B119" s="3"/>
      <c r="C119" s="3"/>
      <c r="D119" s="3"/>
      <c r="E119" s="3"/>
      <c r="F119" s="3"/>
      <c r="G119" s="3"/>
      <c r="H119" s="3"/>
      <c r="I119" s="3"/>
      <c r="J119" s="3"/>
      <c r="K119" s="3"/>
      <c r="L119" s="3"/>
      <c r="M119" s="4"/>
      <c r="N119" s="4"/>
      <c r="O119" s="3"/>
    </row>
    <row r="120" spans="1:15">
      <c r="A120" s="3"/>
      <c r="B120" s="3"/>
      <c r="C120" s="3"/>
      <c r="D120" s="3"/>
      <c r="E120" s="3"/>
      <c r="F120" s="3"/>
      <c r="G120" s="3"/>
      <c r="H120" s="3"/>
      <c r="I120" s="3"/>
      <c r="J120" s="3"/>
      <c r="K120" s="3"/>
      <c r="L120" s="3"/>
      <c r="M120" s="4"/>
      <c r="N120" s="4"/>
      <c r="O120" s="3"/>
    </row>
    <row r="121" spans="1:15">
      <c r="A121" s="3"/>
      <c r="B121" s="3"/>
      <c r="C121" s="3"/>
      <c r="D121" s="3"/>
      <c r="E121" s="3"/>
      <c r="F121" s="3"/>
      <c r="G121" s="3"/>
      <c r="H121" s="3"/>
      <c r="I121" s="3"/>
      <c r="J121" s="3"/>
      <c r="K121" s="3"/>
      <c r="L121" s="3"/>
      <c r="M121" s="4"/>
      <c r="N121" s="4"/>
      <c r="O121" s="3"/>
    </row>
    <row r="122" spans="1:15">
      <c r="A122" s="3"/>
      <c r="B122" s="3"/>
      <c r="C122" s="3"/>
      <c r="D122" s="3"/>
      <c r="E122" s="3"/>
      <c r="F122" s="3"/>
      <c r="G122" s="3"/>
      <c r="H122" s="3"/>
      <c r="I122" s="3"/>
      <c r="J122" s="3"/>
      <c r="K122" s="3"/>
      <c r="L122" s="3"/>
      <c r="M122" s="4"/>
      <c r="N122" s="4"/>
      <c r="O122" s="3"/>
    </row>
    <row r="123" spans="1:15">
      <c r="A123" s="3"/>
      <c r="B123" s="3"/>
      <c r="C123" s="3"/>
      <c r="D123" s="3"/>
      <c r="E123" s="3"/>
      <c r="F123" s="3"/>
      <c r="G123" s="3"/>
      <c r="H123" s="3"/>
      <c r="I123" s="3"/>
      <c r="J123" s="3"/>
      <c r="K123" s="3"/>
      <c r="L123" s="3"/>
      <c r="M123" s="4"/>
      <c r="N123" s="4"/>
      <c r="O123" s="3"/>
    </row>
    <row r="124" spans="1:15">
      <c r="A124" s="3"/>
      <c r="B124" s="3"/>
      <c r="C124" s="3"/>
      <c r="D124" s="3"/>
      <c r="E124" s="3"/>
      <c r="F124" s="3"/>
      <c r="G124" s="3"/>
      <c r="H124" s="3"/>
      <c r="I124" s="3"/>
      <c r="J124" s="3"/>
      <c r="K124" s="3"/>
      <c r="L124" s="3"/>
      <c r="M124" s="4"/>
      <c r="N124" s="4"/>
      <c r="O124" s="3"/>
    </row>
    <row r="125" spans="1:15">
      <c r="A125" s="3"/>
      <c r="B125" s="3"/>
      <c r="C125" s="3"/>
      <c r="D125" s="3"/>
      <c r="E125" s="3"/>
      <c r="F125" s="3"/>
      <c r="G125" s="3"/>
      <c r="H125" s="3"/>
      <c r="I125" s="3"/>
      <c r="J125" s="3"/>
      <c r="K125" s="3"/>
      <c r="L125" s="3"/>
      <c r="M125" s="4"/>
      <c r="N125" s="4"/>
      <c r="O125" s="3"/>
    </row>
    <row r="126" spans="1:15">
      <c r="A126" s="3"/>
      <c r="B126" s="3"/>
      <c r="C126" s="3"/>
      <c r="D126" s="3"/>
      <c r="E126" s="3"/>
      <c r="F126" s="3"/>
      <c r="G126" s="3"/>
      <c r="H126" s="3"/>
      <c r="I126" s="3"/>
      <c r="J126" s="3"/>
      <c r="K126" s="3"/>
      <c r="L126" s="3"/>
      <c r="M126" s="4"/>
      <c r="N126" s="4"/>
      <c r="O126" s="3"/>
    </row>
    <row r="127" spans="1:15">
      <c r="A127" s="3"/>
      <c r="B127" s="3"/>
      <c r="C127" s="3"/>
      <c r="D127" s="3"/>
      <c r="E127" s="3"/>
      <c r="F127" s="3"/>
      <c r="G127" s="3"/>
      <c r="H127" s="3"/>
      <c r="I127" s="3"/>
      <c r="J127" s="3"/>
      <c r="K127" s="3"/>
      <c r="L127" s="3"/>
      <c r="M127" s="4"/>
      <c r="N127" s="4"/>
      <c r="O127" s="3"/>
    </row>
    <row r="128" spans="1:15">
      <c r="A128" s="3"/>
      <c r="B128" s="3"/>
      <c r="C128" s="3"/>
      <c r="D128" s="3"/>
      <c r="E128" s="3"/>
      <c r="F128" s="3"/>
      <c r="G128" s="3"/>
      <c r="H128" s="3"/>
      <c r="I128" s="3"/>
      <c r="J128" s="3"/>
      <c r="K128" s="3"/>
      <c r="L128" s="3"/>
      <c r="M128" s="4"/>
      <c r="N128" s="4"/>
      <c r="O128" s="3"/>
    </row>
    <row r="129" spans="1:15">
      <c r="A129" s="3"/>
      <c r="B129" s="3"/>
      <c r="C129" s="3"/>
      <c r="D129" s="3"/>
      <c r="E129" s="3"/>
      <c r="F129" s="3"/>
      <c r="G129" s="3"/>
      <c r="H129" s="3"/>
      <c r="I129" s="3"/>
      <c r="J129" s="3"/>
      <c r="K129" s="3"/>
      <c r="L129" s="3"/>
      <c r="M129" s="4"/>
      <c r="N129" s="4"/>
      <c r="O129" s="3"/>
    </row>
    <row r="130" spans="1:15">
      <c r="A130" s="3"/>
      <c r="B130" s="3"/>
      <c r="C130" s="3"/>
      <c r="D130" s="3"/>
      <c r="E130" s="3"/>
      <c r="F130" s="3"/>
      <c r="G130" s="3"/>
      <c r="H130" s="3"/>
      <c r="I130" s="3"/>
      <c r="J130" s="3"/>
      <c r="K130" s="3"/>
      <c r="L130" s="3"/>
      <c r="M130" s="4"/>
      <c r="N130" s="4"/>
      <c r="O130" s="3"/>
    </row>
    <row r="131" spans="1:15">
      <c r="A131" s="3"/>
      <c r="B131" s="3"/>
      <c r="C131" s="3"/>
      <c r="D131" s="3"/>
      <c r="E131" s="3"/>
      <c r="F131" s="3"/>
      <c r="G131" s="3"/>
      <c r="H131" s="3"/>
      <c r="I131" s="3"/>
      <c r="J131" s="3"/>
      <c r="K131" s="3"/>
      <c r="L131" s="3"/>
      <c r="M131" s="4"/>
      <c r="N131" s="4"/>
      <c r="O131" s="3"/>
    </row>
    <row r="132" spans="1:15">
      <c r="A132" s="3"/>
      <c r="B132" s="3"/>
      <c r="C132" s="3"/>
      <c r="D132" s="3"/>
      <c r="E132" s="3"/>
      <c r="F132" s="3"/>
      <c r="G132" s="3"/>
      <c r="H132" s="3"/>
      <c r="I132" s="3"/>
      <c r="J132" s="3"/>
      <c r="K132" s="3"/>
      <c r="L132" s="3"/>
      <c r="M132" s="4"/>
      <c r="N132" s="4"/>
      <c r="O132" s="3"/>
    </row>
    <row r="133" spans="1:15">
      <c r="A133" s="3"/>
      <c r="B133" s="3"/>
      <c r="C133" s="3"/>
      <c r="D133" s="3"/>
      <c r="E133" s="3"/>
      <c r="F133" s="3"/>
      <c r="G133" s="3"/>
      <c r="H133" s="3"/>
      <c r="I133" s="3"/>
      <c r="J133" s="3"/>
      <c r="K133" s="3"/>
      <c r="L133" s="3"/>
      <c r="M133" s="4"/>
      <c r="N133" s="4"/>
      <c r="O133" s="3"/>
    </row>
    <row r="134" spans="1:15">
      <c r="A134" s="3"/>
      <c r="B134" s="3"/>
      <c r="C134" s="3"/>
      <c r="D134" s="3"/>
      <c r="E134" s="3"/>
      <c r="F134" s="3"/>
      <c r="G134" s="3"/>
      <c r="H134" s="3"/>
      <c r="I134" s="3"/>
      <c r="J134" s="3"/>
      <c r="K134" s="3"/>
      <c r="L134" s="3"/>
      <c r="M134" s="4"/>
      <c r="N134" s="4"/>
      <c r="O134" s="3"/>
    </row>
    <row r="135" spans="1:15">
      <c r="A135" s="3"/>
      <c r="B135" s="3"/>
      <c r="C135" s="3"/>
      <c r="D135" s="3"/>
      <c r="E135" s="3"/>
      <c r="F135" s="3"/>
      <c r="G135" s="3"/>
      <c r="H135" s="3"/>
      <c r="I135" s="3"/>
      <c r="J135" s="3"/>
      <c r="K135" s="3"/>
      <c r="L135" s="3"/>
      <c r="M135" s="4"/>
      <c r="N135" s="4"/>
      <c r="O135" s="3"/>
    </row>
    <row r="136" spans="1:15">
      <c r="A136" s="3"/>
      <c r="B136" s="3"/>
      <c r="C136" s="3"/>
      <c r="D136" s="3"/>
      <c r="E136" s="3"/>
      <c r="F136" s="3"/>
      <c r="G136" s="3"/>
      <c r="H136" s="3"/>
      <c r="I136" s="3"/>
      <c r="J136" s="3"/>
      <c r="K136" s="3"/>
      <c r="L136" s="3"/>
      <c r="M136" s="4"/>
      <c r="N136" s="4"/>
      <c r="O136" s="3"/>
    </row>
    <row r="137" spans="1:15">
      <c r="A137" s="3"/>
      <c r="B137" s="3"/>
      <c r="C137" s="3"/>
      <c r="D137" s="3"/>
      <c r="E137" s="3"/>
      <c r="F137" s="3"/>
      <c r="G137" s="3"/>
      <c r="H137" s="3"/>
      <c r="I137" s="3"/>
      <c r="J137" s="3"/>
      <c r="K137" s="3"/>
      <c r="L137" s="3"/>
      <c r="M137" s="4"/>
      <c r="N137" s="4"/>
      <c r="O137" s="3"/>
    </row>
    <row r="138" spans="1:15">
      <c r="A138" s="3"/>
      <c r="B138" s="3"/>
      <c r="C138" s="3"/>
      <c r="D138" s="3"/>
      <c r="E138" s="3"/>
      <c r="F138" s="3"/>
      <c r="G138" s="3"/>
      <c r="H138" s="3"/>
      <c r="I138" s="3"/>
      <c r="J138" s="3"/>
      <c r="K138" s="3"/>
      <c r="L138" s="3"/>
      <c r="M138" s="4"/>
      <c r="N138" s="4"/>
      <c r="O138" s="3"/>
    </row>
    <row r="139" spans="1:15">
      <c r="A139" s="3"/>
      <c r="B139" s="3"/>
      <c r="C139" s="3"/>
      <c r="D139" s="3"/>
      <c r="E139" s="3"/>
      <c r="F139" s="3"/>
      <c r="G139" s="3"/>
      <c r="H139" s="3"/>
      <c r="I139" s="3"/>
      <c r="J139" s="3"/>
      <c r="K139" s="3"/>
      <c r="L139" s="3"/>
      <c r="M139" s="4"/>
      <c r="N139" s="4"/>
      <c r="O139" s="3"/>
    </row>
    <row r="140" spans="1:15">
      <c r="A140" s="3"/>
      <c r="B140" s="3"/>
      <c r="C140" s="3"/>
      <c r="D140" s="3"/>
      <c r="E140" s="3"/>
      <c r="F140" s="3"/>
      <c r="G140" s="3"/>
      <c r="H140" s="3"/>
      <c r="I140" s="3"/>
      <c r="J140" s="3"/>
      <c r="K140" s="3"/>
      <c r="L140" s="3"/>
      <c r="M140" s="4"/>
      <c r="N140" s="4"/>
      <c r="O140" s="3"/>
    </row>
    <row r="141" spans="1:15">
      <c r="A141" s="3"/>
      <c r="B141" s="3"/>
      <c r="C141" s="3"/>
      <c r="D141" s="3"/>
      <c r="E141" s="3"/>
      <c r="F141" s="3"/>
      <c r="G141" s="3"/>
      <c r="H141" s="3"/>
      <c r="I141" s="3"/>
      <c r="J141" s="3"/>
      <c r="K141" s="3"/>
      <c r="L141" s="3"/>
      <c r="M141" s="4"/>
      <c r="N141" s="4"/>
      <c r="O141" s="3"/>
    </row>
    <row r="142" spans="1:15">
      <c r="A142" s="3"/>
      <c r="B142" s="3"/>
      <c r="C142" s="3"/>
      <c r="D142" s="3"/>
      <c r="E142" s="3"/>
      <c r="F142" s="3"/>
      <c r="G142" s="3"/>
      <c r="H142" s="3"/>
      <c r="I142" s="3"/>
      <c r="J142" s="3"/>
      <c r="K142" s="3"/>
      <c r="L142" s="3"/>
      <c r="M142" s="4"/>
      <c r="N142" s="4"/>
      <c r="O142" s="3"/>
    </row>
    <row r="143" spans="1:15">
      <c r="A143" s="3"/>
      <c r="B143" s="3"/>
      <c r="C143" s="3"/>
      <c r="D143" s="3"/>
      <c r="E143" s="3"/>
      <c r="F143" s="3"/>
      <c r="G143" s="3"/>
      <c r="H143" s="3"/>
      <c r="I143" s="3"/>
      <c r="J143" s="3"/>
      <c r="K143" s="3"/>
      <c r="L143" s="3"/>
      <c r="M143" s="4"/>
      <c r="N143" s="4"/>
      <c r="O143" s="3"/>
    </row>
    <row r="144" spans="1:15">
      <c r="A144" s="3"/>
      <c r="B144" s="3"/>
      <c r="C144" s="3"/>
      <c r="D144" s="3"/>
      <c r="E144" s="3"/>
      <c r="F144" s="3"/>
      <c r="G144" s="3"/>
      <c r="H144" s="3"/>
      <c r="I144" s="3"/>
      <c r="J144" s="3"/>
      <c r="K144" s="3"/>
      <c r="L144" s="3"/>
      <c r="M144" s="4"/>
      <c r="N144" s="4"/>
      <c r="O144" s="3"/>
    </row>
    <row r="145" spans="1:15">
      <c r="A145" s="3"/>
      <c r="B145" s="3"/>
      <c r="C145" s="3"/>
      <c r="D145" s="3"/>
      <c r="E145" s="3"/>
      <c r="F145" s="3"/>
      <c r="G145" s="3"/>
      <c r="H145" s="3"/>
      <c r="I145" s="3"/>
      <c r="J145" s="3"/>
      <c r="K145" s="3"/>
      <c r="L145" s="3"/>
      <c r="M145" s="4"/>
      <c r="N145" s="4"/>
      <c r="O145" s="3"/>
    </row>
    <row r="146" spans="1:15">
      <c r="A146" s="3"/>
      <c r="B146" s="3"/>
      <c r="C146" s="3"/>
      <c r="D146" s="3"/>
      <c r="E146" s="3"/>
      <c r="F146" s="3"/>
      <c r="G146" s="3"/>
      <c r="H146" s="3"/>
      <c r="I146" s="3"/>
      <c r="J146" s="3"/>
      <c r="K146" s="3"/>
      <c r="L146" s="3"/>
      <c r="M146" s="4"/>
      <c r="N146" s="4"/>
      <c r="O146" s="3"/>
    </row>
    <row r="147" spans="1:15">
      <c r="A147" s="3"/>
      <c r="B147" s="3"/>
      <c r="C147" s="3"/>
      <c r="D147" s="3"/>
      <c r="E147" s="3"/>
      <c r="F147" s="3"/>
      <c r="G147" s="3"/>
      <c r="H147" s="3"/>
      <c r="I147" s="3"/>
      <c r="J147" s="3"/>
      <c r="K147" s="3"/>
      <c r="L147" s="3"/>
      <c r="M147" s="4"/>
      <c r="N147" s="4"/>
      <c r="O147" s="3"/>
    </row>
    <row r="148" spans="1:15">
      <c r="A148" s="3"/>
      <c r="B148" s="3"/>
      <c r="C148" s="3"/>
      <c r="D148" s="3"/>
      <c r="E148" s="3"/>
      <c r="F148" s="3"/>
      <c r="G148" s="3"/>
      <c r="H148" s="3"/>
      <c r="I148" s="3"/>
      <c r="J148" s="3"/>
      <c r="K148" s="3"/>
      <c r="L148" s="3"/>
      <c r="M148" s="4"/>
      <c r="N148" s="4"/>
      <c r="O148" s="3"/>
    </row>
    <row r="149" spans="1:15">
      <c r="A149" s="3"/>
      <c r="B149" s="3"/>
      <c r="C149" s="3"/>
      <c r="D149" s="3"/>
      <c r="E149" s="3"/>
      <c r="F149" s="3"/>
      <c r="G149" s="3"/>
      <c r="H149" s="3"/>
      <c r="I149" s="3"/>
      <c r="J149" s="3"/>
      <c r="K149" s="3"/>
      <c r="L149" s="3"/>
      <c r="M149" s="4"/>
      <c r="N149" s="4"/>
      <c r="O149" s="3"/>
    </row>
    <row r="150" spans="1:15">
      <c r="A150" s="3"/>
      <c r="B150" s="3"/>
      <c r="C150" s="3"/>
      <c r="D150" s="3"/>
      <c r="E150" s="3"/>
      <c r="F150" s="3"/>
      <c r="G150" s="3"/>
      <c r="H150" s="3"/>
      <c r="I150" s="3"/>
      <c r="J150" s="3"/>
      <c r="K150" s="3"/>
      <c r="L150" s="3"/>
      <c r="M150" s="4"/>
      <c r="N150" s="4"/>
      <c r="O150" s="3"/>
    </row>
    <row r="151" spans="1:15">
      <c r="A151" s="3"/>
      <c r="B151" s="3"/>
      <c r="C151" s="3"/>
      <c r="D151" s="3"/>
      <c r="E151" s="3"/>
      <c r="F151" s="3"/>
      <c r="G151" s="3"/>
      <c r="H151" s="3"/>
      <c r="I151" s="3"/>
      <c r="J151" s="3"/>
      <c r="K151" s="3"/>
      <c r="L151" s="3"/>
      <c r="M151" s="4"/>
      <c r="N151" s="4"/>
      <c r="O151" s="3"/>
    </row>
    <row r="152" spans="1:15">
      <c r="A152" s="3"/>
      <c r="B152" s="3"/>
      <c r="C152" s="3"/>
      <c r="D152" s="3"/>
      <c r="E152" s="3"/>
      <c r="F152" s="3"/>
      <c r="G152" s="3"/>
      <c r="H152" s="3"/>
      <c r="I152" s="3"/>
      <c r="J152" s="3"/>
      <c r="K152" s="3"/>
      <c r="L152" s="3"/>
      <c r="M152" s="4"/>
      <c r="N152" s="4"/>
      <c r="O152" s="3"/>
    </row>
    <row r="153" spans="1:15">
      <c r="A153" s="3"/>
      <c r="B153" s="3"/>
      <c r="C153" s="3"/>
      <c r="D153" s="3"/>
      <c r="E153" s="3"/>
      <c r="F153" s="3"/>
      <c r="G153" s="3"/>
      <c r="H153" s="3"/>
      <c r="I153" s="3"/>
      <c r="J153" s="3"/>
      <c r="K153" s="3"/>
      <c r="L153" s="3"/>
      <c r="M153" s="4"/>
      <c r="N153" s="4"/>
      <c r="O153" s="3"/>
    </row>
    <row r="154" spans="1:15">
      <c r="A154" s="3"/>
      <c r="B154" s="3"/>
      <c r="C154" s="3"/>
      <c r="D154" s="3"/>
      <c r="E154" s="3"/>
      <c r="F154" s="3"/>
      <c r="G154" s="3"/>
      <c r="H154" s="3"/>
      <c r="I154" s="3"/>
      <c r="J154" s="3"/>
      <c r="K154" s="3"/>
      <c r="L154" s="3"/>
      <c r="M154" s="4"/>
      <c r="N154" s="4"/>
      <c r="O154" s="3"/>
    </row>
    <row r="155" spans="1:15">
      <c r="A155" s="3"/>
      <c r="B155" s="3"/>
      <c r="C155" s="3"/>
      <c r="D155" s="3"/>
      <c r="E155" s="3"/>
      <c r="F155" s="3"/>
      <c r="G155" s="3"/>
      <c r="H155" s="3"/>
      <c r="I155" s="3"/>
      <c r="J155" s="3"/>
      <c r="K155" s="3"/>
      <c r="L155" s="3"/>
      <c r="M155" s="4"/>
      <c r="N155" s="4"/>
      <c r="O155" s="3"/>
    </row>
    <row r="156" spans="1:15">
      <c r="A156" s="3"/>
      <c r="B156" s="3"/>
      <c r="C156" s="3"/>
      <c r="D156" s="3"/>
      <c r="E156" s="3"/>
      <c r="F156" s="3"/>
      <c r="G156" s="3"/>
      <c r="H156" s="3"/>
      <c r="I156" s="3"/>
      <c r="J156" s="3"/>
      <c r="K156" s="3"/>
      <c r="L156" s="3"/>
      <c r="M156" s="4"/>
      <c r="N156" s="4"/>
      <c r="O156" s="3"/>
    </row>
    <row r="157" spans="1:15">
      <c r="A157" s="3"/>
      <c r="B157" s="3"/>
      <c r="C157" s="3"/>
      <c r="D157" s="3"/>
      <c r="E157" s="3"/>
      <c r="F157" s="3"/>
      <c r="G157" s="3"/>
      <c r="H157" s="3"/>
      <c r="I157" s="3"/>
      <c r="J157" s="3"/>
      <c r="K157" s="3"/>
      <c r="L157" s="3"/>
      <c r="M157" s="4"/>
      <c r="N157" s="4"/>
      <c r="O157" s="3"/>
    </row>
    <row r="158" spans="1:15">
      <c r="A158" s="3"/>
      <c r="B158" s="3"/>
      <c r="C158" s="3"/>
      <c r="D158" s="3"/>
      <c r="E158" s="3"/>
      <c r="F158" s="3"/>
      <c r="G158" s="3"/>
      <c r="H158" s="3"/>
      <c r="I158" s="3"/>
      <c r="J158" s="3"/>
      <c r="K158" s="3"/>
      <c r="L158" s="3"/>
      <c r="M158" s="4"/>
      <c r="N158" s="4"/>
      <c r="O158" s="3"/>
    </row>
    <row r="159" spans="1:15">
      <c r="A159" s="3"/>
      <c r="B159" s="3"/>
      <c r="C159" s="3"/>
      <c r="D159" s="3"/>
      <c r="E159" s="3"/>
      <c r="F159" s="3"/>
      <c r="G159" s="3"/>
      <c r="H159" s="3"/>
      <c r="I159" s="3"/>
      <c r="J159" s="3"/>
      <c r="K159" s="3"/>
      <c r="L159" s="3"/>
      <c r="M159" s="4"/>
      <c r="N159" s="4"/>
      <c r="O159" s="3"/>
    </row>
    <row r="160" spans="1:15">
      <c r="A160" s="3"/>
      <c r="B160" s="3"/>
      <c r="C160" s="3"/>
      <c r="D160" s="3"/>
      <c r="E160" s="3"/>
      <c r="F160" s="3"/>
      <c r="G160" s="3"/>
      <c r="H160" s="3"/>
      <c r="I160" s="3"/>
      <c r="J160" s="3"/>
      <c r="K160" s="3"/>
      <c r="L160" s="3"/>
      <c r="M160" s="4"/>
      <c r="N160" s="4"/>
      <c r="O160" s="3"/>
    </row>
    <row r="161" spans="1:15">
      <c r="A161" s="3"/>
      <c r="B161" s="3"/>
      <c r="C161" s="3"/>
      <c r="D161" s="3"/>
      <c r="E161" s="3"/>
      <c r="F161" s="3"/>
      <c r="G161" s="3"/>
      <c r="H161" s="3"/>
      <c r="I161" s="3"/>
      <c r="J161" s="3"/>
      <c r="K161" s="3"/>
      <c r="L161" s="3"/>
      <c r="M161" s="4"/>
      <c r="N161" s="4"/>
      <c r="O161" s="3"/>
    </row>
    <row r="162" spans="1:15">
      <c r="A162" s="3"/>
      <c r="B162" s="3"/>
      <c r="C162" s="3"/>
      <c r="D162" s="3"/>
      <c r="E162" s="3"/>
      <c r="F162" s="3"/>
      <c r="G162" s="3"/>
      <c r="H162" s="3"/>
      <c r="I162" s="3"/>
      <c r="J162" s="3"/>
      <c r="K162" s="3"/>
      <c r="L162" s="3"/>
      <c r="M162" s="4"/>
      <c r="N162" s="4"/>
      <c r="O162" s="3"/>
    </row>
    <row r="163" spans="1:15">
      <c r="A163" s="3"/>
      <c r="B163" s="3"/>
      <c r="C163" s="3"/>
      <c r="D163" s="3"/>
      <c r="E163" s="3"/>
      <c r="F163" s="3"/>
      <c r="G163" s="3"/>
      <c r="H163" s="3"/>
      <c r="I163" s="3"/>
      <c r="J163" s="3"/>
      <c r="K163" s="3"/>
      <c r="L163" s="3"/>
      <c r="M163" s="4"/>
      <c r="N163" s="4"/>
      <c r="O163" s="3"/>
    </row>
    <row r="164" spans="1:15">
      <c r="A164" s="3"/>
      <c r="B164" s="3"/>
      <c r="C164" s="3"/>
      <c r="D164" s="3"/>
      <c r="E164" s="3"/>
      <c r="F164" s="3"/>
      <c r="G164" s="3"/>
      <c r="H164" s="3"/>
      <c r="I164" s="3"/>
      <c r="J164" s="3"/>
      <c r="K164" s="3"/>
      <c r="L164" s="3"/>
      <c r="M164" s="4"/>
      <c r="N164" s="4"/>
      <c r="O164" s="3"/>
    </row>
    <row r="165" spans="1:15">
      <c r="A165" s="3"/>
      <c r="B165" s="3"/>
      <c r="C165" s="3"/>
      <c r="D165" s="3"/>
      <c r="E165" s="3"/>
      <c r="F165" s="3"/>
      <c r="G165" s="3"/>
      <c r="H165" s="3"/>
      <c r="I165" s="3"/>
      <c r="J165" s="3"/>
      <c r="K165" s="3"/>
      <c r="L165" s="3"/>
      <c r="M165" s="4"/>
      <c r="N165" s="4"/>
      <c r="O165" s="3"/>
    </row>
    <row r="166" spans="1:15">
      <c r="A166" s="3"/>
      <c r="B166" s="3"/>
      <c r="C166" s="3"/>
      <c r="D166" s="3"/>
      <c r="E166" s="3"/>
      <c r="F166" s="3"/>
      <c r="G166" s="3"/>
      <c r="H166" s="3"/>
      <c r="I166" s="3"/>
      <c r="J166" s="3"/>
      <c r="K166" s="3"/>
      <c r="L166" s="3"/>
      <c r="M166" s="4"/>
      <c r="N166" s="4"/>
      <c r="O166" s="3"/>
    </row>
    <row r="167" spans="1:15">
      <c r="A167" s="3"/>
      <c r="B167" s="3"/>
      <c r="C167" s="3"/>
      <c r="D167" s="3"/>
      <c r="E167" s="3"/>
      <c r="F167" s="3"/>
      <c r="G167" s="3"/>
      <c r="H167" s="3"/>
      <c r="I167" s="3"/>
      <c r="J167" s="3"/>
      <c r="K167" s="3"/>
      <c r="L167" s="3"/>
      <c r="M167" s="4"/>
      <c r="N167" s="4"/>
      <c r="O167" s="3"/>
    </row>
    <row r="168" spans="1:15">
      <c r="A168" s="3"/>
      <c r="B168" s="3"/>
      <c r="C168" s="3"/>
      <c r="D168" s="3"/>
      <c r="E168" s="3"/>
      <c r="F168" s="3"/>
      <c r="G168" s="3"/>
      <c r="H168" s="3"/>
      <c r="I168" s="3"/>
      <c r="J168" s="3"/>
      <c r="K168" s="3"/>
      <c r="L168" s="3"/>
      <c r="M168" s="4"/>
      <c r="N168" s="4"/>
      <c r="O168" s="3"/>
    </row>
    <row r="169" spans="1:15">
      <c r="A169" s="3"/>
      <c r="B169" s="3"/>
      <c r="C169" s="3"/>
      <c r="D169" s="3"/>
      <c r="E169" s="3"/>
      <c r="F169" s="3"/>
      <c r="G169" s="3"/>
      <c r="H169" s="3"/>
      <c r="I169" s="3"/>
      <c r="J169" s="3"/>
      <c r="K169" s="3"/>
      <c r="L169" s="3"/>
      <c r="M169" s="4"/>
      <c r="N169" s="4"/>
      <c r="O169" s="3"/>
    </row>
    <row r="170" spans="1:15">
      <c r="A170" s="3"/>
      <c r="B170" s="3"/>
      <c r="C170" s="3"/>
      <c r="D170" s="3"/>
      <c r="E170" s="3"/>
      <c r="F170" s="3"/>
      <c r="G170" s="3"/>
      <c r="H170" s="3"/>
      <c r="I170" s="3"/>
      <c r="J170" s="3"/>
      <c r="K170" s="3"/>
      <c r="L170" s="3"/>
      <c r="M170" s="4"/>
      <c r="N170" s="4"/>
      <c r="O170" s="3"/>
    </row>
    <row r="171" spans="1:15">
      <c r="A171" s="3"/>
      <c r="B171" s="3"/>
      <c r="C171" s="3"/>
      <c r="D171" s="3"/>
      <c r="E171" s="3"/>
      <c r="F171" s="3"/>
      <c r="G171" s="3"/>
      <c r="H171" s="3"/>
      <c r="I171" s="3"/>
      <c r="J171" s="3"/>
      <c r="K171" s="3"/>
      <c r="L171" s="3"/>
      <c r="M171" s="4"/>
      <c r="N171" s="4"/>
      <c r="O171" s="3"/>
    </row>
    <row r="172" spans="1:15">
      <c r="A172" s="3"/>
      <c r="B172" s="3"/>
      <c r="C172" s="3"/>
      <c r="D172" s="3"/>
      <c r="E172" s="3"/>
      <c r="F172" s="3"/>
      <c r="G172" s="3"/>
      <c r="H172" s="3"/>
      <c r="I172" s="3"/>
      <c r="J172" s="3"/>
      <c r="K172" s="3"/>
      <c r="L172" s="3"/>
      <c r="M172" s="4"/>
      <c r="N172" s="4"/>
      <c r="O172" s="3"/>
    </row>
    <row r="173" spans="1:15">
      <c r="A173" s="3"/>
      <c r="B173" s="3"/>
      <c r="C173" s="3"/>
      <c r="D173" s="3"/>
      <c r="E173" s="3"/>
      <c r="F173" s="3"/>
      <c r="G173" s="3"/>
      <c r="H173" s="3"/>
      <c r="I173" s="3"/>
      <c r="J173" s="3"/>
      <c r="K173" s="3"/>
      <c r="L173" s="3"/>
      <c r="M173" s="4"/>
      <c r="N173" s="4"/>
      <c r="O173" s="3"/>
    </row>
    <row r="174" spans="1:15">
      <c r="A174" s="3"/>
      <c r="B174" s="3"/>
      <c r="C174" s="3"/>
      <c r="D174" s="3"/>
      <c r="E174" s="3"/>
      <c r="F174" s="3"/>
      <c r="G174" s="3"/>
      <c r="H174" s="3"/>
      <c r="I174" s="3"/>
      <c r="J174" s="3"/>
      <c r="K174" s="3"/>
      <c r="L174" s="3"/>
      <c r="M174" s="4"/>
      <c r="N174" s="4"/>
      <c r="O174" s="3"/>
    </row>
    <row r="175" spans="1:15">
      <c r="A175" s="3"/>
      <c r="B175" s="3"/>
      <c r="C175" s="3"/>
      <c r="D175" s="3"/>
      <c r="E175" s="3"/>
      <c r="F175" s="3"/>
      <c r="G175" s="3"/>
      <c r="H175" s="3"/>
      <c r="I175" s="3"/>
      <c r="J175" s="3"/>
      <c r="K175" s="3"/>
      <c r="L175" s="3"/>
      <c r="M175" s="4"/>
      <c r="N175" s="4"/>
      <c r="O175" s="3"/>
    </row>
    <row r="176" spans="1:15">
      <c r="A176" s="3"/>
      <c r="B176" s="3"/>
      <c r="C176" s="3"/>
      <c r="D176" s="3"/>
      <c r="E176" s="3"/>
      <c r="F176" s="3"/>
      <c r="G176" s="3"/>
      <c r="H176" s="3"/>
      <c r="I176" s="3"/>
      <c r="J176" s="3"/>
      <c r="K176" s="3"/>
      <c r="L176" s="3"/>
      <c r="M176" s="4"/>
      <c r="N176" s="4"/>
      <c r="O176" s="3"/>
    </row>
    <row r="177" spans="1:15">
      <c r="A177" s="3"/>
      <c r="B177" s="3"/>
      <c r="C177" s="3"/>
      <c r="D177" s="3"/>
      <c r="E177" s="3"/>
      <c r="F177" s="3"/>
      <c r="G177" s="3"/>
      <c r="H177" s="3"/>
      <c r="I177" s="3"/>
      <c r="J177" s="3"/>
      <c r="K177" s="3"/>
      <c r="L177" s="3"/>
      <c r="M177" s="4"/>
      <c r="N177" s="4"/>
      <c r="O177" s="3"/>
    </row>
    <row r="178" spans="1:15">
      <c r="A178" s="3"/>
      <c r="B178" s="3"/>
      <c r="C178" s="3"/>
      <c r="D178" s="3"/>
      <c r="E178" s="3"/>
      <c r="F178" s="3"/>
      <c r="G178" s="3"/>
      <c r="H178" s="3"/>
      <c r="I178" s="3"/>
      <c r="J178" s="3"/>
      <c r="K178" s="3"/>
      <c r="L178" s="3"/>
      <c r="M178" s="4"/>
      <c r="N178" s="4"/>
      <c r="O178" s="3"/>
    </row>
    <row r="179" spans="1:15">
      <c r="A179" s="3"/>
      <c r="B179" s="3"/>
      <c r="C179" s="3"/>
      <c r="D179" s="3"/>
      <c r="E179" s="3"/>
      <c r="F179" s="3"/>
      <c r="G179" s="3"/>
      <c r="H179" s="3"/>
      <c r="I179" s="3"/>
      <c r="J179" s="3"/>
      <c r="K179" s="3"/>
      <c r="L179" s="3"/>
      <c r="M179" s="4"/>
      <c r="N179" s="4"/>
      <c r="O179" s="3"/>
    </row>
    <row r="180" spans="1:15">
      <c r="A180" s="3"/>
      <c r="B180" s="3"/>
      <c r="C180" s="3"/>
      <c r="D180" s="3"/>
      <c r="E180" s="3"/>
      <c r="F180" s="3"/>
      <c r="G180" s="3"/>
      <c r="H180" s="3"/>
      <c r="I180" s="3"/>
      <c r="J180" s="3"/>
      <c r="K180" s="3"/>
      <c r="L180" s="3"/>
      <c r="M180" s="4"/>
      <c r="N180" s="4"/>
      <c r="O180" s="3"/>
    </row>
    <row r="181" spans="1:15">
      <c r="A181" s="3"/>
      <c r="B181" s="3"/>
      <c r="C181" s="3"/>
      <c r="D181" s="3"/>
      <c r="E181" s="3"/>
      <c r="F181" s="3"/>
      <c r="G181" s="3"/>
      <c r="H181" s="3"/>
      <c r="I181" s="3"/>
      <c r="J181" s="3"/>
      <c r="K181" s="3"/>
      <c r="L181" s="3"/>
      <c r="M181" s="4"/>
      <c r="N181" s="4"/>
      <c r="O181" s="3"/>
    </row>
    <row r="182" spans="1:15">
      <c r="A182" s="3"/>
      <c r="B182" s="3"/>
      <c r="C182" s="3"/>
      <c r="D182" s="3"/>
      <c r="E182" s="3"/>
      <c r="F182" s="3"/>
      <c r="G182" s="3"/>
      <c r="H182" s="3"/>
      <c r="I182" s="3"/>
      <c r="J182" s="3"/>
      <c r="K182" s="3"/>
      <c r="L182" s="3"/>
      <c r="M182" s="4"/>
      <c r="N182" s="4"/>
      <c r="O182" s="3"/>
    </row>
    <row r="183" spans="1:15">
      <c r="A183" s="3"/>
      <c r="B183" s="3"/>
      <c r="C183" s="3"/>
      <c r="D183" s="3"/>
      <c r="E183" s="3"/>
      <c r="F183" s="3"/>
      <c r="G183" s="3"/>
      <c r="H183" s="3"/>
      <c r="I183" s="3"/>
      <c r="J183" s="3"/>
      <c r="K183" s="3"/>
      <c r="L183" s="3"/>
      <c r="M183" s="4"/>
      <c r="N183" s="4"/>
      <c r="O183" s="3"/>
    </row>
    <row r="184" spans="1:15">
      <c r="A184" s="3"/>
      <c r="B184" s="3"/>
      <c r="C184" s="3"/>
      <c r="D184" s="3"/>
      <c r="E184" s="3"/>
      <c r="F184" s="3"/>
      <c r="G184" s="3"/>
      <c r="H184" s="3"/>
      <c r="I184" s="3"/>
      <c r="J184" s="3"/>
      <c r="K184" s="3"/>
      <c r="L184" s="3"/>
      <c r="M184" s="4"/>
      <c r="N184" s="4"/>
      <c r="O184" s="3"/>
    </row>
    <row r="185" spans="1:15">
      <c r="A185" s="3"/>
      <c r="B185" s="3"/>
      <c r="C185" s="3"/>
      <c r="D185" s="3"/>
      <c r="E185" s="3"/>
      <c r="F185" s="3"/>
      <c r="G185" s="3"/>
      <c r="H185" s="3"/>
      <c r="I185" s="3"/>
      <c r="J185" s="3"/>
      <c r="K185" s="3"/>
      <c r="L185" s="3"/>
      <c r="M185" s="4"/>
      <c r="N185" s="4"/>
      <c r="O185" s="3"/>
    </row>
    <row r="186" spans="1:15">
      <c r="A186" s="3"/>
      <c r="B186" s="3"/>
      <c r="C186" s="3"/>
      <c r="D186" s="3"/>
      <c r="E186" s="3"/>
      <c r="F186" s="3"/>
      <c r="G186" s="3"/>
      <c r="H186" s="3"/>
      <c r="I186" s="3"/>
      <c r="J186" s="3"/>
      <c r="K186" s="3"/>
      <c r="L186" s="3"/>
      <c r="M186" s="4"/>
      <c r="N186" s="4"/>
      <c r="O186" s="3"/>
    </row>
    <row r="187" spans="1:15">
      <c r="A187" s="3"/>
      <c r="B187" s="3"/>
      <c r="C187" s="3"/>
      <c r="D187" s="3"/>
      <c r="E187" s="3"/>
      <c r="F187" s="3"/>
      <c r="G187" s="3"/>
      <c r="H187" s="3"/>
      <c r="I187" s="3"/>
      <c r="J187" s="3"/>
      <c r="K187" s="3"/>
      <c r="L187" s="3"/>
      <c r="M187" s="4"/>
      <c r="N187" s="4"/>
      <c r="O187" s="3"/>
    </row>
    <row r="188" spans="1:15">
      <c r="A188" s="3"/>
      <c r="B188" s="3"/>
      <c r="C188" s="3"/>
      <c r="D188" s="3"/>
      <c r="E188" s="3"/>
      <c r="F188" s="3"/>
      <c r="G188" s="3"/>
      <c r="H188" s="3"/>
      <c r="I188" s="3"/>
      <c r="J188" s="3"/>
      <c r="K188" s="3"/>
      <c r="L188" s="3"/>
      <c r="M188" s="4"/>
      <c r="N188" s="4"/>
      <c r="O188" s="3"/>
    </row>
    <row r="189" spans="1:15">
      <c r="A189" s="3"/>
      <c r="B189" s="3"/>
      <c r="C189" s="3"/>
      <c r="D189" s="3"/>
      <c r="E189" s="3"/>
      <c r="F189" s="3"/>
      <c r="G189" s="3"/>
      <c r="H189" s="3"/>
      <c r="I189" s="3"/>
      <c r="J189" s="3"/>
      <c r="K189" s="3"/>
      <c r="L189" s="3"/>
      <c r="M189" s="4"/>
      <c r="N189" s="4"/>
      <c r="O189" s="3"/>
    </row>
    <row r="190" spans="1:15">
      <c r="A190" s="3"/>
      <c r="B190" s="3"/>
      <c r="C190" s="3"/>
      <c r="D190" s="3"/>
      <c r="E190" s="3"/>
      <c r="F190" s="3"/>
      <c r="G190" s="3"/>
      <c r="H190" s="3"/>
      <c r="I190" s="3"/>
      <c r="J190" s="3"/>
      <c r="K190" s="3"/>
      <c r="L190" s="3"/>
      <c r="M190" s="4"/>
      <c r="N190" s="4"/>
      <c r="O190" s="3"/>
    </row>
    <row r="191" spans="1:15">
      <c r="A191" s="3"/>
      <c r="B191" s="3"/>
      <c r="C191" s="3"/>
      <c r="D191" s="3"/>
      <c r="E191" s="3"/>
      <c r="F191" s="3"/>
      <c r="G191" s="3"/>
      <c r="H191" s="3"/>
      <c r="I191" s="3"/>
      <c r="J191" s="3"/>
      <c r="K191" s="3"/>
      <c r="L191" s="3"/>
      <c r="M191" s="4"/>
      <c r="N191" s="4"/>
      <c r="O191" s="3"/>
    </row>
    <row r="192" spans="1:15">
      <c r="A192" s="3"/>
      <c r="B192" s="3"/>
      <c r="C192" s="3"/>
      <c r="D192" s="3"/>
      <c r="E192" s="3"/>
      <c r="F192" s="3"/>
      <c r="G192" s="3"/>
      <c r="H192" s="3"/>
      <c r="I192" s="3"/>
      <c r="J192" s="3"/>
      <c r="K192" s="3"/>
      <c r="L192" s="3"/>
      <c r="M192" s="4"/>
      <c r="N192" s="4"/>
      <c r="O192" s="3"/>
    </row>
    <row r="193" spans="1:15">
      <c r="A193" s="3"/>
      <c r="B193" s="3"/>
      <c r="C193" s="3"/>
      <c r="D193" s="3"/>
      <c r="E193" s="3"/>
      <c r="F193" s="3"/>
      <c r="G193" s="3"/>
      <c r="H193" s="3"/>
      <c r="I193" s="3"/>
      <c r="J193" s="3"/>
      <c r="K193" s="3"/>
      <c r="L193" s="3"/>
      <c r="M193" s="4"/>
      <c r="N193" s="4"/>
      <c r="O193" s="3"/>
    </row>
    <row r="194" spans="1:15">
      <c r="A194" s="3"/>
      <c r="B194" s="3"/>
      <c r="C194" s="3"/>
      <c r="D194" s="3"/>
      <c r="E194" s="3"/>
      <c r="F194" s="3"/>
      <c r="G194" s="3"/>
      <c r="H194" s="3"/>
      <c r="I194" s="3"/>
      <c r="J194" s="3"/>
      <c r="K194" s="3"/>
      <c r="L194" s="3"/>
      <c r="M194" s="4"/>
      <c r="N194" s="4"/>
      <c r="O194" s="3"/>
    </row>
    <row r="195" spans="1:15">
      <c r="A195" s="3"/>
      <c r="B195" s="3"/>
      <c r="C195" s="3"/>
      <c r="D195" s="3"/>
      <c r="E195" s="3"/>
      <c r="F195" s="3"/>
      <c r="G195" s="3"/>
      <c r="H195" s="3"/>
      <c r="I195" s="3"/>
      <c r="J195" s="3"/>
      <c r="K195" s="3"/>
      <c r="L195" s="3"/>
      <c r="M195" s="4"/>
      <c r="N195" s="4"/>
      <c r="O195" s="3"/>
    </row>
    <row r="196" spans="1:15">
      <c r="A196" s="3"/>
      <c r="B196" s="3"/>
      <c r="C196" s="3"/>
      <c r="D196" s="3"/>
      <c r="E196" s="3"/>
      <c r="F196" s="3"/>
      <c r="G196" s="3"/>
      <c r="H196" s="3"/>
      <c r="I196" s="3"/>
      <c r="J196" s="3"/>
      <c r="K196" s="3"/>
      <c r="L196" s="3"/>
      <c r="M196" s="4"/>
      <c r="N196" s="4"/>
      <c r="O196" s="3"/>
    </row>
    <row r="197" spans="1:15">
      <c r="A197" s="3"/>
      <c r="B197" s="3"/>
      <c r="C197" s="3"/>
      <c r="D197" s="3"/>
      <c r="E197" s="3"/>
      <c r="F197" s="3"/>
      <c r="G197" s="3"/>
      <c r="H197" s="3"/>
      <c r="I197" s="3"/>
      <c r="J197" s="3"/>
      <c r="K197" s="3"/>
      <c r="L197" s="3"/>
      <c r="M197" s="4"/>
      <c r="N197" s="4"/>
      <c r="O197" s="3"/>
    </row>
    <row r="198" spans="1:15">
      <c r="A198" s="3"/>
      <c r="B198" s="3"/>
      <c r="C198" s="3"/>
      <c r="D198" s="3"/>
      <c r="E198" s="3"/>
      <c r="F198" s="3"/>
      <c r="G198" s="3"/>
      <c r="H198" s="3"/>
      <c r="I198" s="3"/>
      <c r="J198" s="3"/>
      <c r="K198" s="3"/>
      <c r="L198" s="3"/>
      <c r="M198" s="4"/>
      <c r="N198" s="4"/>
      <c r="O198" s="3"/>
    </row>
    <row r="199" spans="1:15">
      <c r="A199" s="3"/>
      <c r="B199" s="3"/>
      <c r="C199" s="3"/>
      <c r="D199" s="3"/>
      <c r="E199" s="3"/>
      <c r="F199" s="3"/>
      <c r="G199" s="3"/>
      <c r="H199" s="3"/>
      <c r="I199" s="3"/>
      <c r="J199" s="3"/>
      <c r="K199" s="3"/>
      <c r="L199" s="3"/>
      <c r="M199" s="4"/>
      <c r="N199" s="4"/>
      <c r="O199" s="3"/>
    </row>
    <row r="200" spans="1:15">
      <c r="A200" s="3"/>
      <c r="B200" s="3"/>
      <c r="C200" s="3"/>
      <c r="D200" s="3"/>
      <c r="E200" s="3"/>
      <c r="F200" s="3"/>
      <c r="G200" s="3"/>
      <c r="H200" s="3"/>
      <c r="I200" s="3"/>
      <c r="J200" s="3"/>
      <c r="K200" s="3"/>
      <c r="L200" s="3"/>
      <c r="M200" s="4"/>
      <c r="N200" s="4"/>
      <c r="O200" s="3"/>
    </row>
    <row r="201" spans="1:15">
      <c r="M201" s="5"/>
      <c r="N201" s="5"/>
    </row>
    <row r="202" spans="1:15">
      <c r="M202" s="5"/>
      <c r="N202" s="5"/>
    </row>
    <row r="203" spans="1:15">
      <c r="M203" s="5"/>
      <c r="N203" s="5"/>
    </row>
    <row r="204" spans="1:15">
      <c r="M204" s="5"/>
      <c r="N204" s="5"/>
    </row>
    <row r="205" spans="1:15">
      <c r="M205" s="5"/>
      <c r="N205" s="5"/>
    </row>
    <row r="206" spans="1:15">
      <c r="M206" s="5"/>
      <c r="N206" s="5"/>
    </row>
    <row r="207" spans="1:15">
      <c r="M207" s="5"/>
      <c r="N207" s="5"/>
    </row>
    <row r="208" spans="1:15">
      <c r="M208" s="5"/>
      <c r="N208" s="5"/>
    </row>
    <row r="209" spans="13:14">
      <c r="M209" s="5"/>
      <c r="N209" s="5"/>
    </row>
    <row r="210" spans="13:14">
      <c r="M210" s="5"/>
      <c r="N210" s="5"/>
    </row>
    <row r="211" spans="13:14">
      <c r="M211" s="5"/>
      <c r="N211" s="5"/>
    </row>
    <row r="212" spans="13:14">
      <c r="M212" s="5"/>
      <c r="N212" s="5"/>
    </row>
    <row r="213" spans="13:14">
      <c r="M213" s="5"/>
      <c r="N213" s="5"/>
    </row>
    <row r="214" spans="13:14">
      <c r="M214" s="5"/>
      <c r="N214" s="5"/>
    </row>
    <row r="215" spans="13:14">
      <c r="M215" s="5"/>
      <c r="N215" s="5"/>
    </row>
    <row r="216" spans="13:14">
      <c r="M216" s="5"/>
      <c r="N216" s="5"/>
    </row>
    <row r="217" spans="13:14">
      <c r="M217" s="5"/>
      <c r="N217" s="5"/>
    </row>
    <row r="218" spans="13:14">
      <c r="M218" s="5"/>
      <c r="N218" s="5"/>
    </row>
    <row r="219" spans="13:14">
      <c r="M219" s="5"/>
      <c r="N219" s="5"/>
    </row>
    <row r="220" spans="13:14">
      <c r="M220" s="5"/>
      <c r="N220" s="5"/>
    </row>
    <row r="221" spans="13:14">
      <c r="M221" s="5"/>
      <c r="N221" s="5"/>
    </row>
    <row r="222" spans="13:14">
      <c r="M222" s="5"/>
      <c r="N222" s="5"/>
    </row>
    <row r="223" spans="13:14">
      <c r="M223" s="5"/>
      <c r="N223" s="5"/>
    </row>
    <row r="224" spans="13:14">
      <c r="M224" s="5"/>
      <c r="N224" s="5"/>
    </row>
    <row r="225" spans="13:14">
      <c r="M225" s="5"/>
      <c r="N225" s="5"/>
    </row>
    <row r="226" spans="13:14">
      <c r="M226" s="5"/>
      <c r="N226" s="5"/>
    </row>
    <row r="227" spans="13:14">
      <c r="M227" s="5"/>
      <c r="N227" s="5"/>
    </row>
    <row r="228" spans="13:14">
      <c r="M228" s="5"/>
      <c r="N228" s="5"/>
    </row>
    <row r="229" spans="13:14">
      <c r="M229" s="5"/>
      <c r="N229" s="5"/>
    </row>
    <row r="230" spans="13:14">
      <c r="M230" s="5"/>
      <c r="N230" s="5"/>
    </row>
    <row r="231" spans="13:14">
      <c r="M231" s="5"/>
      <c r="N231" s="5"/>
    </row>
    <row r="232" spans="13:14">
      <c r="M232" s="5"/>
      <c r="N232" s="5"/>
    </row>
    <row r="233" spans="13:14">
      <c r="M233" s="5"/>
      <c r="N233" s="5"/>
    </row>
    <row r="234" spans="13:14">
      <c r="M234" s="5"/>
      <c r="N234" s="5"/>
    </row>
    <row r="235" spans="13:14">
      <c r="M235" s="5"/>
      <c r="N235" s="5"/>
    </row>
    <row r="236" spans="13:14">
      <c r="M236" s="5"/>
      <c r="N236" s="5"/>
    </row>
    <row r="237" spans="13:14">
      <c r="M237" s="5"/>
      <c r="N237" s="5"/>
    </row>
    <row r="238" spans="13:14">
      <c r="M238" s="5"/>
      <c r="N238" s="5"/>
    </row>
    <row r="239" spans="13:14">
      <c r="M239" s="5"/>
      <c r="N239" s="5"/>
    </row>
    <row r="240" spans="13:14">
      <c r="M240" s="5"/>
      <c r="N240" s="5"/>
    </row>
    <row r="241" spans="13:14">
      <c r="M241" s="5"/>
      <c r="N241" s="5"/>
    </row>
    <row r="242" spans="13:14">
      <c r="M242" s="5"/>
      <c r="N242" s="5"/>
    </row>
    <row r="243" spans="13:14">
      <c r="M243" s="5"/>
      <c r="N243" s="5"/>
    </row>
    <row r="244" spans="13:14">
      <c r="M244" s="5"/>
      <c r="N244" s="5"/>
    </row>
    <row r="245" spans="13:14">
      <c r="M245" s="5"/>
      <c r="N245" s="5"/>
    </row>
    <row r="246" spans="13:14">
      <c r="M246" s="5"/>
      <c r="N246" s="5"/>
    </row>
    <row r="247" spans="13:14">
      <c r="M247" s="5"/>
      <c r="N247" s="5"/>
    </row>
    <row r="248" spans="13:14">
      <c r="M248" s="5"/>
      <c r="N248" s="5"/>
    </row>
    <row r="249" spans="13:14">
      <c r="M249" s="5"/>
      <c r="N249" s="5"/>
    </row>
    <row r="250" spans="13:14">
      <c r="M250" s="5"/>
      <c r="N250" s="5"/>
    </row>
    <row r="251" spans="13:14">
      <c r="M251" s="5"/>
      <c r="N251" s="5"/>
    </row>
    <row r="252" spans="13:14">
      <c r="M252" s="5"/>
      <c r="N252" s="5"/>
    </row>
    <row r="253" spans="13:14">
      <c r="M253" s="5"/>
      <c r="N253" s="5"/>
    </row>
    <row r="254" spans="13:14">
      <c r="M254" s="5"/>
      <c r="N254" s="5"/>
    </row>
    <row r="255" spans="13:14">
      <c r="M255" s="5"/>
      <c r="N255" s="5"/>
    </row>
    <row r="256" spans="13:14">
      <c r="M256" s="5"/>
      <c r="N256" s="5"/>
    </row>
    <row r="257" spans="13:14">
      <c r="M257" s="5"/>
      <c r="N257" s="5"/>
    </row>
    <row r="258" spans="13:14">
      <c r="M258" s="5"/>
      <c r="N258" s="5"/>
    </row>
    <row r="259" spans="13:14">
      <c r="M259" s="5"/>
      <c r="N259" s="5"/>
    </row>
    <row r="260" spans="13:14">
      <c r="M260" s="5"/>
      <c r="N260" s="5"/>
    </row>
    <row r="261" spans="13:14">
      <c r="M261" s="5"/>
      <c r="N261" s="5"/>
    </row>
    <row r="262" spans="13:14">
      <c r="M262" s="5"/>
      <c r="N262" s="5"/>
    </row>
    <row r="263" spans="13:14">
      <c r="M263" s="5"/>
      <c r="N263" s="5"/>
    </row>
    <row r="264" spans="13:14">
      <c r="M264" s="5"/>
      <c r="N264" s="5"/>
    </row>
    <row r="265" spans="13:14">
      <c r="M265" s="5"/>
      <c r="N265" s="5"/>
    </row>
    <row r="266" spans="13:14">
      <c r="M266" s="5"/>
      <c r="N266" s="5"/>
    </row>
    <row r="267" spans="13:14">
      <c r="M267" s="5"/>
      <c r="N267" s="5"/>
    </row>
    <row r="268" spans="13:14">
      <c r="M268" s="5"/>
      <c r="N268" s="5"/>
    </row>
    <row r="269" spans="13:14">
      <c r="M269" s="5"/>
      <c r="N269" s="5"/>
    </row>
    <row r="270" spans="13:14">
      <c r="M270" s="5"/>
      <c r="N270" s="5"/>
    </row>
    <row r="271" spans="13:14">
      <c r="M271" s="5"/>
      <c r="N271" s="5"/>
    </row>
    <row r="272" spans="13:14">
      <c r="M272" s="5"/>
      <c r="N272" s="5"/>
    </row>
    <row r="273" spans="13:14">
      <c r="M273" s="5"/>
      <c r="N273" s="5"/>
    </row>
    <row r="274" spans="13:14">
      <c r="M274" s="5"/>
      <c r="N274" s="5"/>
    </row>
    <row r="275" spans="13:14">
      <c r="M275" s="5"/>
      <c r="N275" s="5"/>
    </row>
    <row r="276" spans="13:14">
      <c r="M276" s="5"/>
      <c r="N276" s="5"/>
    </row>
    <row r="277" spans="13:14">
      <c r="M277" s="5"/>
      <c r="N277" s="5"/>
    </row>
    <row r="278" spans="13:14">
      <c r="M278" s="5"/>
      <c r="N278" s="5"/>
    </row>
    <row r="279" spans="13:14">
      <c r="M279" s="5"/>
      <c r="N279" s="5"/>
    </row>
    <row r="280" spans="13:14">
      <c r="M280" s="5"/>
      <c r="N280" s="5"/>
    </row>
    <row r="281" spans="13:14">
      <c r="M281" s="5"/>
      <c r="N281" s="5"/>
    </row>
    <row r="282" spans="13:14">
      <c r="M282" s="5"/>
      <c r="N282" s="5"/>
    </row>
    <row r="283" spans="13:14">
      <c r="M283" s="5"/>
      <c r="N283" s="5"/>
    </row>
    <row r="284" spans="13:14">
      <c r="M284" s="5"/>
      <c r="N284" s="5"/>
    </row>
    <row r="285" spans="13:14">
      <c r="M285" s="5"/>
      <c r="N285" s="5"/>
    </row>
    <row r="286" spans="13:14">
      <c r="M286" s="5"/>
      <c r="N286" s="5"/>
    </row>
    <row r="287" spans="13:14">
      <c r="M287" s="5"/>
      <c r="N287" s="5"/>
    </row>
    <row r="288" spans="13:14">
      <c r="M288" s="5"/>
      <c r="N288" s="5"/>
    </row>
    <row r="289" spans="13:14">
      <c r="M289" s="5"/>
      <c r="N289" s="5"/>
    </row>
    <row r="290" spans="13:14">
      <c r="M290" s="5"/>
      <c r="N290" s="5"/>
    </row>
    <row r="291" spans="13:14">
      <c r="M291" s="5"/>
      <c r="N291" s="5"/>
    </row>
    <row r="292" spans="13:14">
      <c r="M292" s="5"/>
      <c r="N292" s="5"/>
    </row>
    <row r="293" spans="13:14">
      <c r="M293" s="5"/>
      <c r="N293" s="5"/>
    </row>
    <row r="294" spans="13:14">
      <c r="M294" s="5"/>
      <c r="N294" s="5"/>
    </row>
    <row r="295" spans="13:14">
      <c r="M295" s="5"/>
      <c r="N295" s="5"/>
    </row>
    <row r="296" spans="13:14">
      <c r="M296" s="5"/>
      <c r="N296" s="5"/>
    </row>
    <row r="297" spans="13:14">
      <c r="M297" s="5"/>
      <c r="N297" s="5"/>
    </row>
    <row r="298" spans="13:14">
      <c r="M298" s="5"/>
      <c r="N298" s="5"/>
    </row>
    <row r="299" spans="13:14">
      <c r="M299" s="5"/>
      <c r="N299" s="5"/>
    </row>
    <row r="300" spans="13:14">
      <c r="M300" s="5"/>
      <c r="N300" s="5"/>
    </row>
    <row r="301" spans="13:14">
      <c r="M301" s="5"/>
      <c r="N301" s="5"/>
    </row>
    <row r="302" spans="13:14">
      <c r="M302" s="5"/>
      <c r="N302" s="5"/>
    </row>
    <row r="303" spans="13:14">
      <c r="M303" s="5"/>
      <c r="N303" s="5"/>
    </row>
    <row r="304" spans="13:14">
      <c r="M304" s="5"/>
      <c r="N304" s="5"/>
    </row>
    <row r="305" spans="13:14">
      <c r="M305" s="5"/>
      <c r="N305" s="5"/>
    </row>
    <row r="306" spans="13:14">
      <c r="M306" s="5"/>
      <c r="N306" s="5"/>
    </row>
    <row r="307" spans="13:14">
      <c r="M307" s="5"/>
      <c r="N307" s="5"/>
    </row>
    <row r="308" spans="13:14">
      <c r="M308" s="5"/>
      <c r="N308" s="5"/>
    </row>
    <row r="309" spans="13:14">
      <c r="M309" s="5"/>
      <c r="N309" s="5"/>
    </row>
    <row r="310" spans="13:14">
      <c r="M310" s="5"/>
      <c r="N310" s="5"/>
    </row>
    <row r="311" spans="13:14">
      <c r="M311" s="5"/>
      <c r="N311" s="5"/>
    </row>
    <row r="312" spans="13:14">
      <c r="M312" s="5"/>
      <c r="N312" s="5"/>
    </row>
    <row r="313" spans="13:14">
      <c r="M313" s="5"/>
      <c r="N313" s="5"/>
    </row>
    <row r="314" spans="13:14">
      <c r="M314" s="5"/>
      <c r="N314" s="5"/>
    </row>
    <row r="315" spans="13:14">
      <c r="M315" s="5"/>
      <c r="N315" s="5"/>
    </row>
    <row r="316" spans="13:14">
      <c r="M316" s="5"/>
      <c r="N316" s="5"/>
    </row>
    <row r="317" spans="13:14">
      <c r="M317" s="5"/>
      <c r="N317" s="5"/>
    </row>
    <row r="318" spans="13:14">
      <c r="M318" s="5"/>
      <c r="N318" s="5"/>
    </row>
    <row r="319" spans="13:14">
      <c r="M319" s="5"/>
      <c r="N319" s="5"/>
    </row>
    <row r="320" spans="13:14">
      <c r="M320" s="5"/>
      <c r="N320" s="5"/>
    </row>
    <row r="321" spans="13:14">
      <c r="M321" s="5"/>
      <c r="N321" s="5"/>
    </row>
    <row r="322" spans="13:14">
      <c r="M322" s="5"/>
      <c r="N322" s="5"/>
    </row>
    <row r="323" spans="13:14">
      <c r="M323" s="5"/>
      <c r="N323" s="5"/>
    </row>
    <row r="324" spans="13:14">
      <c r="M324" s="5"/>
      <c r="N324" s="5"/>
    </row>
    <row r="325" spans="13:14">
      <c r="M325" s="5"/>
      <c r="N325" s="5"/>
    </row>
    <row r="326" spans="13:14">
      <c r="M326" s="5"/>
      <c r="N326" s="5"/>
    </row>
    <row r="327" spans="13:14">
      <c r="M327" s="5"/>
      <c r="N327" s="5"/>
    </row>
    <row r="328" spans="13:14">
      <c r="M328" s="5"/>
      <c r="N328" s="5"/>
    </row>
    <row r="329" spans="13:14">
      <c r="M329" s="5"/>
      <c r="N329" s="5"/>
    </row>
    <row r="330" spans="13:14">
      <c r="M330" s="5"/>
      <c r="N330" s="5"/>
    </row>
    <row r="331" spans="13:14">
      <c r="M331" s="5"/>
      <c r="N331" s="5"/>
    </row>
    <row r="332" spans="13:14">
      <c r="M332" s="5"/>
      <c r="N332" s="5"/>
    </row>
    <row r="333" spans="13:14">
      <c r="M333" s="5"/>
      <c r="N333" s="5"/>
    </row>
    <row r="334" spans="13:14">
      <c r="M334" s="5"/>
      <c r="N334" s="5"/>
    </row>
    <row r="335" spans="13:14">
      <c r="M335" s="5"/>
      <c r="N335" s="5"/>
    </row>
    <row r="336" spans="13:14">
      <c r="M336" s="5"/>
      <c r="N336" s="5"/>
    </row>
    <row r="337" spans="13:14">
      <c r="M337" s="5"/>
      <c r="N337" s="5"/>
    </row>
    <row r="338" spans="13:14">
      <c r="M338" s="5"/>
      <c r="N338" s="5"/>
    </row>
    <row r="339" spans="13:14">
      <c r="M339" s="5"/>
      <c r="N339" s="5"/>
    </row>
    <row r="340" spans="13:14">
      <c r="M340" s="5"/>
      <c r="N340" s="5"/>
    </row>
    <row r="341" spans="13:14">
      <c r="M341" s="5"/>
      <c r="N341" s="5"/>
    </row>
    <row r="342" spans="13:14">
      <c r="M342" s="5"/>
      <c r="N342" s="5"/>
    </row>
    <row r="343" spans="13:14">
      <c r="M343" s="5"/>
      <c r="N343" s="5"/>
    </row>
    <row r="344" spans="13:14">
      <c r="M344" s="5"/>
      <c r="N344" s="5"/>
    </row>
    <row r="345" spans="13:14">
      <c r="M345" s="5"/>
      <c r="N345" s="5"/>
    </row>
    <row r="346" spans="13:14">
      <c r="M346" s="5"/>
      <c r="N346" s="5"/>
    </row>
    <row r="347" spans="13:14">
      <c r="M347" s="5"/>
      <c r="N347" s="5"/>
    </row>
    <row r="348" spans="13:14">
      <c r="M348" s="5"/>
      <c r="N348" s="5"/>
    </row>
    <row r="349" spans="13:14">
      <c r="M349" s="5"/>
      <c r="N349" s="5"/>
    </row>
    <row r="350" spans="13:14">
      <c r="M350" s="5"/>
      <c r="N350" s="5"/>
    </row>
    <row r="351" spans="13:14">
      <c r="M351" s="5"/>
      <c r="N351" s="5"/>
    </row>
    <row r="352" spans="13:14">
      <c r="M352" s="5"/>
      <c r="N352" s="5"/>
    </row>
    <row r="353" spans="13:14">
      <c r="M353" s="5"/>
      <c r="N353" s="5"/>
    </row>
    <row r="354" spans="13:14">
      <c r="M354" s="5"/>
      <c r="N354" s="5"/>
    </row>
    <row r="355" spans="13:14">
      <c r="M355" s="5"/>
      <c r="N355" s="5"/>
    </row>
    <row r="356" spans="13:14">
      <c r="M356" s="5"/>
      <c r="N356" s="5"/>
    </row>
    <row r="357" spans="13:14">
      <c r="M357" s="5"/>
      <c r="N357" s="5"/>
    </row>
    <row r="358" spans="13:14">
      <c r="M358" s="5"/>
      <c r="N358" s="5"/>
    </row>
    <row r="359" spans="13:14">
      <c r="M359" s="5"/>
      <c r="N359" s="5"/>
    </row>
    <row r="360" spans="13:14">
      <c r="M360" s="5"/>
      <c r="N360" s="5"/>
    </row>
    <row r="361" spans="13:14">
      <c r="M361" s="5"/>
      <c r="N361" s="5"/>
    </row>
    <row r="362" spans="13:14">
      <c r="M362" s="5"/>
      <c r="N362" s="5"/>
    </row>
    <row r="363" spans="13:14">
      <c r="M363" s="5"/>
      <c r="N363" s="5"/>
    </row>
    <row r="364" spans="13:14">
      <c r="M364" s="5"/>
      <c r="N364" s="5"/>
    </row>
    <row r="365" spans="13:14">
      <c r="M365" s="5"/>
      <c r="N365" s="5"/>
    </row>
    <row r="366" spans="13:14">
      <c r="M366" s="5"/>
      <c r="N366" s="5"/>
    </row>
    <row r="367" spans="13:14">
      <c r="M367" s="5"/>
      <c r="N367" s="5"/>
    </row>
    <row r="368" spans="13:14">
      <c r="M368" s="5"/>
      <c r="N368" s="5"/>
    </row>
    <row r="369" spans="13:14">
      <c r="M369" s="5"/>
      <c r="N369" s="5"/>
    </row>
    <row r="370" spans="13:14">
      <c r="M370" s="5"/>
      <c r="N370" s="5"/>
    </row>
    <row r="371" spans="13:14">
      <c r="M371" s="5"/>
      <c r="N371" s="5"/>
    </row>
    <row r="372" spans="13:14">
      <c r="M372" s="5"/>
      <c r="N372" s="5"/>
    </row>
    <row r="373" spans="13:14">
      <c r="M373" s="5"/>
      <c r="N373" s="5"/>
    </row>
    <row r="374" spans="13:14">
      <c r="M374" s="5"/>
      <c r="N374" s="5"/>
    </row>
    <row r="375" spans="13:14">
      <c r="M375" s="5"/>
      <c r="N375" s="5"/>
    </row>
    <row r="376" spans="13:14">
      <c r="M376" s="5"/>
      <c r="N376" s="5"/>
    </row>
    <row r="377" spans="13:14">
      <c r="M377" s="5"/>
      <c r="N377" s="5"/>
    </row>
    <row r="378" spans="13:14">
      <c r="M378" s="5"/>
      <c r="N378" s="5"/>
    </row>
    <row r="379" spans="13:14">
      <c r="M379" s="5"/>
      <c r="N379" s="5"/>
    </row>
    <row r="380" spans="13:14">
      <c r="M380" s="5"/>
      <c r="N380" s="5"/>
    </row>
    <row r="381" spans="13:14">
      <c r="M381" s="5"/>
      <c r="N381" s="5"/>
    </row>
    <row r="382" spans="13:14">
      <c r="M382" s="5"/>
      <c r="N382" s="5"/>
    </row>
    <row r="383" spans="13:14">
      <c r="M383" s="5"/>
      <c r="N383" s="5"/>
    </row>
    <row r="384" spans="13:14">
      <c r="M384" s="5"/>
      <c r="N384" s="5"/>
    </row>
    <row r="385" spans="13:14">
      <c r="M385" s="5"/>
      <c r="N385" s="5"/>
    </row>
    <row r="386" spans="13:14">
      <c r="M386" s="5"/>
      <c r="N386" s="5"/>
    </row>
    <row r="387" spans="13:14">
      <c r="M387" s="5"/>
      <c r="N387" s="5"/>
    </row>
    <row r="388" spans="13:14">
      <c r="M388" s="5"/>
      <c r="N388" s="5"/>
    </row>
    <row r="389" spans="13:14">
      <c r="M389" s="5"/>
      <c r="N389" s="5"/>
    </row>
    <row r="390" spans="13:14">
      <c r="M390" s="5"/>
      <c r="N390" s="5"/>
    </row>
    <row r="391" spans="13:14">
      <c r="M391" s="5"/>
      <c r="N391" s="5"/>
    </row>
    <row r="392" spans="13:14">
      <c r="M392" s="5"/>
      <c r="N392" s="5"/>
    </row>
    <row r="393" spans="13:14">
      <c r="M393" s="5"/>
      <c r="N393" s="5"/>
    </row>
    <row r="394" spans="13:14">
      <c r="M394" s="5"/>
      <c r="N394" s="5"/>
    </row>
    <row r="395" spans="13:14">
      <c r="M395" s="5"/>
      <c r="N395" s="5"/>
    </row>
    <row r="396" spans="13:14">
      <c r="M396" s="5"/>
      <c r="N396" s="5"/>
    </row>
    <row r="397" spans="13:14">
      <c r="M397" s="5"/>
      <c r="N397" s="5"/>
    </row>
    <row r="398" spans="13:14">
      <c r="M398" s="5"/>
      <c r="N398" s="5"/>
    </row>
    <row r="399" spans="13:14">
      <c r="M399" s="5"/>
      <c r="N399" s="5"/>
    </row>
    <row r="400" spans="13:14">
      <c r="M400" s="5"/>
      <c r="N400" s="5"/>
    </row>
    <row r="401" spans="13:14">
      <c r="M401" s="5"/>
      <c r="N401" s="5"/>
    </row>
    <row r="402" spans="13:14">
      <c r="M402" s="5"/>
      <c r="N402" s="5"/>
    </row>
    <row r="403" spans="13:14">
      <c r="M403" s="5"/>
      <c r="N403" s="5"/>
    </row>
    <row r="404" spans="13:14">
      <c r="M404" s="5"/>
      <c r="N404" s="5"/>
    </row>
    <row r="405" spans="13:14">
      <c r="M405" s="5"/>
      <c r="N405" s="5"/>
    </row>
    <row r="406" spans="13:14">
      <c r="M406" s="5"/>
      <c r="N406" s="5"/>
    </row>
    <row r="407" spans="13:14">
      <c r="M407" s="5"/>
      <c r="N407" s="5"/>
    </row>
    <row r="408" spans="13:14">
      <c r="M408" s="5"/>
      <c r="N408" s="5"/>
    </row>
    <row r="409" spans="13:14">
      <c r="M409" s="5"/>
      <c r="N409" s="5"/>
    </row>
    <row r="410" spans="13:14">
      <c r="M410" s="5"/>
      <c r="N410" s="5"/>
    </row>
    <row r="411" spans="13:14">
      <c r="M411" s="5"/>
      <c r="N411" s="5"/>
    </row>
    <row r="412" spans="13:14">
      <c r="M412" s="5"/>
      <c r="N412" s="5"/>
    </row>
    <row r="413" spans="13:14">
      <c r="M413" s="5"/>
      <c r="N413" s="5"/>
    </row>
    <row r="414" spans="13:14">
      <c r="M414" s="5"/>
      <c r="N414" s="5"/>
    </row>
    <row r="415" spans="13:14">
      <c r="M415" s="5"/>
      <c r="N415" s="5"/>
    </row>
    <row r="416" spans="13:14">
      <c r="M416" s="5"/>
      <c r="N416" s="5"/>
    </row>
    <row r="417" spans="13:14">
      <c r="M417" s="5"/>
      <c r="N417" s="5"/>
    </row>
    <row r="418" spans="13:14">
      <c r="M418" s="5"/>
      <c r="N418" s="5"/>
    </row>
    <row r="419" spans="13:14">
      <c r="M419" s="5"/>
      <c r="N419" s="5"/>
    </row>
    <row r="420" spans="13:14">
      <c r="M420" s="5"/>
      <c r="N420" s="5"/>
    </row>
    <row r="421" spans="13:14">
      <c r="M421" s="5"/>
      <c r="N421" s="5"/>
    </row>
    <row r="422" spans="13:14">
      <c r="M422" s="5"/>
      <c r="N422" s="5"/>
    </row>
    <row r="423" spans="13:14">
      <c r="M423" s="5"/>
      <c r="N423" s="5"/>
    </row>
    <row r="424" spans="13:14">
      <c r="M424" s="5"/>
      <c r="N424" s="5"/>
    </row>
    <row r="425" spans="13:14">
      <c r="M425" s="5"/>
      <c r="N425" s="5"/>
    </row>
    <row r="426" spans="13:14">
      <c r="M426" s="5"/>
      <c r="N426" s="5"/>
    </row>
    <row r="427" spans="13:14">
      <c r="M427" s="5"/>
      <c r="N427" s="5"/>
    </row>
    <row r="428" spans="13:14">
      <c r="M428" s="5"/>
      <c r="N428" s="5"/>
    </row>
    <row r="429" spans="13:14">
      <c r="M429" s="5"/>
      <c r="N429" s="5"/>
    </row>
    <row r="430" spans="13:14">
      <c r="M430" s="5"/>
      <c r="N430" s="5"/>
    </row>
    <row r="431" spans="13:14">
      <c r="M431" s="5"/>
      <c r="N431" s="5"/>
    </row>
    <row r="432" spans="13:14">
      <c r="M432" s="5"/>
      <c r="N432" s="5"/>
    </row>
    <row r="433" spans="13:14">
      <c r="M433" s="5"/>
      <c r="N433" s="5"/>
    </row>
    <row r="434" spans="13:14">
      <c r="M434" s="5"/>
      <c r="N434" s="5"/>
    </row>
    <row r="435" spans="13:14">
      <c r="M435" s="5"/>
      <c r="N435" s="5"/>
    </row>
    <row r="436" spans="13:14">
      <c r="M436" s="5"/>
      <c r="N436" s="5"/>
    </row>
    <row r="437" spans="13:14">
      <c r="M437" s="5"/>
      <c r="N437" s="5"/>
    </row>
    <row r="438" spans="13:14">
      <c r="M438" s="5"/>
      <c r="N438" s="5"/>
    </row>
    <row r="439" spans="13:14">
      <c r="M439" s="5"/>
      <c r="N439" s="5"/>
    </row>
    <row r="440" spans="13:14">
      <c r="M440" s="5"/>
      <c r="N440" s="5"/>
    </row>
    <row r="441" spans="13:14">
      <c r="M441" s="5"/>
      <c r="N441" s="5"/>
    </row>
    <row r="442" spans="13:14">
      <c r="M442" s="5"/>
      <c r="N442" s="5"/>
    </row>
    <row r="443" spans="13:14">
      <c r="M443" s="5"/>
      <c r="N443" s="5"/>
    </row>
    <row r="444" spans="13:14">
      <c r="M444" s="5"/>
      <c r="N444" s="5"/>
    </row>
    <row r="445" spans="13:14">
      <c r="M445" s="5"/>
      <c r="N445" s="5"/>
    </row>
    <row r="446" spans="13:14">
      <c r="M446" s="5"/>
      <c r="N446" s="5"/>
    </row>
    <row r="447" spans="13:14">
      <c r="M447" s="5"/>
      <c r="N447" s="5"/>
    </row>
    <row r="448" spans="13:14">
      <c r="M448" s="5"/>
      <c r="N448" s="5"/>
    </row>
    <row r="449" spans="13:14">
      <c r="M449" s="5"/>
      <c r="N449" s="5"/>
    </row>
    <row r="450" spans="13:14">
      <c r="M450" s="5"/>
      <c r="N450" s="5"/>
    </row>
    <row r="451" spans="13:14">
      <c r="M451" s="5"/>
      <c r="N451" s="5"/>
    </row>
    <row r="452" spans="13:14">
      <c r="M452" s="5"/>
      <c r="N452" s="5"/>
    </row>
    <row r="453" spans="13:14">
      <c r="M453" s="5"/>
      <c r="N453" s="5"/>
    </row>
    <row r="454" spans="13:14">
      <c r="M454" s="5"/>
      <c r="N454" s="5"/>
    </row>
    <row r="455" spans="13:14">
      <c r="M455" s="5"/>
      <c r="N455" s="5"/>
    </row>
    <row r="456" spans="13:14">
      <c r="M456" s="5"/>
      <c r="N456" s="5"/>
    </row>
    <row r="457" spans="13:14">
      <c r="M457" s="5"/>
      <c r="N457" s="5"/>
    </row>
    <row r="458" spans="13:14">
      <c r="M458" s="5"/>
      <c r="N458" s="5"/>
    </row>
    <row r="459" spans="13:14">
      <c r="M459" s="5"/>
      <c r="N459" s="5"/>
    </row>
    <row r="460" spans="13:14">
      <c r="M460" s="5"/>
      <c r="N460" s="5"/>
    </row>
    <row r="461" spans="13:14">
      <c r="M461" s="5"/>
      <c r="N461" s="5"/>
    </row>
    <row r="462" spans="13:14">
      <c r="M462" s="5"/>
      <c r="N462" s="5"/>
    </row>
    <row r="463" spans="13:14">
      <c r="M463" s="5"/>
      <c r="N463" s="5"/>
    </row>
    <row r="464" spans="13:14">
      <c r="M464" s="5"/>
      <c r="N464" s="5"/>
    </row>
    <row r="465" spans="13:14">
      <c r="M465" s="5"/>
      <c r="N465" s="5"/>
    </row>
    <row r="466" spans="13:14">
      <c r="M466" s="5"/>
      <c r="N466" s="5"/>
    </row>
    <row r="467" spans="13:14">
      <c r="M467" s="5"/>
      <c r="N467" s="5"/>
    </row>
    <row r="468" spans="13:14">
      <c r="M468" s="5"/>
      <c r="N468" s="5"/>
    </row>
    <row r="469" spans="13:14">
      <c r="M469" s="5"/>
      <c r="N469" s="5"/>
    </row>
    <row r="470" spans="13:14">
      <c r="M470" s="5"/>
      <c r="N470" s="5"/>
    </row>
    <row r="471" spans="13:14">
      <c r="M471" s="5"/>
      <c r="N471" s="5"/>
    </row>
    <row r="472" spans="13:14">
      <c r="M472" s="5"/>
      <c r="N472" s="5"/>
    </row>
    <row r="473" spans="13:14">
      <c r="M473" s="5"/>
      <c r="N473" s="5"/>
    </row>
    <row r="474" spans="13:14">
      <c r="M474" s="5"/>
      <c r="N474" s="5"/>
    </row>
    <row r="475" spans="13:14">
      <c r="M475" s="5"/>
      <c r="N475" s="5"/>
    </row>
    <row r="476" spans="13:14">
      <c r="M476" s="5"/>
      <c r="N476" s="5"/>
    </row>
    <row r="477" spans="13:14">
      <c r="M477" s="5"/>
      <c r="N477" s="5"/>
    </row>
    <row r="478" spans="13:14">
      <c r="M478" s="5"/>
      <c r="N478" s="5"/>
    </row>
    <row r="479" spans="13:14">
      <c r="M479" s="5"/>
      <c r="N479" s="5"/>
    </row>
    <row r="480" spans="13:14">
      <c r="M480" s="5"/>
      <c r="N480" s="5"/>
    </row>
    <row r="481" spans="13:14">
      <c r="M481" s="5"/>
      <c r="N481" s="5"/>
    </row>
    <row r="482" spans="13:14">
      <c r="M482" s="5"/>
      <c r="N482" s="5"/>
    </row>
    <row r="483" spans="13:14">
      <c r="M483" s="5"/>
      <c r="N483" s="5"/>
    </row>
    <row r="484" spans="13:14">
      <c r="M484" s="5"/>
      <c r="N484" s="5"/>
    </row>
    <row r="485" spans="13:14">
      <c r="M485" s="5"/>
      <c r="N485" s="5"/>
    </row>
    <row r="486" spans="13:14">
      <c r="M486" s="5"/>
      <c r="N486" s="5"/>
    </row>
    <row r="487" spans="13:14">
      <c r="M487" s="5"/>
      <c r="N487" s="5"/>
    </row>
    <row r="488" spans="13:14">
      <c r="M488" s="5"/>
      <c r="N488" s="5"/>
    </row>
    <row r="489" spans="13:14">
      <c r="M489" s="5"/>
      <c r="N489" s="5"/>
    </row>
    <row r="490" spans="13:14">
      <c r="M490" s="5"/>
      <c r="N490" s="5"/>
    </row>
    <row r="491" spans="13:14">
      <c r="M491" s="5"/>
      <c r="N491" s="5"/>
    </row>
    <row r="492" spans="13:14">
      <c r="M492" s="5"/>
      <c r="N492" s="5"/>
    </row>
    <row r="493" spans="13:14">
      <c r="M493" s="5"/>
      <c r="N493" s="5"/>
    </row>
    <row r="494" spans="13:14">
      <c r="M494" s="5"/>
      <c r="N494" s="5"/>
    </row>
    <row r="495" spans="13:14">
      <c r="M495" s="5"/>
      <c r="N495" s="5"/>
    </row>
    <row r="496" spans="13:14">
      <c r="M496" s="5"/>
      <c r="N496" s="5"/>
    </row>
    <row r="497" spans="13:14">
      <c r="M497" s="5"/>
      <c r="N497" s="5"/>
    </row>
    <row r="498" spans="13:14">
      <c r="M498" s="5"/>
      <c r="N498" s="5"/>
    </row>
    <row r="499" spans="13:14">
      <c r="M499" s="5"/>
      <c r="N499" s="5"/>
    </row>
    <row r="500" spans="13:14">
      <c r="M500" s="5"/>
      <c r="N500" s="5"/>
    </row>
  </sheetData>
  <phoneticPr fontId="6" type="noConversion"/>
  <conditionalFormatting sqref="N2:N500">
    <cfRule type="expression" dxfId="9" priority="1">
      <formula>AND($N2&lt;&gt;"",$N2&lt;TODAY())</formula>
    </cfRule>
    <cfRule type="expression" dxfId="8" priority="2">
      <formula>AND($N2&gt;=TODAY(),$N2&lt;=TODAY()+7)</formula>
    </cfRule>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4">
        <x14:dataValidation type="list" xr:uid="{00000000-0002-0000-0200-000000000000}">
          <x14:formula1>
            <xm:f>Lists!$M$2:$M$11</xm:f>
          </x14:formula1>
          <xm:sqref>F2:F500</xm:sqref>
        </x14:dataValidation>
        <x14:dataValidation type="list" xr:uid="{00000000-0002-0000-0200-000001000000}">
          <x14:formula1>
            <xm:f>Lists!$E$2:$E$11</xm:f>
          </x14:formula1>
          <xm:sqref>J2:J500</xm:sqref>
        </x14:dataValidation>
        <x14:dataValidation type="list" xr:uid="{00000000-0002-0000-0200-000002000000}">
          <x14:formula1>
            <xm:f>Lists!$N$2:$N$4</xm:f>
          </x14:formula1>
          <xm:sqref>K2:K500</xm:sqref>
        </x14:dataValidation>
        <x14:dataValidation type="list" xr:uid="{00000000-0002-0000-0200-000003000000}">
          <x14:formula1>
            <xm:f>Lists!$O$2:$O$6</xm:f>
          </x14:formula1>
          <xm:sqref>L2:L500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500"/>
  <sheetViews>
    <sheetView topLeftCell="A68" workbookViewId="0">
      <selection activeCell="A2" sqref="A2:A100"/>
    </sheetView>
  </sheetViews>
  <sheetFormatPr defaultRowHeight="14.25"/>
  <cols>
    <col min="1" max="3" width="28" customWidth="1"/>
    <col min="4" max="15" width="14" customWidth="1"/>
    <col min="16" max="16" width="28" customWidth="1"/>
  </cols>
  <sheetData>
    <row r="1" spans="1:16" ht="32.1" customHeight="1">
      <c r="A1" s="2" t="s">
        <v>88</v>
      </c>
      <c r="B1" s="2" t="s">
        <v>89</v>
      </c>
      <c r="C1" s="2" t="s">
        <v>31</v>
      </c>
      <c r="D1" s="2" t="s">
        <v>90</v>
      </c>
      <c r="E1" s="2" t="s">
        <v>91</v>
      </c>
      <c r="F1" s="2" t="s">
        <v>92</v>
      </c>
      <c r="G1" s="2" t="s">
        <v>11</v>
      </c>
      <c r="H1" s="2" t="s">
        <v>93</v>
      </c>
      <c r="I1" s="2" t="s">
        <v>94</v>
      </c>
      <c r="J1" s="2" t="s">
        <v>95</v>
      </c>
      <c r="K1" s="2" t="s">
        <v>51</v>
      </c>
      <c r="L1" s="2" t="s">
        <v>96</v>
      </c>
      <c r="M1" s="2" t="s">
        <v>49</v>
      </c>
      <c r="N1" s="2" t="s">
        <v>97</v>
      </c>
      <c r="O1" s="2" t="s">
        <v>98</v>
      </c>
      <c r="P1" s="2" t="s">
        <v>15</v>
      </c>
    </row>
    <row r="2" spans="1:16" ht="28.5">
      <c r="A2" s="3" t="s">
        <v>99</v>
      </c>
      <c r="B2" s="3" t="s">
        <v>100</v>
      </c>
      <c r="C2" s="3" t="s">
        <v>54</v>
      </c>
      <c r="D2" s="3" t="s">
        <v>101</v>
      </c>
      <c r="E2" s="6">
        <v>15000</v>
      </c>
      <c r="F2" s="8">
        <v>0.6</v>
      </c>
      <c r="G2" s="6">
        <f>IFERROR(E2*F2,0)</f>
        <v>9000</v>
      </c>
      <c r="H2" s="3" t="s">
        <v>17</v>
      </c>
      <c r="I2" s="4">
        <v>46249</v>
      </c>
      <c r="J2" s="3" t="s">
        <v>102</v>
      </c>
      <c r="K2" s="3" t="s">
        <v>66</v>
      </c>
      <c r="L2" s="4">
        <v>46205</v>
      </c>
      <c r="M2" s="4">
        <v>46212</v>
      </c>
      <c r="N2" s="3">
        <f ca="1">IF(L2="","",TODAY()-L2)</f>
        <v>4</v>
      </c>
      <c r="O2" s="3" t="s">
        <v>103</v>
      </c>
      <c r="P2" s="3" t="s">
        <v>104</v>
      </c>
    </row>
    <row r="3" spans="1:16">
      <c r="A3" s="3" t="s">
        <v>382</v>
      </c>
      <c r="B3" s="3"/>
      <c r="C3" s="3"/>
      <c r="D3" s="3"/>
      <c r="E3" s="6"/>
      <c r="F3" s="8"/>
      <c r="G3" s="6"/>
      <c r="H3" s="3"/>
      <c r="I3" s="4"/>
      <c r="J3" s="3"/>
      <c r="K3" s="3"/>
      <c r="L3" s="4"/>
      <c r="M3" s="4"/>
      <c r="N3" s="3"/>
      <c r="O3" s="3"/>
      <c r="P3" s="3"/>
    </row>
    <row r="4" spans="1:16">
      <c r="A4" s="3" t="s">
        <v>383</v>
      </c>
      <c r="B4" s="3"/>
      <c r="C4" s="3"/>
      <c r="D4" s="3"/>
      <c r="E4" s="6"/>
      <c r="F4" s="8"/>
      <c r="G4" s="6"/>
      <c r="H4" s="3"/>
      <c r="I4" s="4"/>
      <c r="J4" s="3"/>
      <c r="K4" s="3"/>
      <c r="L4" s="4"/>
      <c r="M4" s="4"/>
      <c r="N4" s="3"/>
      <c r="O4" s="3"/>
      <c r="P4" s="3"/>
    </row>
    <row r="5" spans="1:16">
      <c r="A5" s="3" t="s">
        <v>384</v>
      </c>
      <c r="B5" s="3"/>
      <c r="C5" s="3"/>
      <c r="D5" s="3"/>
      <c r="E5" s="6"/>
      <c r="F5" s="8"/>
      <c r="G5" s="6"/>
      <c r="H5" s="3"/>
      <c r="I5" s="4"/>
      <c r="J5" s="3"/>
      <c r="K5" s="3"/>
      <c r="L5" s="4"/>
      <c r="M5" s="4"/>
      <c r="N5" s="3"/>
      <c r="O5" s="3"/>
      <c r="P5" s="3"/>
    </row>
    <row r="6" spans="1:16">
      <c r="A6" s="3" t="s">
        <v>385</v>
      </c>
      <c r="B6" s="3"/>
      <c r="C6" s="3"/>
      <c r="D6" s="3"/>
      <c r="E6" s="6"/>
      <c r="F6" s="8"/>
      <c r="G6" s="6"/>
      <c r="H6" s="3"/>
      <c r="I6" s="4"/>
      <c r="J6" s="3"/>
      <c r="K6" s="3"/>
      <c r="L6" s="4"/>
      <c r="M6" s="4"/>
      <c r="N6" s="3"/>
      <c r="O6" s="3"/>
      <c r="P6" s="3"/>
    </row>
    <row r="7" spans="1:16">
      <c r="A7" s="3" t="s">
        <v>386</v>
      </c>
      <c r="B7" s="3"/>
      <c r="C7" s="3"/>
      <c r="D7" s="3"/>
      <c r="E7" s="6"/>
      <c r="F7" s="8"/>
      <c r="G7" s="6"/>
      <c r="H7" s="3"/>
      <c r="I7" s="4"/>
      <c r="J7" s="3"/>
      <c r="K7" s="3"/>
      <c r="L7" s="4"/>
      <c r="M7" s="4"/>
      <c r="N7" s="3"/>
      <c r="O7" s="3"/>
      <c r="P7" s="3"/>
    </row>
    <row r="8" spans="1:16">
      <c r="A8" s="3" t="s">
        <v>387</v>
      </c>
      <c r="B8" s="3"/>
      <c r="C8" s="3"/>
      <c r="D8" s="3"/>
      <c r="E8" s="6"/>
      <c r="F8" s="8"/>
      <c r="G8" s="6"/>
      <c r="H8" s="3"/>
      <c r="I8" s="4"/>
      <c r="J8" s="3"/>
      <c r="K8" s="3"/>
      <c r="L8" s="4"/>
      <c r="M8" s="4"/>
      <c r="N8" s="3"/>
      <c r="O8" s="3"/>
      <c r="P8" s="3"/>
    </row>
    <row r="9" spans="1:16">
      <c r="A9" s="3" t="s">
        <v>388</v>
      </c>
      <c r="B9" s="3"/>
      <c r="C9" s="3"/>
      <c r="D9" s="3"/>
      <c r="E9" s="6"/>
      <c r="F9" s="8"/>
      <c r="G9" s="6"/>
      <c r="H9" s="3"/>
      <c r="I9" s="4"/>
      <c r="J9" s="3"/>
      <c r="K9" s="3"/>
      <c r="L9" s="4"/>
      <c r="M9" s="4"/>
      <c r="N9" s="3"/>
      <c r="O9" s="3"/>
      <c r="P9" s="3"/>
    </row>
    <row r="10" spans="1:16">
      <c r="A10" s="3" t="s">
        <v>389</v>
      </c>
      <c r="B10" s="3"/>
      <c r="C10" s="3"/>
      <c r="D10" s="3"/>
      <c r="E10" s="6"/>
      <c r="F10" s="8"/>
      <c r="G10" s="6"/>
      <c r="H10" s="3"/>
      <c r="I10" s="4"/>
      <c r="J10" s="3"/>
      <c r="K10" s="3"/>
      <c r="L10" s="4"/>
      <c r="M10" s="4"/>
      <c r="N10" s="3"/>
      <c r="O10" s="3"/>
      <c r="P10" s="3"/>
    </row>
    <row r="11" spans="1:16">
      <c r="A11" s="3" t="s">
        <v>390</v>
      </c>
      <c r="B11" s="3"/>
      <c r="C11" s="3"/>
      <c r="D11" s="3"/>
      <c r="E11" s="6"/>
      <c r="F11" s="8"/>
      <c r="G11" s="6"/>
      <c r="H11" s="3"/>
      <c r="I11" s="4"/>
      <c r="J11" s="3"/>
      <c r="K11" s="3"/>
      <c r="L11" s="4"/>
      <c r="M11" s="4"/>
      <c r="N11" s="3"/>
      <c r="O11" s="3"/>
      <c r="P11" s="3"/>
    </row>
    <row r="12" spans="1:16">
      <c r="A12" s="3" t="s">
        <v>391</v>
      </c>
      <c r="B12" s="3"/>
      <c r="C12" s="3"/>
      <c r="D12" s="3"/>
      <c r="E12" s="6"/>
      <c r="F12" s="8"/>
      <c r="G12" s="6"/>
      <c r="H12" s="3"/>
      <c r="I12" s="4"/>
      <c r="J12" s="3"/>
      <c r="K12" s="3"/>
      <c r="L12" s="4"/>
      <c r="M12" s="4"/>
      <c r="N12" s="3"/>
      <c r="O12" s="3"/>
      <c r="P12" s="3"/>
    </row>
    <row r="13" spans="1:16">
      <c r="A13" s="3" t="s">
        <v>392</v>
      </c>
      <c r="B13" s="3"/>
      <c r="C13" s="3"/>
      <c r="D13" s="3"/>
      <c r="E13" s="6"/>
      <c r="F13" s="8"/>
      <c r="G13" s="6"/>
      <c r="H13" s="3"/>
      <c r="I13" s="4"/>
      <c r="J13" s="3"/>
      <c r="K13" s="3"/>
      <c r="L13" s="4"/>
      <c r="M13" s="4"/>
      <c r="N13" s="3"/>
      <c r="O13" s="3"/>
      <c r="P13" s="3"/>
    </row>
    <row r="14" spans="1:16">
      <c r="A14" s="3" t="s">
        <v>393</v>
      </c>
      <c r="B14" s="3"/>
      <c r="C14" s="3"/>
      <c r="D14" s="3"/>
      <c r="E14" s="6"/>
      <c r="F14" s="8"/>
      <c r="G14" s="6"/>
      <c r="H14" s="3"/>
      <c r="I14" s="4"/>
      <c r="J14" s="3"/>
      <c r="K14" s="3"/>
      <c r="L14" s="4"/>
      <c r="M14" s="4"/>
      <c r="N14" s="3"/>
      <c r="O14" s="3"/>
      <c r="P14" s="3"/>
    </row>
    <row r="15" spans="1:16">
      <c r="A15" s="3" t="s">
        <v>394</v>
      </c>
      <c r="B15" s="3"/>
      <c r="C15" s="3"/>
      <c r="D15" s="3"/>
      <c r="E15" s="6"/>
      <c r="F15" s="8"/>
      <c r="G15" s="6"/>
      <c r="H15" s="3"/>
      <c r="I15" s="4"/>
      <c r="J15" s="3"/>
      <c r="K15" s="3"/>
      <c r="L15" s="4"/>
      <c r="M15" s="4"/>
      <c r="N15" s="3"/>
      <c r="O15" s="3"/>
      <c r="P15" s="3"/>
    </row>
    <row r="16" spans="1:16">
      <c r="A16" s="3" t="s">
        <v>395</v>
      </c>
      <c r="B16" s="3"/>
      <c r="C16" s="3"/>
      <c r="D16" s="3"/>
      <c r="E16" s="6"/>
      <c r="F16" s="8"/>
      <c r="G16" s="6"/>
      <c r="H16" s="3"/>
      <c r="I16" s="4"/>
      <c r="J16" s="3"/>
      <c r="K16" s="3"/>
      <c r="L16" s="4"/>
      <c r="M16" s="4"/>
      <c r="N16" s="3"/>
      <c r="O16" s="3"/>
      <c r="P16" s="3"/>
    </row>
    <row r="17" spans="1:16">
      <c r="A17" s="3" t="s">
        <v>396</v>
      </c>
      <c r="B17" s="3"/>
      <c r="C17" s="3"/>
      <c r="D17" s="3"/>
      <c r="E17" s="6"/>
      <c r="F17" s="8"/>
      <c r="G17" s="6"/>
      <c r="H17" s="3"/>
      <c r="I17" s="4"/>
      <c r="J17" s="3"/>
      <c r="K17" s="3"/>
      <c r="L17" s="4"/>
      <c r="M17" s="4"/>
      <c r="N17" s="3"/>
      <c r="O17" s="3"/>
      <c r="P17" s="3"/>
    </row>
    <row r="18" spans="1:16">
      <c r="A18" s="3" t="s">
        <v>397</v>
      </c>
      <c r="B18" s="3"/>
      <c r="C18" s="3"/>
      <c r="D18" s="3"/>
      <c r="E18" s="6"/>
      <c r="F18" s="8"/>
      <c r="G18" s="6"/>
      <c r="H18" s="3"/>
      <c r="I18" s="4"/>
      <c r="J18" s="3"/>
      <c r="K18" s="3"/>
      <c r="L18" s="4"/>
      <c r="M18" s="4"/>
      <c r="N18" s="3"/>
      <c r="O18" s="3"/>
      <c r="P18" s="3"/>
    </row>
    <row r="19" spans="1:16">
      <c r="A19" s="3" t="s">
        <v>398</v>
      </c>
      <c r="B19" s="3"/>
      <c r="C19" s="3"/>
      <c r="D19" s="3"/>
      <c r="E19" s="6"/>
      <c r="F19" s="8"/>
      <c r="G19" s="6"/>
      <c r="H19" s="3"/>
      <c r="I19" s="4"/>
      <c r="J19" s="3"/>
      <c r="K19" s="3"/>
      <c r="L19" s="4"/>
      <c r="M19" s="4"/>
      <c r="N19" s="3"/>
      <c r="O19" s="3"/>
      <c r="P19" s="3"/>
    </row>
    <row r="20" spans="1:16">
      <c r="A20" s="3" t="s">
        <v>399</v>
      </c>
      <c r="B20" s="3"/>
      <c r="C20" s="3"/>
      <c r="D20" s="3"/>
      <c r="E20" s="6"/>
      <c r="F20" s="8"/>
      <c r="G20" s="6"/>
      <c r="H20" s="3"/>
      <c r="I20" s="4"/>
      <c r="J20" s="3"/>
      <c r="K20" s="3"/>
      <c r="L20" s="4"/>
      <c r="M20" s="4"/>
      <c r="N20" s="3"/>
      <c r="O20" s="3"/>
      <c r="P20" s="3"/>
    </row>
    <row r="21" spans="1:16">
      <c r="A21" s="3" t="s">
        <v>400</v>
      </c>
      <c r="B21" s="3"/>
      <c r="C21" s="3"/>
      <c r="D21" s="3"/>
      <c r="E21" s="6"/>
      <c r="F21" s="8"/>
      <c r="G21" s="6"/>
      <c r="H21" s="3"/>
      <c r="I21" s="4"/>
      <c r="J21" s="3"/>
      <c r="K21" s="3"/>
      <c r="L21" s="4"/>
      <c r="M21" s="4"/>
      <c r="N21" s="3"/>
      <c r="O21" s="3"/>
      <c r="P21" s="3"/>
    </row>
    <row r="22" spans="1:16">
      <c r="A22" s="3" t="s">
        <v>401</v>
      </c>
      <c r="B22" s="3"/>
      <c r="C22" s="3"/>
      <c r="D22" s="3"/>
      <c r="E22" s="6"/>
      <c r="F22" s="8"/>
      <c r="G22" s="6"/>
      <c r="H22" s="3"/>
      <c r="I22" s="4"/>
      <c r="J22" s="3"/>
      <c r="K22" s="3"/>
      <c r="L22" s="4"/>
      <c r="M22" s="4"/>
      <c r="N22" s="3"/>
      <c r="O22" s="3"/>
      <c r="P22" s="3"/>
    </row>
    <row r="23" spans="1:16">
      <c r="A23" s="3" t="s">
        <v>402</v>
      </c>
      <c r="B23" s="3"/>
      <c r="C23" s="3"/>
      <c r="D23" s="3"/>
      <c r="E23" s="6"/>
      <c r="F23" s="8"/>
      <c r="G23" s="6"/>
      <c r="H23" s="3"/>
      <c r="I23" s="4"/>
      <c r="J23" s="3"/>
      <c r="K23" s="3"/>
      <c r="L23" s="4"/>
      <c r="M23" s="4"/>
      <c r="N23" s="3"/>
      <c r="O23" s="3"/>
      <c r="P23" s="3"/>
    </row>
    <row r="24" spans="1:16">
      <c r="A24" s="3" t="s">
        <v>403</v>
      </c>
      <c r="B24" s="3"/>
      <c r="C24" s="3"/>
      <c r="D24" s="3"/>
      <c r="E24" s="6"/>
      <c r="F24" s="8"/>
      <c r="G24" s="6"/>
      <c r="H24" s="3"/>
      <c r="I24" s="4"/>
      <c r="J24" s="3"/>
      <c r="K24" s="3"/>
      <c r="L24" s="4"/>
      <c r="M24" s="4"/>
      <c r="N24" s="3"/>
      <c r="O24" s="3"/>
      <c r="P24" s="3"/>
    </row>
    <row r="25" spans="1:16">
      <c r="A25" s="3" t="s">
        <v>404</v>
      </c>
      <c r="B25" s="3"/>
      <c r="C25" s="3"/>
      <c r="D25" s="3"/>
      <c r="E25" s="6"/>
      <c r="F25" s="8"/>
      <c r="G25" s="6"/>
      <c r="H25" s="3"/>
      <c r="I25" s="4"/>
      <c r="J25" s="3"/>
      <c r="K25" s="3"/>
      <c r="L25" s="4"/>
      <c r="M25" s="4"/>
      <c r="N25" s="3"/>
      <c r="O25" s="3"/>
      <c r="P25" s="3"/>
    </row>
    <row r="26" spans="1:16">
      <c r="A26" s="3" t="s">
        <v>405</v>
      </c>
      <c r="B26" s="3"/>
      <c r="C26" s="3"/>
      <c r="D26" s="3"/>
      <c r="E26" s="6"/>
      <c r="F26" s="8"/>
      <c r="G26" s="6"/>
      <c r="H26" s="3"/>
      <c r="I26" s="4"/>
      <c r="J26" s="3"/>
      <c r="K26" s="3"/>
      <c r="L26" s="4"/>
      <c r="M26" s="4"/>
      <c r="N26" s="3"/>
      <c r="O26" s="3"/>
      <c r="P26" s="3"/>
    </row>
    <row r="27" spans="1:16">
      <c r="A27" s="3" t="s">
        <v>406</v>
      </c>
      <c r="B27" s="3"/>
      <c r="C27" s="3"/>
      <c r="D27" s="3"/>
      <c r="E27" s="6"/>
      <c r="F27" s="8"/>
      <c r="G27" s="6"/>
      <c r="H27" s="3"/>
      <c r="I27" s="4"/>
      <c r="J27" s="3"/>
      <c r="K27" s="3"/>
      <c r="L27" s="4"/>
      <c r="M27" s="4"/>
      <c r="N27" s="3"/>
      <c r="O27" s="3"/>
      <c r="P27" s="3"/>
    </row>
    <row r="28" spans="1:16">
      <c r="A28" s="3" t="s">
        <v>407</v>
      </c>
      <c r="B28" s="3"/>
      <c r="C28" s="3"/>
      <c r="D28" s="3"/>
      <c r="E28" s="6"/>
      <c r="F28" s="8"/>
      <c r="G28" s="6"/>
      <c r="H28" s="3"/>
      <c r="I28" s="4"/>
      <c r="J28" s="3"/>
      <c r="K28" s="3"/>
      <c r="L28" s="4"/>
      <c r="M28" s="4"/>
      <c r="N28" s="3"/>
      <c r="O28" s="3"/>
      <c r="P28" s="3"/>
    </row>
    <row r="29" spans="1:16">
      <c r="A29" s="3" t="s">
        <v>408</v>
      </c>
      <c r="B29" s="3"/>
      <c r="C29" s="3"/>
      <c r="D29" s="3"/>
      <c r="E29" s="6"/>
      <c r="F29" s="8"/>
      <c r="G29" s="6"/>
      <c r="H29" s="3"/>
      <c r="I29" s="4"/>
      <c r="J29" s="3"/>
      <c r="K29" s="3"/>
      <c r="L29" s="4"/>
      <c r="M29" s="4"/>
      <c r="N29" s="3"/>
      <c r="O29" s="3"/>
      <c r="P29" s="3"/>
    </row>
    <row r="30" spans="1:16">
      <c r="A30" s="3" t="s">
        <v>409</v>
      </c>
      <c r="B30" s="3"/>
      <c r="C30" s="3"/>
      <c r="D30" s="3"/>
      <c r="E30" s="6"/>
      <c r="F30" s="8"/>
      <c r="G30" s="6"/>
      <c r="H30" s="3"/>
      <c r="I30" s="4"/>
      <c r="J30" s="3"/>
      <c r="K30" s="3"/>
      <c r="L30" s="4"/>
      <c r="M30" s="4"/>
      <c r="N30" s="3"/>
      <c r="O30" s="3"/>
      <c r="P30" s="3"/>
    </row>
    <row r="31" spans="1:16">
      <c r="A31" s="3" t="s">
        <v>410</v>
      </c>
      <c r="B31" s="3"/>
      <c r="C31" s="3"/>
      <c r="D31" s="3"/>
      <c r="E31" s="6"/>
      <c r="F31" s="8"/>
      <c r="G31" s="6"/>
      <c r="H31" s="3"/>
      <c r="I31" s="4"/>
      <c r="J31" s="3"/>
      <c r="K31" s="3"/>
      <c r="L31" s="4"/>
      <c r="M31" s="4"/>
      <c r="N31" s="3"/>
      <c r="O31" s="3"/>
      <c r="P31" s="3"/>
    </row>
    <row r="32" spans="1:16">
      <c r="A32" s="3" t="s">
        <v>411</v>
      </c>
      <c r="B32" s="3"/>
      <c r="C32" s="3"/>
      <c r="D32" s="3"/>
      <c r="E32" s="6"/>
      <c r="F32" s="8"/>
      <c r="G32" s="6"/>
      <c r="H32" s="3"/>
      <c r="I32" s="4"/>
      <c r="J32" s="3"/>
      <c r="K32" s="3"/>
      <c r="L32" s="4"/>
      <c r="M32" s="4"/>
      <c r="N32" s="3"/>
      <c r="O32" s="3"/>
      <c r="P32" s="3"/>
    </row>
    <row r="33" spans="1:16">
      <c r="A33" s="3" t="s">
        <v>412</v>
      </c>
      <c r="B33" s="3"/>
      <c r="C33" s="3"/>
      <c r="D33" s="3"/>
      <c r="E33" s="6"/>
      <c r="F33" s="8"/>
      <c r="G33" s="6"/>
      <c r="H33" s="3"/>
      <c r="I33" s="4"/>
      <c r="J33" s="3"/>
      <c r="K33" s="3"/>
      <c r="L33" s="4"/>
      <c r="M33" s="4"/>
      <c r="N33" s="3"/>
      <c r="O33" s="3"/>
      <c r="P33" s="3"/>
    </row>
    <row r="34" spans="1:16">
      <c r="A34" s="3" t="s">
        <v>413</v>
      </c>
      <c r="B34" s="3"/>
      <c r="C34" s="3"/>
      <c r="D34" s="3"/>
      <c r="E34" s="6"/>
      <c r="F34" s="8"/>
      <c r="G34" s="6"/>
      <c r="H34" s="3"/>
      <c r="I34" s="4"/>
      <c r="J34" s="3"/>
      <c r="K34" s="3"/>
      <c r="L34" s="4"/>
      <c r="M34" s="4"/>
      <c r="N34" s="3"/>
      <c r="O34" s="3"/>
      <c r="P34" s="3"/>
    </row>
    <row r="35" spans="1:16">
      <c r="A35" s="3" t="s">
        <v>414</v>
      </c>
      <c r="B35" s="3"/>
      <c r="C35" s="3"/>
      <c r="D35" s="3"/>
      <c r="E35" s="6"/>
      <c r="F35" s="8"/>
      <c r="G35" s="6"/>
      <c r="H35" s="3"/>
      <c r="I35" s="4"/>
      <c r="J35" s="3"/>
      <c r="K35" s="3"/>
      <c r="L35" s="4"/>
      <c r="M35" s="4"/>
      <c r="N35" s="3"/>
      <c r="O35" s="3"/>
      <c r="P35" s="3"/>
    </row>
    <row r="36" spans="1:16">
      <c r="A36" s="3" t="s">
        <v>415</v>
      </c>
      <c r="B36" s="3"/>
      <c r="C36" s="3"/>
      <c r="D36" s="3"/>
      <c r="E36" s="6"/>
      <c r="F36" s="8"/>
      <c r="G36" s="6"/>
      <c r="H36" s="3"/>
      <c r="I36" s="4"/>
      <c r="J36" s="3"/>
      <c r="K36" s="3"/>
      <c r="L36" s="4"/>
      <c r="M36" s="4"/>
      <c r="N36" s="3"/>
      <c r="O36" s="3"/>
      <c r="P36" s="3"/>
    </row>
    <row r="37" spans="1:16">
      <c r="A37" s="3" t="s">
        <v>416</v>
      </c>
      <c r="B37" s="3"/>
      <c r="C37" s="3"/>
      <c r="D37" s="3"/>
      <c r="E37" s="6"/>
      <c r="F37" s="8"/>
      <c r="G37" s="6"/>
      <c r="H37" s="3"/>
      <c r="I37" s="4"/>
      <c r="J37" s="3"/>
      <c r="K37" s="3"/>
      <c r="L37" s="4"/>
      <c r="M37" s="4"/>
      <c r="N37" s="3"/>
      <c r="O37" s="3"/>
      <c r="P37" s="3"/>
    </row>
    <row r="38" spans="1:16">
      <c r="A38" s="3" t="s">
        <v>417</v>
      </c>
      <c r="B38" s="3"/>
      <c r="C38" s="3"/>
      <c r="D38" s="3"/>
      <c r="E38" s="6"/>
      <c r="F38" s="8"/>
      <c r="G38" s="6"/>
      <c r="H38" s="3"/>
      <c r="I38" s="4"/>
      <c r="J38" s="3"/>
      <c r="K38" s="3"/>
      <c r="L38" s="4"/>
      <c r="M38" s="4"/>
      <c r="N38" s="3"/>
      <c r="O38" s="3"/>
      <c r="P38" s="3"/>
    </row>
    <row r="39" spans="1:16">
      <c r="A39" s="3" t="s">
        <v>418</v>
      </c>
      <c r="B39" s="3"/>
      <c r="C39" s="3"/>
      <c r="D39" s="3"/>
      <c r="E39" s="6"/>
      <c r="F39" s="8"/>
      <c r="G39" s="6"/>
      <c r="H39" s="3"/>
      <c r="I39" s="4"/>
      <c r="J39" s="3"/>
      <c r="K39" s="3"/>
      <c r="L39" s="4"/>
      <c r="M39" s="4"/>
      <c r="N39" s="3"/>
      <c r="O39" s="3"/>
      <c r="P39" s="3"/>
    </row>
    <row r="40" spans="1:16">
      <c r="A40" s="3" t="s">
        <v>419</v>
      </c>
      <c r="B40" s="3"/>
      <c r="C40" s="3"/>
      <c r="D40" s="3"/>
      <c r="E40" s="6"/>
      <c r="F40" s="8"/>
      <c r="G40" s="6"/>
      <c r="H40" s="3"/>
      <c r="I40" s="4"/>
      <c r="J40" s="3"/>
      <c r="K40" s="3"/>
      <c r="L40" s="4"/>
      <c r="M40" s="4"/>
      <c r="N40" s="3"/>
      <c r="O40" s="3"/>
      <c r="P40" s="3"/>
    </row>
    <row r="41" spans="1:16">
      <c r="A41" s="3" t="s">
        <v>420</v>
      </c>
      <c r="B41" s="3"/>
      <c r="C41" s="3"/>
      <c r="D41" s="3"/>
      <c r="E41" s="6"/>
      <c r="F41" s="8"/>
      <c r="G41" s="6"/>
      <c r="H41" s="3"/>
      <c r="I41" s="4"/>
      <c r="J41" s="3"/>
      <c r="K41" s="3"/>
      <c r="L41" s="4"/>
      <c r="M41" s="4"/>
      <c r="N41" s="3"/>
      <c r="O41" s="3"/>
      <c r="P41" s="3"/>
    </row>
    <row r="42" spans="1:16">
      <c r="A42" s="3" t="s">
        <v>421</v>
      </c>
      <c r="B42" s="3"/>
      <c r="C42" s="3"/>
      <c r="D42" s="3"/>
      <c r="E42" s="6"/>
      <c r="F42" s="8"/>
      <c r="G42" s="6"/>
      <c r="H42" s="3"/>
      <c r="I42" s="4"/>
      <c r="J42" s="3"/>
      <c r="K42" s="3"/>
      <c r="L42" s="4"/>
      <c r="M42" s="4"/>
      <c r="N42" s="3"/>
      <c r="O42" s="3"/>
      <c r="P42" s="3"/>
    </row>
    <row r="43" spans="1:16">
      <c r="A43" s="3" t="s">
        <v>422</v>
      </c>
      <c r="B43" s="3"/>
      <c r="C43" s="3"/>
      <c r="D43" s="3"/>
      <c r="E43" s="6"/>
      <c r="F43" s="8"/>
      <c r="G43" s="6"/>
      <c r="H43" s="3"/>
      <c r="I43" s="4"/>
      <c r="J43" s="3"/>
      <c r="K43" s="3"/>
      <c r="L43" s="4"/>
      <c r="M43" s="4"/>
      <c r="N43" s="3"/>
      <c r="O43" s="3"/>
      <c r="P43" s="3"/>
    </row>
    <row r="44" spans="1:16">
      <c r="A44" s="3" t="s">
        <v>423</v>
      </c>
      <c r="B44" s="3"/>
      <c r="C44" s="3"/>
      <c r="D44" s="3"/>
      <c r="E44" s="6"/>
      <c r="F44" s="8"/>
      <c r="G44" s="6"/>
      <c r="H44" s="3"/>
      <c r="I44" s="4"/>
      <c r="J44" s="3"/>
      <c r="K44" s="3"/>
      <c r="L44" s="4"/>
      <c r="M44" s="4"/>
      <c r="N44" s="3"/>
      <c r="O44" s="3"/>
      <c r="P44" s="3"/>
    </row>
    <row r="45" spans="1:16">
      <c r="A45" s="3" t="s">
        <v>424</v>
      </c>
      <c r="B45" s="3"/>
      <c r="C45" s="3"/>
      <c r="D45" s="3"/>
      <c r="E45" s="6"/>
      <c r="F45" s="8"/>
      <c r="G45" s="6"/>
      <c r="H45" s="3"/>
      <c r="I45" s="4"/>
      <c r="J45" s="3"/>
      <c r="K45" s="3"/>
      <c r="L45" s="4"/>
      <c r="M45" s="4"/>
      <c r="N45" s="3"/>
      <c r="O45" s="3"/>
      <c r="P45" s="3"/>
    </row>
    <row r="46" spans="1:16">
      <c r="A46" s="3" t="s">
        <v>425</v>
      </c>
      <c r="B46" s="3"/>
      <c r="C46" s="3"/>
      <c r="D46" s="3"/>
      <c r="E46" s="6"/>
      <c r="F46" s="8"/>
      <c r="G46" s="6"/>
      <c r="H46" s="3"/>
      <c r="I46" s="4"/>
      <c r="J46" s="3"/>
      <c r="K46" s="3"/>
      <c r="L46" s="4"/>
      <c r="M46" s="4"/>
      <c r="N46" s="3"/>
      <c r="O46" s="3"/>
      <c r="P46" s="3"/>
    </row>
    <row r="47" spans="1:16">
      <c r="A47" s="3" t="s">
        <v>426</v>
      </c>
      <c r="B47" s="3"/>
      <c r="C47" s="3"/>
      <c r="D47" s="3"/>
      <c r="E47" s="6"/>
      <c r="F47" s="8"/>
      <c r="G47" s="6"/>
      <c r="H47" s="3"/>
      <c r="I47" s="4"/>
      <c r="J47" s="3"/>
      <c r="K47" s="3"/>
      <c r="L47" s="4"/>
      <c r="M47" s="4"/>
      <c r="N47" s="3"/>
      <c r="O47" s="3"/>
      <c r="P47" s="3"/>
    </row>
    <row r="48" spans="1:16">
      <c r="A48" s="3" t="s">
        <v>427</v>
      </c>
      <c r="B48" s="3"/>
      <c r="C48" s="3"/>
      <c r="D48" s="3"/>
      <c r="E48" s="6"/>
      <c r="F48" s="8"/>
      <c r="G48" s="6"/>
      <c r="H48" s="3"/>
      <c r="I48" s="4"/>
      <c r="J48" s="3"/>
      <c r="K48" s="3"/>
      <c r="L48" s="4"/>
      <c r="M48" s="4"/>
      <c r="N48" s="3"/>
      <c r="O48" s="3"/>
      <c r="P48" s="3"/>
    </row>
    <row r="49" spans="1:16">
      <c r="A49" s="3" t="s">
        <v>428</v>
      </c>
      <c r="B49" s="3"/>
      <c r="C49" s="3"/>
      <c r="D49" s="3"/>
      <c r="E49" s="6"/>
      <c r="F49" s="8"/>
      <c r="G49" s="6"/>
      <c r="H49" s="3"/>
      <c r="I49" s="4"/>
      <c r="J49" s="3"/>
      <c r="K49" s="3"/>
      <c r="L49" s="4"/>
      <c r="M49" s="4"/>
      <c r="N49" s="3"/>
      <c r="O49" s="3"/>
      <c r="P49" s="3"/>
    </row>
    <row r="50" spans="1:16">
      <c r="A50" s="3" t="s">
        <v>429</v>
      </c>
      <c r="B50" s="3"/>
      <c r="C50" s="3"/>
      <c r="D50" s="3"/>
      <c r="E50" s="6"/>
      <c r="F50" s="8"/>
      <c r="G50" s="6"/>
      <c r="H50" s="3"/>
      <c r="I50" s="4"/>
      <c r="J50" s="3"/>
      <c r="K50" s="3"/>
      <c r="L50" s="4"/>
      <c r="M50" s="4"/>
      <c r="N50" s="3"/>
      <c r="O50" s="3"/>
      <c r="P50" s="3"/>
    </row>
    <row r="51" spans="1:16">
      <c r="A51" s="3" t="s">
        <v>430</v>
      </c>
      <c r="B51" s="3"/>
      <c r="C51" s="3"/>
      <c r="D51" s="3"/>
      <c r="E51" s="6"/>
      <c r="F51" s="8"/>
      <c r="G51" s="6"/>
      <c r="H51" s="3"/>
      <c r="I51" s="4"/>
      <c r="J51" s="3"/>
      <c r="K51" s="3"/>
      <c r="L51" s="4"/>
      <c r="M51" s="4"/>
      <c r="N51" s="3"/>
      <c r="O51" s="3"/>
      <c r="P51" s="3"/>
    </row>
    <row r="52" spans="1:16">
      <c r="A52" s="3" t="s">
        <v>431</v>
      </c>
      <c r="B52" s="3"/>
      <c r="C52" s="3"/>
      <c r="D52" s="3"/>
      <c r="E52" s="6"/>
      <c r="F52" s="8"/>
      <c r="G52" s="6"/>
      <c r="H52" s="3"/>
      <c r="I52" s="4"/>
      <c r="J52" s="3"/>
      <c r="K52" s="3"/>
      <c r="L52" s="4"/>
      <c r="M52" s="4"/>
      <c r="N52" s="3"/>
      <c r="O52" s="3"/>
      <c r="P52" s="3"/>
    </row>
    <row r="53" spans="1:16">
      <c r="A53" s="3" t="s">
        <v>432</v>
      </c>
      <c r="B53" s="3"/>
      <c r="C53" s="3"/>
      <c r="D53" s="3"/>
      <c r="E53" s="6"/>
      <c r="F53" s="8"/>
      <c r="G53" s="6"/>
      <c r="H53" s="3"/>
      <c r="I53" s="4"/>
      <c r="J53" s="3"/>
      <c r="K53" s="3"/>
      <c r="L53" s="4"/>
      <c r="M53" s="4"/>
      <c r="N53" s="3"/>
      <c r="O53" s="3"/>
      <c r="P53" s="3"/>
    </row>
    <row r="54" spans="1:16">
      <c r="A54" s="3" t="s">
        <v>433</v>
      </c>
      <c r="B54" s="3"/>
      <c r="C54" s="3"/>
      <c r="D54" s="3"/>
      <c r="E54" s="6"/>
      <c r="F54" s="8"/>
      <c r="G54" s="6"/>
      <c r="H54" s="3"/>
      <c r="I54" s="4"/>
      <c r="J54" s="3"/>
      <c r="K54" s="3"/>
      <c r="L54" s="4"/>
      <c r="M54" s="4"/>
      <c r="N54" s="3"/>
      <c r="O54" s="3"/>
      <c r="P54" s="3"/>
    </row>
    <row r="55" spans="1:16">
      <c r="A55" s="3" t="s">
        <v>434</v>
      </c>
      <c r="B55" s="3"/>
      <c r="C55" s="3"/>
      <c r="D55" s="3"/>
      <c r="E55" s="6"/>
      <c r="F55" s="8"/>
      <c r="G55" s="6"/>
      <c r="H55" s="3"/>
      <c r="I55" s="4"/>
      <c r="J55" s="3"/>
      <c r="K55" s="3"/>
      <c r="L55" s="4"/>
      <c r="M55" s="4"/>
      <c r="N55" s="3"/>
      <c r="O55" s="3"/>
      <c r="P55" s="3"/>
    </row>
    <row r="56" spans="1:16">
      <c r="A56" s="3" t="s">
        <v>435</v>
      </c>
      <c r="B56" s="3"/>
      <c r="C56" s="3"/>
      <c r="D56" s="3"/>
      <c r="E56" s="6"/>
      <c r="F56" s="8"/>
      <c r="G56" s="6"/>
      <c r="H56" s="3"/>
      <c r="I56" s="4"/>
      <c r="J56" s="3"/>
      <c r="K56" s="3"/>
      <c r="L56" s="4"/>
      <c r="M56" s="4"/>
      <c r="N56" s="3"/>
      <c r="O56" s="3"/>
      <c r="P56" s="3"/>
    </row>
    <row r="57" spans="1:16">
      <c r="A57" s="3" t="s">
        <v>436</v>
      </c>
      <c r="B57" s="3"/>
      <c r="C57" s="3"/>
      <c r="D57" s="3"/>
      <c r="E57" s="6"/>
      <c r="F57" s="8"/>
      <c r="G57" s="6"/>
      <c r="H57" s="3"/>
      <c r="I57" s="4"/>
      <c r="J57" s="3"/>
      <c r="K57" s="3"/>
      <c r="L57" s="4"/>
      <c r="M57" s="4"/>
      <c r="N57" s="3"/>
      <c r="O57" s="3"/>
      <c r="P57" s="3"/>
    </row>
    <row r="58" spans="1:16">
      <c r="A58" s="3" t="s">
        <v>437</v>
      </c>
      <c r="B58" s="3"/>
      <c r="C58" s="3"/>
      <c r="D58" s="3"/>
      <c r="E58" s="6"/>
      <c r="F58" s="8"/>
      <c r="G58" s="6"/>
      <c r="H58" s="3"/>
      <c r="I58" s="4"/>
      <c r="J58" s="3"/>
      <c r="K58" s="3"/>
      <c r="L58" s="4"/>
      <c r="M58" s="4"/>
      <c r="N58" s="3"/>
      <c r="O58" s="3"/>
      <c r="P58" s="3"/>
    </row>
    <row r="59" spans="1:16">
      <c r="A59" s="3" t="s">
        <v>438</v>
      </c>
      <c r="B59" s="3"/>
      <c r="C59" s="3"/>
      <c r="D59" s="3"/>
      <c r="E59" s="6"/>
      <c r="F59" s="8"/>
      <c r="G59" s="6"/>
      <c r="H59" s="3"/>
      <c r="I59" s="4"/>
      <c r="J59" s="3"/>
      <c r="K59" s="3"/>
      <c r="L59" s="4"/>
      <c r="M59" s="4"/>
      <c r="N59" s="3"/>
      <c r="O59" s="3"/>
      <c r="P59" s="3"/>
    </row>
    <row r="60" spans="1:16">
      <c r="A60" s="3" t="s">
        <v>439</v>
      </c>
      <c r="B60" s="3"/>
      <c r="C60" s="3"/>
      <c r="D60" s="3"/>
      <c r="E60" s="6"/>
      <c r="F60" s="8"/>
      <c r="G60" s="6"/>
      <c r="H60" s="3"/>
      <c r="I60" s="4"/>
      <c r="J60" s="3"/>
      <c r="K60" s="3"/>
      <c r="L60" s="4"/>
      <c r="M60" s="4"/>
      <c r="N60" s="3"/>
      <c r="O60" s="3"/>
      <c r="P60" s="3"/>
    </row>
    <row r="61" spans="1:16">
      <c r="A61" s="3" t="s">
        <v>440</v>
      </c>
      <c r="B61" s="3"/>
      <c r="C61" s="3"/>
      <c r="D61" s="3"/>
      <c r="E61" s="6"/>
      <c r="F61" s="8"/>
      <c r="G61" s="6"/>
      <c r="H61" s="3"/>
      <c r="I61" s="4"/>
      <c r="J61" s="3"/>
      <c r="K61" s="3"/>
      <c r="L61" s="4"/>
      <c r="M61" s="4"/>
      <c r="N61" s="3"/>
      <c r="O61" s="3"/>
      <c r="P61" s="3"/>
    </row>
    <row r="62" spans="1:16">
      <c r="A62" s="3" t="s">
        <v>441</v>
      </c>
      <c r="B62" s="3"/>
      <c r="C62" s="3"/>
      <c r="D62" s="3"/>
      <c r="E62" s="6"/>
      <c r="F62" s="8"/>
      <c r="G62" s="6"/>
      <c r="H62" s="3"/>
      <c r="I62" s="4"/>
      <c r="J62" s="3"/>
      <c r="K62" s="3"/>
      <c r="L62" s="4"/>
      <c r="M62" s="4"/>
      <c r="N62" s="3"/>
      <c r="O62" s="3"/>
      <c r="P62" s="3"/>
    </row>
    <row r="63" spans="1:16">
      <c r="A63" s="3" t="s">
        <v>442</v>
      </c>
      <c r="B63" s="3"/>
      <c r="C63" s="3"/>
      <c r="D63" s="3"/>
      <c r="E63" s="6"/>
      <c r="F63" s="8"/>
      <c r="G63" s="6"/>
      <c r="H63" s="3"/>
      <c r="I63" s="4"/>
      <c r="J63" s="3"/>
      <c r="K63" s="3"/>
      <c r="L63" s="4"/>
      <c r="M63" s="4"/>
      <c r="N63" s="3"/>
      <c r="O63" s="3"/>
      <c r="P63" s="3"/>
    </row>
    <row r="64" spans="1:16">
      <c r="A64" s="3" t="s">
        <v>443</v>
      </c>
      <c r="B64" s="3"/>
      <c r="C64" s="3"/>
      <c r="D64" s="3"/>
      <c r="E64" s="6"/>
      <c r="F64" s="8"/>
      <c r="G64" s="6"/>
      <c r="H64" s="3"/>
      <c r="I64" s="4"/>
      <c r="J64" s="3"/>
      <c r="K64" s="3"/>
      <c r="L64" s="4"/>
      <c r="M64" s="4"/>
      <c r="N64" s="3"/>
      <c r="O64" s="3"/>
      <c r="P64" s="3"/>
    </row>
    <row r="65" spans="1:16">
      <c r="A65" s="3" t="s">
        <v>444</v>
      </c>
      <c r="B65" s="3"/>
      <c r="C65" s="3"/>
      <c r="D65" s="3"/>
      <c r="E65" s="6"/>
      <c r="F65" s="8"/>
      <c r="G65" s="6"/>
      <c r="H65" s="3"/>
      <c r="I65" s="4"/>
      <c r="J65" s="3"/>
      <c r="K65" s="3"/>
      <c r="L65" s="4"/>
      <c r="M65" s="4"/>
      <c r="N65" s="3"/>
      <c r="O65" s="3"/>
      <c r="P65" s="3"/>
    </row>
    <row r="66" spans="1:16">
      <c r="A66" s="3" t="s">
        <v>445</v>
      </c>
      <c r="B66" s="3"/>
      <c r="C66" s="3"/>
      <c r="D66" s="3"/>
      <c r="E66" s="6"/>
      <c r="F66" s="8"/>
      <c r="G66" s="6"/>
      <c r="H66" s="3"/>
      <c r="I66" s="4"/>
      <c r="J66" s="3"/>
      <c r="K66" s="3"/>
      <c r="L66" s="4"/>
      <c r="M66" s="4"/>
      <c r="N66" s="3"/>
      <c r="O66" s="3"/>
      <c r="P66" s="3"/>
    </row>
    <row r="67" spans="1:16">
      <c r="A67" s="3" t="s">
        <v>446</v>
      </c>
      <c r="B67" s="3"/>
      <c r="C67" s="3"/>
      <c r="D67" s="3"/>
      <c r="E67" s="6"/>
      <c r="F67" s="8"/>
      <c r="G67" s="6"/>
      <c r="H67" s="3"/>
      <c r="I67" s="4"/>
      <c r="J67" s="3"/>
      <c r="K67" s="3"/>
      <c r="L67" s="4"/>
      <c r="M67" s="4"/>
      <c r="N67" s="3"/>
      <c r="O67" s="3"/>
      <c r="P67" s="3"/>
    </row>
    <row r="68" spans="1:16">
      <c r="A68" s="3" t="s">
        <v>447</v>
      </c>
      <c r="B68" s="3"/>
      <c r="C68" s="3"/>
      <c r="D68" s="3"/>
      <c r="E68" s="6"/>
      <c r="F68" s="8"/>
      <c r="G68" s="6"/>
      <c r="H68" s="3"/>
      <c r="I68" s="4"/>
      <c r="J68" s="3"/>
      <c r="K68" s="3"/>
      <c r="L68" s="4"/>
      <c r="M68" s="4"/>
      <c r="N68" s="3"/>
      <c r="O68" s="3"/>
      <c r="P68" s="3"/>
    </row>
    <row r="69" spans="1:16">
      <c r="A69" s="3" t="s">
        <v>448</v>
      </c>
      <c r="B69" s="3"/>
      <c r="C69" s="3"/>
      <c r="D69" s="3"/>
      <c r="E69" s="6"/>
      <c r="F69" s="8"/>
      <c r="G69" s="6"/>
      <c r="H69" s="3"/>
      <c r="I69" s="4"/>
      <c r="J69" s="3"/>
      <c r="K69" s="3"/>
      <c r="L69" s="4"/>
      <c r="M69" s="4"/>
      <c r="N69" s="3"/>
      <c r="O69" s="3"/>
      <c r="P69" s="3"/>
    </row>
    <row r="70" spans="1:16">
      <c r="A70" s="3" t="s">
        <v>449</v>
      </c>
      <c r="B70" s="3"/>
      <c r="C70" s="3"/>
      <c r="D70" s="3"/>
      <c r="E70" s="6"/>
      <c r="F70" s="8"/>
      <c r="G70" s="6"/>
      <c r="H70" s="3"/>
      <c r="I70" s="4"/>
      <c r="J70" s="3"/>
      <c r="K70" s="3"/>
      <c r="L70" s="4"/>
      <c r="M70" s="4"/>
      <c r="N70" s="3"/>
      <c r="O70" s="3"/>
      <c r="P70" s="3"/>
    </row>
    <row r="71" spans="1:16">
      <c r="A71" s="3" t="s">
        <v>450</v>
      </c>
      <c r="B71" s="3"/>
      <c r="C71" s="3"/>
      <c r="D71" s="3"/>
      <c r="E71" s="6"/>
      <c r="F71" s="8"/>
      <c r="G71" s="6"/>
      <c r="H71" s="3"/>
      <c r="I71" s="4"/>
      <c r="J71" s="3"/>
      <c r="K71" s="3"/>
      <c r="L71" s="4"/>
      <c r="M71" s="4"/>
      <c r="N71" s="3"/>
      <c r="O71" s="3"/>
      <c r="P71" s="3"/>
    </row>
    <row r="72" spans="1:16">
      <c r="A72" s="3" t="s">
        <v>451</v>
      </c>
      <c r="B72" s="3"/>
      <c r="C72" s="3"/>
      <c r="D72" s="3"/>
      <c r="E72" s="6"/>
      <c r="F72" s="8"/>
      <c r="G72" s="6"/>
      <c r="H72" s="3"/>
      <c r="I72" s="4"/>
      <c r="J72" s="3"/>
      <c r="K72" s="3"/>
      <c r="L72" s="4"/>
      <c r="M72" s="4"/>
      <c r="N72" s="3"/>
      <c r="O72" s="3"/>
      <c r="P72" s="3"/>
    </row>
    <row r="73" spans="1:16">
      <c r="A73" s="3" t="s">
        <v>452</v>
      </c>
      <c r="B73" s="3"/>
      <c r="C73" s="3"/>
      <c r="D73" s="3"/>
      <c r="E73" s="6"/>
      <c r="F73" s="8"/>
      <c r="G73" s="6"/>
      <c r="H73" s="3"/>
      <c r="I73" s="4"/>
      <c r="J73" s="3"/>
      <c r="K73" s="3"/>
      <c r="L73" s="4"/>
      <c r="M73" s="4"/>
      <c r="N73" s="3"/>
      <c r="O73" s="3"/>
      <c r="P73" s="3"/>
    </row>
    <row r="74" spans="1:16">
      <c r="A74" s="3" t="s">
        <v>453</v>
      </c>
      <c r="B74" s="3"/>
      <c r="C74" s="3"/>
      <c r="D74" s="3"/>
      <c r="E74" s="6"/>
      <c r="F74" s="8"/>
      <c r="G74" s="6"/>
      <c r="H74" s="3"/>
      <c r="I74" s="4"/>
      <c r="J74" s="3"/>
      <c r="K74" s="3"/>
      <c r="L74" s="4"/>
      <c r="M74" s="4"/>
      <c r="N74" s="3"/>
      <c r="O74" s="3"/>
      <c r="P74" s="3"/>
    </row>
    <row r="75" spans="1:16">
      <c r="A75" s="3" t="s">
        <v>454</v>
      </c>
      <c r="B75" s="3"/>
      <c r="C75" s="3"/>
      <c r="D75" s="3"/>
      <c r="E75" s="6"/>
      <c r="F75" s="8"/>
      <c r="G75" s="6"/>
      <c r="H75" s="3"/>
      <c r="I75" s="4"/>
      <c r="J75" s="3"/>
      <c r="K75" s="3"/>
      <c r="L75" s="4"/>
      <c r="M75" s="4"/>
      <c r="N75" s="3"/>
      <c r="O75" s="3"/>
      <c r="P75" s="3"/>
    </row>
    <row r="76" spans="1:16">
      <c r="A76" s="3" t="s">
        <v>455</v>
      </c>
      <c r="B76" s="3"/>
      <c r="C76" s="3"/>
      <c r="D76" s="3"/>
      <c r="E76" s="6"/>
      <c r="F76" s="8"/>
      <c r="G76" s="6"/>
      <c r="H76" s="3"/>
      <c r="I76" s="4"/>
      <c r="J76" s="3"/>
      <c r="K76" s="3"/>
      <c r="L76" s="4"/>
      <c r="M76" s="4"/>
      <c r="N76" s="3"/>
      <c r="O76" s="3"/>
      <c r="P76" s="3"/>
    </row>
    <row r="77" spans="1:16">
      <c r="A77" s="3" t="s">
        <v>456</v>
      </c>
      <c r="B77" s="3"/>
      <c r="C77" s="3"/>
      <c r="D77" s="3"/>
      <c r="E77" s="6"/>
      <c r="F77" s="8"/>
      <c r="G77" s="6"/>
      <c r="H77" s="3"/>
      <c r="I77" s="4"/>
      <c r="J77" s="3"/>
      <c r="K77" s="3"/>
      <c r="L77" s="4"/>
      <c r="M77" s="4"/>
      <c r="N77" s="3"/>
      <c r="O77" s="3"/>
      <c r="P77" s="3"/>
    </row>
    <row r="78" spans="1:16">
      <c r="A78" s="3" t="s">
        <v>457</v>
      </c>
      <c r="B78" s="3"/>
      <c r="C78" s="3"/>
      <c r="D78" s="3"/>
      <c r="E78" s="6"/>
      <c r="F78" s="8"/>
      <c r="G78" s="6"/>
      <c r="H78" s="3"/>
      <c r="I78" s="4"/>
      <c r="J78" s="3"/>
      <c r="K78" s="3"/>
      <c r="L78" s="4"/>
      <c r="M78" s="4"/>
      <c r="N78" s="3"/>
      <c r="O78" s="3"/>
      <c r="P78" s="3"/>
    </row>
    <row r="79" spans="1:16">
      <c r="A79" s="3" t="s">
        <v>458</v>
      </c>
      <c r="B79" s="3"/>
      <c r="C79" s="3"/>
      <c r="D79" s="3"/>
      <c r="E79" s="6"/>
      <c r="F79" s="8"/>
      <c r="G79" s="6"/>
      <c r="H79" s="3"/>
      <c r="I79" s="4"/>
      <c r="J79" s="3"/>
      <c r="K79" s="3"/>
      <c r="L79" s="4"/>
      <c r="M79" s="4"/>
      <c r="N79" s="3"/>
      <c r="O79" s="3"/>
      <c r="P79" s="3"/>
    </row>
    <row r="80" spans="1:16">
      <c r="A80" s="3" t="s">
        <v>459</v>
      </c>
      <c r="B80" s="3"/>
      <c r="C80" s="3"/>
      <c r="D80" s="3"/>
      <c r="E80" s="6"/>
      <c r="F80" s="8"/>
      <c r="G80" s="6"/>
      <c r="H80" s="3"/>
      <c r="I80" s="4"/>
      <c r="J80" s="3"/>
      <c r="K80" s="3"/>
      <c r="L80" s="4"/>
      <c r="M80" s="4"/>
      <c r="N80" s="3"/>
      <c r="O80" s="3"/>
      <c r="P80" s="3"/>
    </row>
    <row r="81" spans="1:16">
      <c r="A81" s="3" t="s">
        <v>460</v>
      </c>
      <c r="B81" s="3"/>
      <c r="C81" s="3"/>
      <c r="D81" s="3"/>
      <c r="E81" s="6"/>
      <c r="F81" s="8"/>
      <c r="G81" s="6"/>
      <c r="H81" s="3"/>
      <c r="I81" s="4"/>
      <c r="J81" s="3"/>
      <c r="K81" s="3"/>
      <c r="L81" s="4"/>
      <c r="M81" s="4"/>
      <c r="N81" s="3"/>
      <c r="O81" s="3"/>
      <c r="P81" s="3"/>
    </row>
    <row r="82" spans="1:16">
      <c r="A82" s="3" t="s">
        <v>461</v>
      </c>
      <c r="B82" s="3"/>
      <c r="C82" s="3"/>
      <c r="D82" s="3"/>
      <c r="E82" s="6"/>
      <c r="F82" s="8"/>
      <c r="G82" s="6"/>
      <c r="H82" s="3"/>
      <c r="I82" s="4"/>
      <c r="J82" s="3"/>
      <c r="K82" s="3"/>
      <c r="L82" s="4"/>
      <c r="M82" s="4"/>
      <c r="N82" s="3"/>
      <c r="O82" s="3"/>
      <c r="P82" s="3"/>
    </row>
    <row r="83" spans="1:16">
      <c r="A83" s="3" t="s">
        <v>462</v>
      </c>
      <c r="B83" s="3"/>
      <c r="C83" s="3"/>
      <c r="D83" s="3"/>
      <c r="E83" s="6"/>
      <c r="F83" s="8"/>
      <c r="G83" s="6"/>
      <c r="H83" s="3"/>
      <c r="I83" s="4"/>
      <c r="J83" s="3"/>
      <c r="K83" s="3"/>
      <c r="L83" s="4"/>
      <c r="M83" s="4"/>
      <c r="N83" s="3"/>
      <c r="O83" s="3"/>
      <c r="P83" s="3"/>
    </row>
    <row r="84" spans="1:16">
      <c r="A84" s="3" t="s">
        <v>463</v>
      </c>
      <c r="B84" s="3"/>
      <c r="C84" s="3"/>
      <c r="D84" s="3"/>
      <c r="E84" s="6"/>
      <c r="F84" s="8"/>
      <c r="G84" s="6"/>
      <c r="H84" s="3"/>
      <c r="I84" s="4"/>
      <c r="J84" s="3"/>
      <c r="K84" s="3"/>
      <c r="L84" s="4"/>
      <c r="M84" s="4"/>
      <c r="N84" s="3"/>
      <c r="O84" s="3"/>
      <c r="P84" s="3"/>
    </row>
    <row r="85" spans="1:16">
      <c r="A85" s="3" t="s">
        <v>464</v>
      </c>
      <c r="B85" s="3"/>
      <c r="C85" s="3"/>
      <c r="D85" s="3"/>
      <c r="E85" s="6"/>
      <c r="F85" s="8"/>
      <c r="G85" s="6"/>
      <c r="H85" s="3"/>
      <c r="I85" s="4"/>
      <c r="J85" s="3"/>
      <c r="K85" s="3"/>
      <c r="L85" s="4"/>
      <c r="M85" s="4"/>
      <c r="N85" s="3"/>
      <c r="O85" s="3"/>
      <c r="P85" s="3"/>
    </row>
    <row r="86" spans="1:16">
      <c r="A86" s="3" t="s">
        <v>465</v>
      </c>
      <c r="B86" s="3"/>
      <c r="C86" s="3"/>
      <c r="D86" s="3"/>
      <c r="E86" s="6"/>
      <c r="F86" s="8"/>
      <c r="G86" s="6"/>
      <c r="H86" s="3"/>
      <c r="I86" s="4"/>
      <c r="J86" s="3"/>
      <c r="K86" s="3"/>
      <c r="L86" s="4"/>
      <c r="M86" s="4"/>
      <c r="N86" s="3"/>
      <c r="O86" s="3"/>
      <c r="P86" s="3"/>
    </row>
    <row r="87" spans="1:16">
      <c r="A87" s="3" t="s">
        <v>466</v>
      </c>
      <c r="B87" s="3"/>
      <c r="C87" s="3"/>
      <c r="D87" s="3"/>
      <c r="E87" s="6"/>
      <c r="F87" s="8"/>
      <c r="G87" s="6"/>
      <c r="H87" s="3"/>
      <c r="I87" s="4"/>
      <c r="J87" s="3"/>
      <c r="K87" s="3"/>
      <c r="L87" s="4"/>
      <c r="M87" s="4"/>
      <c r="N87" s="3"/>
      <c r="O87" s="3"/>
      <c r="P87" s="3"/>
    </row>
    <row r="88" spans="1:16">
      <c r="A88" s="3" t="s">
        <v>467</v>
      </c>
      <c r="B88" s="3"/>
      <c r="C88" s="3"/>
      <c r="D88" s="3"/>
      <c r="E88" s="6"/>
      <c r="F88" s="8"/>
      <c r="G88" s="6"/>
      <c r="H88" s="3"/>
      <c r="I88" s="4"/>
      <c r="J88" s="3"/>
      <c r="K88" s="3"/>
      <c r="L88" s="4"/>
      <c r="M88" s="4"/>
      <c r="N88" s="3"/>
      <c r="O88" s="3"/>
      <c r="P88" s="3"/>
    </row>
    <row r="89" spans="1:16">
      <c r="A89" s="3" t="s">
        <v>468</v>
      </c>
      <c r="B89" s="3"/>
      <c r="C89" s="3"/>
      <c r="D89" s="3"/>
      <c r="E89" s="6"/>
      <c r="F89" s="8"/>
      <c r="G89" s="6"/>
      <c r="H89" s="3"/>
      <c r="I89" s="4"/>
      <c r="J89" s="3"/>
      <c r="K89" s="3"/>
      <c r="L89" s="4"/>
      <c r="M89" s="4"/>
      <c r="N89" s="3"/>
      <c r="O89" s="3"/>
      <c r="P89" s="3"/>
    </row>
    <row r="90" spans="1:16">
      <c r="A90" s="3" t="s">
        <v>469</v>
      </c>
      <c r="B90" s="3"/>
      <c r="C90" s="3"/>
      <c r="D90" s="3"/>
      <c r="E90" s="6"/>
      <c r="F90" s="8"/>
      <c r="G90" s="6"/>
      <c r="H90" s="3"/>
      <c r="I90" s="4"/>
      <c r="J90" s="3"/>
      <c r="K90" s="3"/>
      <c r="L90" s="4"/>
      <c r="M90" s="4"/>
      <c r="N90" s="3"/>
      <c r="O90" s="3"/>
      <c r="P90" s="3"/>
    </row>
    <row r="91" spans="1:16">
      <c r="A91" s="3" t="s">
        <v>470</v>
      </c>
      <c r="B91" s="3"/>
      <c r="C91" s="3"/>
      <c r="D91" s="3"/>
      <c r="E91" s="6"/>
      <c r="F91" s="8"/>
      <c r="G91" s="6"/>
      <c r="H91" s="3"/>
      <c r="I91" s="4"/>
      <c r="J91" s="3"/>
      <c r="K91" s="3"/>
      <c r="L91" s="4"/>
      <c r="M91" s="4"/>
      <c r="N91" s="3"/>
      <c r="O91" s="3"/>
      <c r="P91" s="3"/>
    </row>
    <row r="92" spans="1:16">
      <c r="A92" s="3" t="s">
        <v>471</v>
      </c>
      <c r="B92" s="3"/>
      <c r="C92" s="3"/>
      <c r="D92" s="3"/>
      <c r="E92" s="6"/>
      <c r="F92" s="8"/>
      <c r="G92" s="6"/>
      <c r="H92" s="3"/>
      <c r="I92" s="4"/>
      <c r="J92" s="3"/>
      <c r="K92" s="3"/>
      <c r="L92" s="4"/>
      <c r="M92" s="4"/>
      <c r="N92" s="3"/>
      <c r="O92" s="3"/>
      <c r="P92" s="3"/>
    </row>
    <row r="93" spans="1:16">
      <c r="A93" s="3" t="s">
        <v>472</v>
      </c>
      <c r="B93" s="3"/>
      <c r="C93" s="3"/>
      <c r="D93" s="3"/>
      <c r="E93" s="6"/>
      <c r="F93" s="8"/>
      <c r="G93" s="6"/>
      <c r="H93" s="3"/>
      <c r="I93" s="4"/>
      <c r="J93" s="3"/>
      <c r="K93" s="3"/>
      <c r="L93" s="4"/>
      <c r="M93" s="4"/>
      <c r="N93" s="3"/>
      <c r="O93" s="3"/>
      <c r="P93" s="3"/>
    </row>
    <row r="94" spans="1:16">
      <c r="A94" s="3" t="s">
        <v>473</v>
      </c>
      <c r="B94" s="3"/>
      <c r="C94" s="3"/>
      <c r="D94" s="3"/>
      <c r="E94" s="6"/>
      <c r="F94" s="8"/>
      <c r="G94" s="6"/>
      <c r="H94" s="3"/>
      <c r="I94" s="4"/>
      <c r="J94" s="3"/>
      <c r="K94" s="3"/>
      <c r="L94" s="4"/>
      <c r="M94" s="4"/>
      <c r="N94" s="3"/>
      <c r="O94" s="3"/>
      <c r="P94" s="3"/>
    </row>
    <row r="95" spans="1:16">
      <c r="A95" s="3" t="s">
        <v>474</v>
      </c>
      <c r="B95" s="3"/>
      <c r="C95" s="3"/>
      <c r="D95" s="3"/>
      <c r="E95" s="6"/>
      <c r="F95" s="8"/>
      <c r="G95" s="6"/>
      <c r="H95" s="3"/>
      <c r="I95" s="4"/>
      <c r="J95" s="3"/>
      <c r="K95" s="3"/>
      <c r="L95" s="4"/>
      <c r="M95" s="4"/>
      <c r="N95" s="3"/>
      <c r="O95" s="3"/>
      <c r="P95" s="3"/>
    </row>
    <row r="96" spans="1:16">
      <c r="A96" s="3" t="s">
        <v>475</v>
      </c>
      <c r="B96" s="3"/>
      <c r="C96" s="3"/>
      <c r="D96" s="3"/>
      <c r="E96" s="6"/>
      <c r="F96" s="8"/>
      <c r="G96" s="6"/>
      <c r="H96" s="3"/>
      <c r="I96" s="4"/>
      <c r="J96" s="3"/>
      <c r="K96" s="3"/>
      <c r="L96" s="4"/>
      <c r="M96" s="4"/>
      <c r="N96" s="3"/>
      <c r="O96" s="3"/>
      <c r="P96" s="3"/>
    </row>
    <row r="97" spans="1:16">
      <c r="A97" s="3" t="s">
        <v>476</v>
      </c>
      <c r="B97" s="3"/>
      <c r="C97" s="3"/>
      <c r="D97" s="3"/>
      <c r="E97" s="6"/>
      <c r="F97" s="8"/>
      <c r="G97" s="6"/>
      <c r="H97" s="3"/>
      <c r="I97" s="4"/>
      <c r="J97" s="3"/>
      <c r="K97" s="3"/>
      <c r="L97" s="4"/>
      <c r="M97" s="4"/>
      <c r="N97" s="3"/>
      <c r="O97" s="3"/>
      <c r="P97" s="3"/>
    </row>
    <row r="98" spans="1:16">
      <c r="A98" s="3" t="s">
        <v>477</v>
      </c>
      <c r="B98" s="3"/>
      <c r="C98" s="3"/>
      <c r="D98" s="3"/>
      <c r="E98" s="6"/>
      <c r="F98" s="8"/>
      <c r="G98" s="6"/>
      <c r="H98" s="3"/>
      <c r="I98" s="4"/>
      <c r="J98" s="3"/>
      <c r="K98" s="3"/>
      <c r="L98" s="4"/>
      <c r="M98" s="4"/>
      <c r="N98" s="3"/>
      <c r="O98" s="3"/>
      <c r="P98" s="3"/>
    </row>
    <row r="99" spans="1:16">
      <c r="A99" s="3" t="s">
        <v>478</v>
      </c>
      <c r="B99" s="3"/>
      <c r="C99" s="3"/>
      <c r="D99" s="3"/>
      <c r="E99" s="6"/>
      <c r="F99" s="8"/>
      <c r="G99" s="6"/>
      <c r="H99" s="3"/>
      <c r="I99" s="4"/>
      <c r="J99" s="3"/>
      <c r="K99" s="3"/>
      <c r="L99" s="4"/>
      <c r="M99" s="4"/>
      <c r="N99" s="3"/>
      <c r="O99" s="3"/>
      <c r="P99" s="3"/>
    </row>
    <row r="100" spans="1:16">
      <c r="A100" s="3" t="s">
        <v>479</v>
      </c>
      <c r="B100" s="3"/>
      <c r="C100" s="3"/>
      <c r="D100" s="3"/>
      <c r="E100" s="6"/>
      <c r="F100" s="8"/>
      <c r="G100" s="6"/>
      <c r="H100" s="3"/>
      <c r="I100" s="4"/>
      <c r="J100" s="3"/>
      <c r="K100" s="3"/>
      <c r="L100" s="4"/>
      <c r="M100" s="4"/>
      <c r="N100" s="3"/>
      <c r="O100" s="3"/>
      <c r="P100" s="3"/>
    </row>
    <row r="101" spans="1:16">
      <c r="A101" s="3"/>
      <c r="B101" s="3"/>
      <c r="C101" s="3"/>
      <c r="D101" s="3"/>
      <c r="E101" s="6"/>
      <c r="F101" s="8"/>
      <c r="G101" s="6"/>
      <c r="H101" s="3"/>
      <c r="I101" s="4"/>
      <c r="J101" s="3"/>
      <c r="K101" s="3"/>
      <c r="L101" s="4"/>
      <c r="M101" s="4"/>
      <c r="N101" s="3"/>
      <c r="O101" s="3"/>
      <c r="P101" s="3"/>
    </row>
    <row r="102" spans="1:16">
      <c r="A102" s="3"/>
      <c r="B102" s="3"/>
      <c r="C102" s="3"/>
      <c r="D102" s="3"/>
      <c r="E102" s="6"/>
      <c r="F102" s="8"/>
      <c r="G102" s="6"/>
      <c r="H102" s="3"/>
      <c r="I102" s="4"/>
      <c r="J102" s="3"/>
      <c r="K102" s="3"/>
      <c r="L102" s="4"/>
      <c r="M102" s="4"/>
      <c r="N102" s="3"/>
      <c r="O102" s="3"/>
      <c r="P102" s="3"/>
    </row>
    <row r="103" spans="1:16">
      <c r="A103" s="3"/>
      <c r="B103" s="3"/>
      <c r="C103" s="3"/>
      <c r="D103" s="3"/>
      <c r="E103" s="6"/>
      <c r="F103" s="8"/>
      <c r="G103" s="6"/>
      <c r="H103" s="3"/>
      <c r="I103" s="4"/>
      <c r="J103" s="3"/>
      <c r="K103" s="3"/>
      <c r="L103" s="4"/>
      <c r="M103" s="4"/>
      <c r="N103" s="3"/>
      <c r="O103" s="3"/>
      <c r="P103" s="3"/>
    </row>
    <row r="104" spans="1:16">
      <c r="A104" s="3"/>
      <c r="B104" s="3"/>
      <c r="C104" s="3"/>
      <c r="D104" s="3"/>
      <c r="E104" s="6"/>
      <c r="F104" s="8"/>
      <c r="G104" s="6"/>
      <c r="H104" s="3"/>
      <c r="I104" s="4"/>
      <c r="J104" s="3"/>
      <c r="K104" s="3"/>
      <c r="L104" s="4"/>
      <c r="M104" s="4"/>
      <c r="N104" s="3"/>
      <c r="O104" s="3"/>
      <c r="P104" s="3"/>
    </row>
    <row r="105" spans="1:16">
      <c r="A105" s="3"/>
      <c r="B105" s="3"/>
      <c r="C105" s="3"/>
      <c r="D105" s="3"/>
      <c r="E105" s="6"/>
      <c r="F105" s="8"/>
      <c r="G105" s="6"/>
      <c r="H105" s="3"/>
      <c r="I105" s="4"/>
      <c r="J105" s="3"/>
      <c r="K105" s="3"/>
      <c r="L105" s="4"/>
      <c r="M105" s="4"/>
      <c r="N105" s="3"/>
      <c r="O105" s="3"/>
      <c r="P105" s="3"/>
    </row>
    <row r="106" spans="1:16">
      <c r="A106" s="3"/>
      <c r="B106" s="3"/>
      <c r="C106" s="3"/>
      <c r="D106" s="3"/>
      <c r="E106" s="6"/>
      <c r="F106" s="8"/>
      <c r="G106" s="6"/>
      <c r="H106" s="3"/>
      <c r="I106" s="4"/>
      <c r="J106" s="3"/>
      <c r="K106" s="3"/>
      <c r="L106" s="4"/>
      <c r="M106" s="4"/>
      <c r="N106" s="3"/>
      <c r="O106" s="3"/>
      <c r="P106" s="3"/>
    </row>
    <row r="107" spans="1:16">
      <c r="A107" s="3"/>
      <c r="B107" s="3"/>
      <c r="C107" s="3"/>
      <c r="D107" s="3"/>
      <c r="E107" s="6"/>
      <c r="F107" s="8"/>
      <c r="G107" s="6"/>
      <c r="H107" s="3"/>
      <c r="I107" s="4"/>
      <c r="J107" s="3"/>
      <c r="K107" s="3"/>
      <c r="L107" s="4"/>
      <c r="M107" s="4"/>
      <c r="N107" s="3"/>
      <c r="O107" s="3"/>
      <c r="P107" s="3"/>
    </row>
    <row r="108" spans="1:16">
      <c r="A108" s="3"/>
      <c r="B108" s="3"/>
      <c r="C108" s="3"/>
      <c r="D108" s="3"/>
      <c r="E108" s="6"/>
      <c r="F108" s="8"/>
      <c r="G108" s="6"/>
      <c r="H108" s="3"/>
      <c r="I108" s="4"/>
      <c r="J108" s="3"/>
      <c r="K108" s="3"/>
      <c r="L108" s="4"/>
      <c r="M108" s="4"/>
      <c r="N108" s="3"/>
      <c r="O108" s="3"/>
      <c r="P108" s="3"/>
    </row>
    <row r="109" spans="1:16">
      <c r="A109" s="3"/>
      <c r="B109" s="3"/>
      <c r="C109" s="3"/>
      <c r="D109" s="3"/>
      <c r="E109" s="6"/>
      <c r="F109" s="8"/>
      <c r="G109" s="6"/>
      <c r="H109" s="3"/>
      <c r="I109" s="4"/>
      <c r="J109" s="3"/>
      <c r="K109" s="3"/>
      <c r="L109" s="4"/>
      <c r="M109" s="4"/>
      <c r="N109" s="3"/>
      <c r="O109" s="3"/>
      <c r="P109" s="3"/>
    </row>
    <row r="110" spans="1:16">
      <c r="A110" s="3"/>
      <c r="B110" s="3"/>
      <c r="C110" s="3"/>
      <c r="D110" s="3"/>
      <c r="E110" s="6"/>
      <c r="F110" s="8"/>
      <c r="G110" s="6"/>
      <c r="H110" s="3"/>
      <c r="I110" s="4"/>
      <c r="J110" s="3"/>
      <c r="K110" s="3"/>
      <c r="L110" s="4"/>
      <c r="M110" s="4"/>
      <c r="N110" s="3"/>
      <c r="O110" s="3"/>
      <c r="P110" s="3"/>
    </row>
    <row r="111" spans="1:16">
      <c r="A111" s="3"/>
      <c r="B111" s="3"/>
      <c r="C111" s="3"/>
      <c r="D111" s="3"/>
      <c r="E111" s="6"/>
      <c r="F111" s="8"/>
      <c r="G111" s="6"/>
      <c r="H111" s="3"/>
      <c r="I111" s="4"/>
      <c r="J111" s="3"/>
      <c r="K111" s="3"/>
      <c r="L111" s="4"/>
      <c r="M111" s="4"/>
      <c r="N111" s="3"/>
      <c r="O111" s="3"/>
      <c r="P111" s="3"/>
    </row>
    <row r="112" spans="1:16">
      <c r="A112" s="3"/>
      <c r="B112" s="3"/>
      <c r="C112" s="3"/>
      <c r="D112" s="3"/>
      <c r="E112" s="6"/>
      <c r="F112" s="8"/>
      <c r="G112" s="6"/>
      <c r="H112" s="3"/>
      <c r="I112" s="4"/>
      <c r="J112" s="3"/>
      <c r="K112" s="3"/>
      <c r="L112" s="4"/>
      <c r="M112" s="4"/>
      <c r="N112" s="3"/>
      <c r="O112" s="3"/>
      <c r="P112" s="3"/>
    </row>
    <row r="113" spans="1:16">
      <c r="A113" s="3"/>
      <c r="B113" s="3"/>
      <c r="C113" s="3"/>
      <c r="D113" s="3"/>
      <c r="E113" s="6"/>
      <c r="F113" s="8"/>
      <c r="G113" s="6"/>
      <c r="H113" s="3"/>
      <c r="I113" s="4"/>
      <c r="J113" s="3"/>
      <c r="K113" s="3"/>
      <c r="L113" s="4"/>
      <c r="M113" s="4"/>
      <c r="N113" s="3"/>
      <c r="O113" s="3"/>
      <c r="P113" s="3"/>
    </row>
    <row r="114" spans="1:16">
      <c r="A114" s="3"/>
      <c r="B114" s="3"/>
      <c r="C114" s="3"/>
      <c r="D114" s="3"/>
      <c r="E114" s="6"/>
      <c r="F114" s="8"/>
      <c r="G114" s="6"/>
      <c r="H114" s="3"/>
      <c r="I114" s="4"/>
      <c r="J114" s="3"/>
      <c r="K114" s="3"/>
      <c r="L114" s="4"/>
      <c r="M114" s="4"/>
      <c r="N114" s="3"/>
      <c r="O114" s="3"/>
      <c r="P114" s="3"/>
    </row>
    <row r="115" spans="1:16">
      <c r="A115" s="3"/>
      <c r="B115" s="3"/>
      <c r="C115" s="3"/>
      <c r="D115" s="3"/>
      <c r="E115" s="6"/>
      <c r="F115" s="8"/>
      <c r="G115" s="6"/>
      <c r="H115" s="3"/>
      <c r="I115" s="4"/>
      <c r="J115" s="3"/>
      <c r="K115" s="3"/>
      <c r="L115" s="4"/>
      <c r="M115" s="4"/>
      <c r="N115" s="3"/>
      <c r="O115" s="3"/>
      <c r="P115" s="3"/>
    </row>
    <row r="116" spans="1:16">
      <c r="A116" s="3"/>
      <c r="B116" s="3"/>
      <c r="C116" s="3"/>
      <c r="D116" s="3"/>
      <c r="E116" s="6"/>
      <c r="F116" s="8"/>
      <c r="G116" s="6"/>
      <c r="H116" s="3"/>
      <c r="I116" s="4"/>
      <c r="J116" s="3"/>
      <c r="K116" s="3"/>
      <c r="L116" s="4"/>
      <c r="M116" s="4"/>
      <c r="N116" s="3"/>
      <c r="O116" s="3"/>
      <c r="P116" s="3"/>
    </row>
    <row r="117" spans="1:16">
      <c r="A117" s="3"/>
      <c r="B117" s="3"/>
      <c r="C117" s="3"/>
      <c r="D117" s="3"/>
      <c r="E117" s="6"/>
      <c r="F117" s="8"/>
      <c r="G117" s="6"/>
      <c r="H117" s="3"/>
      <c r="I117" s="4"/>
      <c r="J117" s="3"/>
      <c r="K117" s="3"/>
      <c r="L117" s="4"/>
      <c r="M117" s="4"/>
      <c r="N117" s="3"/>
      <c r="O117" s="3"/>
      <c r="P117" s="3"/>
    </row>
    <row r="118" spans="1:16">
      <c r="A118" s="3"/>
      <c r="B118" s="3"/>
      <c r="C118" s="3"/>
      <c r="D118" s="3"/>
      <c r="E118" s="6"/>
      <c r="F118" s="8"/>
      <c r="G118" s="6"/>
      <c r="H118" s="3"/>
      <c r="I118" s="4"/>
      <c r="J118" s="3"/>
      <c r="K118" s="3"/>
      <c r="L118" s="4"/>
      <c r="M118" s="4"/>
      <c r="N118" s="3"/>
      <c r="O118" s="3"/>
      <c r="P118" s="3"/>
    </row>
    <row r="119" spans="1:16">
      <c r="A119" s="3"/>
      <c r="B119" s="3"/>
      <c r="C119" s="3"/>
      <c r="D119" s="3"/>
      <c r="E119" s="6"/>
      <c r="F119" s="8"/>
      <c r="G119" s="6"/>
      <c r="H119" s="3"/>
      <c r="I119" s="4"/>
      <c r="J119" s="3"/>
      <c r="K119" s="3"/>
      <c r="L119" s="4"/>
      <c r="M119" s="4"/>
      <c r="N119" s="3"/>
      <c r="O119" s="3"/>
      <c r="P119" s="3"/>
    </row>
    <row r="120" spans="1:16">
      <c r="A120" s="3"/>
      <c r="B120" s="3"/>
      <c r="C120" s="3"/>
      <c r="D120" s="3"/>
      <c r="E120" s="6"/>
      <c r="F120" s="8"/>
      <c r="G120" s="6"/>
      <c r="H120" s="3"/>
      <c r="I120" s="4"/>
      <c r="J120" s="3"/>
      <c r="K120" s="3"/>
      <c r="L120" s="4"/>
      <c r="M120" s="4"/>
      <c r="N120" s="3"/>
      <c r="O120" s="3"/>
      <c r="P120" s="3"/>
    </row>
    <row r="121" spans="1:16">
      <c r="A121" s="3"/>
      <c r="B121" s="3"/>
      <c r="C121" s="3"/>
      <c r="D121" s="3"/>
      <c r="E121" s="6"/>
      <c r="F121" s="8"/>
      <c r="G121" s="6"/>
      <c r="H121" s="3"/>
      <c r="I121" s="4"/>
      <c r="J121" s="3"/>
      <c r="K121" s="3"/>
      <c r="L121" s="4"/>
      <c r="M121" s="4"/>
      <c r="N121" s="3"/>
      <c r="O121" s="3"/>
      <c r="P121" s="3"/>
    </row>
    <row r="122" spans="1:16">
      <c r="A122" s="3"/>
      <c r="B122" s="3"/>
      <c r="C122" s="3"/>
      <c r="D122" s="3"/>
      <c r="E122" s="6"/>
      <c r="F122" s="8"/>
      <c r="G122" s="6"/>
      <c r="H122" s="3"/>
      <c r="I122" s="4"/>
      <c r="J122" s="3"/>
      <c r="K122" s="3"/>
      <c r="L122" s="4"/>
      <c r="M122" s="4"/>
      <c r="N122" s="3"/>
      <c r="O122" s="3"/>
      <c r="P122" s="3"/>
    </row>
    <row r="123" spans="1:16">
      <c r="A123" s="3"/>
      <c r="B123" s="3"/>
      <c r="C123" s="3"/>
      <c r="D123" s="3"/>
      <c r="E123" s="6"/>
      <c r="F123" s="8"/>
      <c r="G123" s="6"/>
      <c r="H123" s="3"/>
      <c r="I123" s="4"/>
      <c r="J123" s="3"/>
      <c r="K123" s="3"/>
      <c r="L123" s="4"/>
      <c r="M123" s="4"/>
      <c r="N123" s="3"/>
      <c r="O123" s="3"/>
      <c r="P123" s="3"/>
    </row>
    <row r="124" spans="1:16">
      <c r="A124" s="3"/>
      <c r="B124" s="3"/>
      <c r="C124" s="3"/>
      <c r="D124" s="3"/>
      <c r="E124" s="6"/>
      <c r="F124" s="8"/>
      <c r="G124" s="6"/>
      <c r="H124" s="3"/>
      <c r="I124" s="4"/>
      <c r="J124" s="3"/>
      <c r="K124" s="3"/>
      <c r="L124" s="4"/>
      <c r="M124" s="4"/>
      <c r="N124" s="3"/>
      <c r="O124" s="3"/>
      <c r="P124" s="3"/>
    </row>
    <row r="125" spans="1:16">
      <c r="A125" s="3"/>
      <c r="B125" s="3"/>
      <c r="C125" s="3"/>
      <c r="D125" s="3"/>
      <c r="E125" s="6"/>
      <c r="F125" s="8"/>
      <c r="G125" s="6"/>
      <c r="H125" s="3"/>
      <c r="I125" s="4"/>
      <c r="J125" s="3"/>
      <c r="K125" s="3"/>
      <c r="L125" s="4"/>
      <c r="M125" s="4"/>
      <c r="N125" s="3"/>
      <c r="O125" s="3"/>
      <c r="P125" s="3"/>
    </row>
    <row r="126" spans="1:16">
      <c r="A126" s="3"/>
      <c r="B126" s="3"/>
      <c r="C126" s="3"/>
      <c r="D126" s="3"/>
      <c r="E126" s="6"/>
      <c r="F126" s="8"/>
      <c r="G126" s="6"/>
      <c r="H126" s="3"/>
      <c r="I126" s="4"/>
      <c r="J126" s="3"/>
      <c r="K126" s="3"/>
      <c r="L126" s="4"/>
      <c r="M126" s="4"/>
      <c r="N126" s="3"/>
      <c r="O126" s="3"/>
      <c r="P126" s="3"/>
    </row>
    <row r="127" spans="1:16">
      <c r="A127" s="3"/>
      <c r="B127" s="3"/>
      <c r="C127" s="3"/>
      <c r="D127" s="3"/>
      <c r="E127" s="6"/>
      <c r="F127" s="8"/>
      <c r="G127" s="6"/>
      <c r="H127" s="3"/>
      <c r="I127" s="4"/>
      <c r="J127" s="3"/>
      <c r="K127" s="3"/>
      <c r="L127" s="4"/>
      <c r="M127" s="4"/>
      <c r="N127" s="3"/>
      <c r="O127" s="3"/>
      <c r="P127" s="3"/>
    </row>
    <row r="128" spans="1:16">
      <c r="A128" s="3"/>
      <c r="B128" s="3"/>
      <c r="C128" s="3"/>
      <c r="D128" s="3"/>
      <c r="E128" s="6"/>
      <c r="F128" s="8"/>
      <c r="G128" s="6"/>
      <c r="H128" s="3"/>
      <c r="I128" s="4"/>
      <c r="J128" s="3"/>
      <c r="K128" s="3"/>
      <c r="L128" s="4"/>
      <c r="M128" s="4"/>
      <c r="N128" s="3"/>
      <c r="O128" s="3"/>
      <c r="P128" s="3"/>
    </row>
    <row r="129" spans="1:16">
      <c r="A129" s="3"/>
      <c r="B129" s="3"/>
      <c r="C129" s="3"/>
      <c r="D129" s="3"/>
      <c r="E129" s="6"/>
      <c r="F129" s="8"/>
      <c r="G129" s="6"/>
      <c r="H129" s="3"/>
      <c r="I129" s="4"/>
      <c r="J129" s="3"/>
      <c r="K129" s="3"/>
      <c r="L129" s="4"/>
      <c r="M129" s="4"/>
      <c r="N129" s="3"/>
      <c r="O129" s="3"/>
      <c r="P129" s="3"/>
    </row>
    <row r="130" spans="1:16">
      <c r="A130" s="3"/>
      <c r="B130" s="3"/>
      <c r="C130" s="3"/>
      <c r="D130" s="3"/>
      <c r="E130" s="6"/>
      <c r="F130" s="8"/>
      <c r="G130" s="6"/>
      <c r="H130" s="3"/>
      <c r="I130" s="4"/>
      <c r="J130" s="3"/>
      <c r="K130" s="3"/>
      <c r="L130" s="4"/>
      <c r="M130" s="4"/>
      <c r="N130" s="3"/>
      <c r="O130" s="3"/>
      <c r="P130" s="3"/>
    </row>
    <row r="131" spans="1:16">
      <c r="A131" s="3"/>
      <c r="B131" s="3"/>
      <c r="C131" s="3"/>
      <c r="D131" s="3"/>
      <c r="E131" s="6"/>
      <c r="F131" s="8"/>
      <c r="G131" s="6"/>
      <c r="H131" s="3"/>
      <c r="I131" s="4"/>
      <c r="J131" s="3"/>
      <c r="K131" s="3"/>
      <c r="L131" s="4"/>
      <c r="M131" s="4"/>
      <c r="N131" s="3"/>
      <c r="O131" s="3"/>
      <c r="P131" s="3"/>
    </row>
    <row r="132" spans="1:16">
      <c r="A132" s="3"/>
      <c r="B132" s="3"/>
      <c r="C132" s="3"/>
      <c r="D132" s="3"/>
      <c r="E132" s="6"/>
      <c r="F132" s="8"/>
      <c r="G132" s="6"/>
      <c r="H132" s="3"/>
      <c r="I132" s="4"/>
      <c r="J132" s="3"/>
      <c r="K132" s="3"/>
      <c r="L132" s="4"/>
      <c r="M132" s="4"/>
      <c r="N132" s="3"/>
      <c r="O132" s="3"/>
      <c r="P132" s="3"/>
    </row>
    <row r="133" spans="1:16">
      <c r="A133" s="3"/>
      <c r="B133" s="3"/>
      <c r="C133" s="3"/>
      <c r="D133" s="3"/>
      <c r="E133" s="6"/>
      <c r="F133" s="8"/>
      <c r="G133" s="6"/>
      <c r="H133" s="3"/>
      <c r="I133" s="4"/>
      <c r="J133" s="3"/>
      <c r="K133" s="3"/>
      <c r="L133" s="4"/>
      <c r="M133" s="4"/>
      <c r="N133" s="3"/>
      <c r="O133" s="3"/>
      <c r="P133" s="3"/>
    </row>
    <row r="134" spans="1:16">
      <c r="A134" s="3"/>
      <c r="B134" s="3"/>
      <c r="C134" s="3"/>
      <c r="D134" s="3"/>
      <c r="E134" s="6"/>
      <c r="F134" s="8"/>
      <c r="G134" s="6"/>
      <c r="H134" s="3"/>
      <c r="I134" s="4"/>
      <c r="J134" s="3"/>
      <c r="K134" s="3"/>
      <c r="L134" s="4"/>
      <c r="M134" s="4"/>
      <c r="N134" s="3"/>
      <c r="O134" s="3"/>
      <c r="P134" s="3"/>
    </row>
    <row r="135" spans="1:16">
      <c r="A135" s="3"/>
      <c r="B135" s="3"/>
      <c r="C135" s="3"/>
      <c r="D135" s="3"/>
      <c r="E135" s="6"/>
      <c r="F135" s="8"/>
      <c r="G135" s="6"/>
      <c r="H135" s="3"/>
      <c r="I135" s="4"/>
      <c r="J135" s="3"/>
      <c r="K135" s="3"/>
      <c r="L135" s="4"/>
      <c r="M135" s="4"/>
      <c r="N135" s="3"/>
      <c r="O135" s="3"/>
      <c r="P135" s="3"/>
    </row>
    <row r="136" spans="1:16">
      <c r="A136" s="3"/>
      <c r="B136" s="3"/>
      <c r="C136" s="3"/>
      <c r="D136" s="3"/>
      <c r="E136" s="6"/>
      <c r="F136" s="8"/>
      <c r="G136" s="6"/>
      <c r="H136" s="3"/>
      <c r="I136" s="4"/>
      <c r="J136" s="3"/>
      <c r="K136" s="3"/>
      <c r="L136" s="4"/>
      <c r="M136" s="4"/>
      <c r="N136" s="3"/>
      <c r="O136" s="3"/>
      <c r="P136" s="3"/>
    </row>
    <row r="137" spans="1:16">
      <c r="A137" s="3"/>
      <c r="B137" s="3"/>
      <c r="C137" s="3"/>
      <c r="D137" s="3"/>
      <c r="E137" s="6"/>
      <c r="F137" s="8"/>
      <c r="G137" s="6"/>
      <c r="H137" s="3"/>
      <c r="I137" s="4"/>
      <c r="J137" s="3"/>
      <c r="K137" s="3"/>
      <c r="L137" s="4"/>
      <c r="M137" s="4"/>
      <c r="N137" s="3"/>
      <c r="O137" s="3"/>
      <c r="P137" s="3"/>
    </row>
    <row r="138" spans="1:16">
      <c r="A138" s="3"/>
      <c r="B138" s="3"/>
      <c r="C138" s="3"/>
      <c r="D138" s="3"/>
      <c r="E138" s="6"/>
      <c r="F138" s="8"/>
      <c r="G138" s="6"/>
      <c r="H138" s="3"/>
      <c r="I138" s="4"/>
      <c r="J138" s="3"/>
      <c r="K138" s="3"/>
      <c r="L138" s="4"/>
      <c r="M138" s="4"/>
      <c r="N138" s="3"/>
      <c r="O138" s="3"/>
      <c r="P138" s="3"/>
    </row>
    <row r="139" spans="1:16">
      <c r="A139" s="3"/>
      <c r="B139" s="3"/>
      <c r="C139" s="3"/>
      <c r="D139" s="3"/>
      <c r="E139" s="6"/>
      <c r="F139" s="8"/>
      <c r="G139" s="6"/>
      <c r="H139" s="3"/>
      <c r="I139" s="4"/>
      <c r="J139" s="3"/>
      <c r="K139" s="3"/>
      <c r="L139" s="4"/>
      <c r="M139" s="4"/>
      <c r="N139" s="3"/>
      <c r="O139" s="3"/>
      <c r="P139" s="3"/>
    </row>
    <row r="140" spans="1:16">
      <c r="A140" s="3"/>
      <c r="B140" s="3"/>
      <c r="C140" s="3"/>
      <c r="D140" s="3"/>
      <c r="E140" s="6"/>
      <c r="F140" s="8"/>
      <c r="G140" s="6"/>
      <c r="H140" s="3"/>
      <c r="I140" s="4"/>
      <c r="J140" s="3"/>
      <c r="K140" s="3"/>
      <c r="L140" s="4"/>
      <c r="M140" s="4"/>
      <c r="N140" s="3"/>
      <c r="O140" s="3"/>
      <c r="P140" s="3"/>
    </row>
    <row r="141" spans="1:16">
      <c r="A141" s="3"/>
      <c r="B141" s="3"/>
      <c r="C141" s="3"/>
      <c r="D141" s="3"/>
      <c r="E141" s="6"/>
      <c r="F141" s="8"/>
      <c r="G141" s="6"/>
      <c r="H141" s="3"/>
      <c r="I141" s="4"/>
      <c r="J141" s="3"/>
      <c r="K141" s="3"/>
      <c r="L141" s="4"/>
      <c r="M141" s="4"/>
      <c r="N141" s="3"/>
      <c r="O141" s="3"/>
      <c r="P141" s="3"/>
    </row>
    <row r="142" spans="1:16">
      <c r="A142" s="3"/>
      <c r="B142" s="3"/>
      <c r="C142" s="3"/>
      <c r="D142" s="3"/>
      <c r="E142" s="6"/>
      <c r="F142" s="8"/>
      <c r="G142" s="6"/>
      <c r="H142" s="3"/>
      <c r="I142" s="4"/>
      <c r="J142" s="3"/>
      <c r="K142" s="3"/>
      <c r="L142" s="4"/>
      <c r="M142" s="4"/>
      <c r="N142" s="3"/>
      <c r="O142" s="3"/>
      <c r="P142" s="3"/>
    </row>
    <row r="143" spans="1:16">
      <c r="A143" s="3"/>
      <c r="B143" s="3"/>
      <c r="C143" s="3"/>
      <c r="D143" s="3"/>
      <c r="E143" s="6"/>
      <c r="F143" s="8"/>
      <c r="G143" s="6"/>
      <c r="H143" s="3"/>
      <c r="I143" s="4"/>
      <c r="J143" s="3"/>
      <c r="K143" s="3"/>
      <c r="L143" s="4"/>
      <c r="M143" s="4"/>
      <c r="N143" s="3"/>
      <c r="O143" s="3"/>
      <c r="P143" s="3"/>
    </row>
    <row r="144" spans="1:16">
      <c r="A144" s="3"/>
      <c r="B144" s="3"/>
      <c r="C144" s="3"/>
      <c r="D144" s="3"/>
      <c r="E144" s="6"/>
      <c r="F144" s="8"/>
      <c r="G144" s="6"/>
      <c r="H144" s="3"/>
      <c r="I144" s="4"/>
      <c r="J144" s="3"/>
      <c r="K144" s="3"/>
      <c r="L144" s="4"/>
      <c r="M144" s="4"/>
      <c r="N144" s="3"/>
      <c r="O144" s="3"/>
      <c r="P144" s="3"/>
    </row>
    <row r="145" spans="1:16">
      <c r="A145" s="3"/>
      <c r="B145" s="3"/>
      <c r="C145" s="3"/>
      <c r="D145" s="3"/>
      <c r="E145" s="6"/>
      <c r="F145" s="8"/>
      <c r="G145" s="6"/>
      <c r="H145" s="3"/>
      <c r="I145" s="4"/>
      <c r="J145" s="3"/>
      <c r="K145" s="3"/>
      <c r="L145" s="4"/>
      <c r="M145" s="4"/>
      <c r="N145" s="3"/>
      <c r="O145" s="3"/>
      <c r="P145" s="3"/>
    </row>
    <row r="146" spans="1:16">
      <c r="A146" s="3"/>
      <c r="B146" s="3"/>
      <c r="C146" s="3"/>
      <c r="D146" s="3"/>
      <c r="E146" s="6"/>
      <c r="F146" s="8"/>
      <c r="G146" s="6"/>
      <c r="H146" s="3"/>
      <c r="I146" s="4"/>
      <c r="J146" s="3"/>
      <c r="K146" s="3"/>
      <c r="L146" s="4"/>
      <c r="M146" s="4"/>
      <c r="N146" s="3"/>
      <c r="O146" s="3"/>
      <c r="P146" s="3"/>
    </row>
    <row r="147" spans="1:16">
      <c r="A147" s="3"/>
      <c r="B147" s="3"/>
      <c r="C147" s="3"/>
      <c r="D147" s="3"/>
      <c r="E147" s="6"/>
      <c r="F147" s="8"/>
      <c r="G147" s="6"/>
      <c r="H147" s="3"/>
      <c r="I147" s="4"/>
      <c r="J147" s="3"/>
      <c r="K147" s="3"/>
      <c r="L147" s="4"/>
      <c r="M147" s="4"/>
      <c r="N147" s="3"/>
      <c r="O147" s="3"/>
      <c r="P147" s="3"/>
    </row>
    <row r="148" spans="1:16">
      <c r="A148" s="3"/>
      <c r="B148" s="3"/>
      <c r="C148" s="3"/>
      <c r="D148" s="3"/>
      <c r="E148" s="6"/>
      <c r="F148" s="8"/>
      <c r="G148" s="6"/>
      <c r="H148" s="3"/>
      <c r="I148" s="4"/>
      <c r="J148" s="3"/>
      <c r="K148" s="3"/>
      <c r="L148" s="4"/>
      <c r="M148" s="4"/>
      <c r="N148" s="3"/>
      <c r="O148" s="3"/>
      <c r="P148" s="3"/>
    </row>
    <row r="149" spans="1:16">
      <c r="A149" s="3"/>
      <c r="B149" s="3"/>
      <c r="C149" s="3"/>
      <c r="D149" s="3"/>
      <c r="E149" s="6"/>
      <c r="F149" s="8"/>
      <c r="G149" s="6"/>
      <c r="H149" s="3"/>
      <c r="I149" s="4"/>
      <c r="J149" s="3"/>
      <c r="K149" s="3"/>
      <c r="L149" s="4"/>
      <c r="M149" s="4"/>
      <c r="N149" s="3"/>
      <c r="O149" s="3"/>
      <c r="P149" s="3"/>
    </row>
    <row r="150" spans="1:16">
      <c r="A150" s="3"/>
      <c r="B150" s="3"/>
      <c r="C150" s="3"/>
      <c r="D150" s="3"/>
      <c r="E150" s="6"/>
      <c r="F150" s="8"/>
      <c r="G150" s="6"/>
      <c r="H150" s="3"/>
      <c r="I150" s="4"/>
      <c r="J150" s="3"/>
      <c r="K150" s="3"/>
      <c r="L150" s="4"/>
      <c r="M150" s="4"/>
      <c r="N150" s="3"/>
      <c r="O150" s="3"/>
      <c r="P150" s="3"/>
    </row>
    <row r="151" spans="1:16">
      <c r="A151" s="3"/>
      <c r="B151" s="3"/>
      <c r="C151" s="3"/>
      <c r="D151" s="3"/>
      <c r="E151" s="6"/>
      <c r="F151" s="8"/>
      <c r="G151" s="6"/>
      <c r="H151" s="3"/>
      <c r="I151" s="4"/>
      <c r="J151" s="3"/>
      <c r="K151" s="3"/>
      <c r="L151" s="4"/>
      <c r="M151" s="4"/>
      <c r="N151" s="3"/>
      <c r="O151" s="3"/>
      <c r="P151" s="3"/>
    </row>
    <row r="152" spans="1:16">
      <c r="A152" s="3"/>
      <c r="B152" s="3"/>
      <c r="C152" s="3"/>
      <c r="D152" s="3"/>
      <c r="E152" s="6"/>
      <c r="F152" s="8"/>
      <c r="G152" s="6"/>
      <c r="H152" s="3"/>
      <c r="I152" s="4"/>
      <c r="J152" s="3"/>
      <c r="K152" s="3"/>
      <c r="L152" s="4"/>
      <c r="M152" s="4"/>
      <c r="N152" s="3"/>
      <c r="O152" s="3"/>
      <c r="P152" s="3"/>
    </row>
    <row r="153" spans="1:16">
      <c r="A153" s="3"/>
      <c r="B153" s="3"/>
      <c r="C153" s="3"/>
      <c r="D153" s="3"/>
      <c r="E153" s="6"/>
      <c r="F153" s="8"/>
      <c r="G153" s="6"/>
      <c r="H153" s="3"/>
      <c r="I153" s="4"/>
      <c r="J153" s="3"/>
      <c r="K153" s="3"/>
      <c r="L153" s="4"/>
      <c r="M153" s="4"/>
      <c r="N153" s="3"/>
      <c r="O153" s="3"/>
      <c r="P153" s="3"/>
    </row>
    <row r="154" spans="1:16">
      <c r="A154" s="3"/>
      <c r="B154" s="3"/>
      <c r="C154" s="3"/>
      <c r="D154" s="3"/>
      <c r="E154" s="6"/>
      <c r="F154" s="8"/>
      <c r="G154" s="6"/>
      <c r="H154" s="3"/>
      <c r="I154" s="4"/>
      <c r="J154" s="3"/>
      <c r="K154" s="3"/>
      <c r="L154" s="4"/>
      <c r="M154" s="4"/>
      <c r="N154" s="3"/>
      <c r="O154" s="3"/>
      <c r="P154" s="3"/>
    </row>
    <row r="155" spans="1:16">
      <c r="A155" s="3"/>
      <c r="B155" s="3"/>
      <c r="C155" s="3"/>
      <c r="D155" s="3"/>
      <c r="E155" s="6"/>
      <c r="F155" s="8"/>
      <c r="G155" s="6"/>
      <c r="H155" s="3"/>
      <c r="I155" s="4"/>
      <c r="J155" s="3"/>
      <c r="K155" s="3"/>
      <c r="L155" s="4"/>
      <c r="M155" s="4"/>
      <c r="N155" s="3"/>
      <c r="O155" s="3"/>
      <c r="P155" s="3"/>
    </row>
    <row r="156" spans="1:16">
      <c r="A156" s="3"/>
      <c r="B156" s="3"/>
      <c r="C156" s="3"/>
      <c r="D156" s="3"/>
      <c r="E156" s="6"/>
      <c r="F156" s="8"/>
      <c r="G156" s="6"/>
      <c r="H156" s="3"/>
      <c r="I156" s="4"/>
      <c r="J156" s="3"/>
      <c r="K156" s="3"/>
      <c r="L156" s="4"/>
      <c r="M156" s="4"/>
      <c r="N156" s="3"/>
      <c r="O156" s="3"/>
      <c r="P156" s="3"/>
    </row>
    <row r="157" spans="1:16">
      <c r="A157" s="3"/>
      <c r="B157" s="3"/>
      <c r="C157" s="3"/>
      <c r="D157" s="3"/>
      <c r="E157" s="6"/>
      <c r="F157" s="8"/>
      <c r="G157" s="6"/>
      <c r="H157" s="3"/>
      <c r="I157" s="4"/>
      <c r="J157" s="3"/>
      <c r="K157" s="3"/>
      <c r="L157" s="4"/>
      <c r="M157" s="4"/>
      <c r="N157" s="3"/>
      <c r="O157" s="3"/>
      <c r="P157" s="3"/>
    </row>
    <row r="158" spans="1:16">
      <c r="A158" s="3"/>
      <c r="B158" s="3"/>
      <c r="C158" s="3"/>
      <c r="D158" s="3"/>
      <c r="E158" s="6"/>
      <c r="F158" s="8"/>
      <c r="G158" s="6"/>
      <c r="H158" s="3"/>
      <c r="I158" s="4"/>
      <c r="J158" s="3"/>
      <c r="K158" s="3"/>
      <c r="L158" s="4"/>
      <c r="M158" s="4"/>
      <c r="N158" s="3"/>
      <c r="O158" s="3"/>
      <c r="P158" s="3"/>
    </row>
    <row r="159" spans="1:16">
      <c r="A159" s="3"/>
      <c r="B159" s="3"/>
      <c r="C159" s="3"/>
      <c r="D159" s="3"/>
      <c r="E159" s="6"/>
      <c r="F159" s="8"/>
      <c r="G159" s="6"/>
      <c r="H159" s="3"/>
      <c r="I159" s="4"/>
      <c r="J159" s="3"/>
      <c r="K159" s="3"/>
      <c r="L159" s="4"/>
      <c r="M159" s="4"/>
      <c r="N159" s="3"/>
      <c r="O159" s="3"/>
      <c r="P159" s="3"/>
    </row>
    <row r="160" spans="1:16">
      <c r="A160" s="3"/>
      <c r="B160" s="3"/>
      <c r="C160" s="3"/>
      <c r="D160" s="3"/>
      <c r="E160" s="6"/>
      <c r="F160" s="8"/>
      <c r="G160" s="6"/>
      <c r="H160" s="3"/>
      <c r="I160" s="4"/>
      <c r="J160" s="3"/>
      <c r="K160" s="3"/>
      <c r="L160" s="4"/>
      <c r="M160" s="4"/>
      <c r="N160" s="3"/>
      <c r="O160" s="3"/>
      <c r="P160" s="3"/>
    </row>
    <row r="161" spans="1:16">
      <c r="A161" s="3"/>
      <c r="B161" s="3"/>
      <c r="C161" s="3"/>
      <c r="D161" s="3"/>
      <c r="E161" s="6"/>
      <c r="F161" s="8"/>
      <c r="G161" s="6"/>
      <c r="H161" s="3"/>
      <c r="I161" s="4"/>
      <c r="J161" s="3"/>
      <c r="K161" s="3"/>
      <c r="L161" s="4"/>
      <c r="M161" s="4"/>
      <c r="N161" s="3"/>
      <c r="O161" s="3"/>
      <c r="P161" s="3"/>
    </row>
    <row r="162" spans="1:16">
      <c r="A162" s="3"/>
      <c r="B162" s="3"/>
      <c r="C162" s="3"/>
      <c r="D162" s="3"/>
      <c r="E162" s="6"/>
      <c r="F162" s="8"/>
      <c r="G162" s="6"/>
      <c r="H162" s="3"/>
      <c r="I162" s="4"/>
      <c r="J162" s="3"/>
      <c r="K162" s="3"/>
      <c r="L162" s="4"/>
      <c r="M162" s="4"/>
      <c r="N162" s="3"/>
      <c r="O162" s="3"/>
      <c r="P162" s="3"/>
    </row>
    <row r="163" spans="1:16">
      <c r="A163" s="3"/>
      <c r="B163" s="3"/>
      <c r="C163" s="3"/>
      <c r="D163" s="3"/>
      <c r="E163" s="6"/>
      <c r="F163" s="8"/>
      <c r="G163" s="6"/>
      <c r="H163" s="3"/>
      <c r="I163" s="4"/>
      <c r="J163" s="3"/>
      <c r="K163" s="3"/>
      <c r="L163" s="4"/>
      <c r="M163" s="4"/>
      <c r="N163" s="3"/>
      <c r="O163" s="3"/>
      <c r="P163" s="3"/>
    </row>
    <row r="164" spans="1:16">
      <c r="A164" s="3"/>
      <c r="B164" s="3"/>
      <c r="C164" s="3"/>
      <c r="D164" s="3"/>
      <c r="E164" s="6"/>
      <c r="F164" s="8"/>
      <c r="G164" s="6"/>
      <c r="H164" s="3"/>
      <c r="I164" s="4"/>
      <c r="J164" s="3"/>
      <c r="K164" s="3"/>
      <c r="L164" s="4"/>
      <c r="M164" s="4"/>
      <c r="N164" s="3"/>
      <c r="O164" s="3"/>
      <c r="P164" s="3"/>
    </row>
    <row r="165" spans="1:16">
      <c r="A165" s="3"/>
      <c r="B165" s="3"/>
      <c r="C165" s="3"/>
      <c r="D165" s="3"/>
      <c r="E165" s="6"/>
      <c r="F165" s="8"/>
      <c r="G165" s="6"/>
      <c r="H165" s="3"/>
      <c r="I165" s="4"/>
      <c r="J165" s="3"/>
      <c r="K165" s="3"/>
      <c r="L165" s="4"/>
      <c r="M165" s="4"/>
      <c r="N165" s="3"/>
      <c r="O165" s="3"/>
      <c r="P165" s="3"/>
    </row>
    <row r="166" spans="1:16">
      <c r="A166" s="3"/>
      <c r="B166" s="3"/>
      <c r="C166" s="3"/>
      <c r="D166" s="3"/>
      <c r="E166" s="6"/>
      <c r="F166" s="8"/>
      <c r="G166" s="6"/>
      <c r="H166" s="3"/>
      <c r="I166" s="4"/>
      <c r="J166" s="3"/>
      <c r="K166" s="3"/>
      <c r="L166" s="4"/>
      <c r="M166" s="4"/>
      <c r="N166" s="3"/>
      <c r="O166" s="3"/>
      <c r="P166" s="3"/>
    </row>
    <row r="167" spans="1:16">
      <c r="A167" s="3"/>
      <c r="B167" s="3"/>
      <c r="C167" s="3"/>
      <c r="D167" s="3"/>
      <c r="E167" s="6"/>
      <c r="F167" s="8"/>
      <c r="G167" s="6"/>
      <c r="H167" s="3"/>
      <c r="I167" s="4"/>
      <c r="J167" s="3"/>
      <c r="K167" s="3"/>
      <c r="L167" s="4"/>
      <c r="M167" s="4"/>
      <c r="N167" s="3"/>
      <c r="O167" s="3"/>
      <c r="P167" s="3"/>
    </row>
    <row r="168" spans="1:16">
      <c r="A168" s="3"/>
      <c r="B168" s="3"/>
      <c r="C168" s="3"/>
      <c r="D168" s="3"/>
      <c r="E168" s="6"/>
      <c r="F168" s="8"/>
      <c r="G168" s="6"/>
      <c r="H168" s="3"/>
      <c r="I168" s="4"/>
      <c r="J168" s="3"/>
      <c r="K168" s="3"/>
      <c r="L168" s="4"/>
      <c r="M168" s="4"/>
      <c r="N168" s="3"/>
      <c r="O168" s="3"/>
      <c r="P168" s="3"/>
    </row>
    <row r="169" spans="1:16">
      <c r="A169" s="3"/>
      <c r="B169" s="3"/>
      <c r="C169" s="3"/>
      <c r="D169" s="3"/>
      <c r="E169" s="6"/>
      <c r="F169" s="8"/>
      <c r="G169" s="6"/>
      <c r="H169" s="3"/>
      <c r="I169" s="4"/>
      <c r="J169" s="3"/>
      <c r="K169" s="3"/>
      <c r="L169" s="4"/>
      <c r="M169" s="4"/>
      <c r="N169" s="3"/>
      <c r="O169" s="3"/>
      <c r="P169" s="3"/>
    </row>
    <row r="170" spans="1:16">
      <c r="A170" s="3"/>
      <c r="B170" s="3"/>
      <c r="C170" s="3"/>
      <c r="D170" s="3"/>
      <c r="E170" s="6"/>
      <c r="F170" s="8"/>
      <c r="G170" s="6"/>
      <c r="H170" s="3"/>
      <c r="I170" s="4"/>
      <c r="J170" s="3"/>
      <c r="K170" s="3"/>
      <c r="L170" s="4"/>
      <c r="M170" s="4"/>
      <c r="N170" s="3"/>
      <c r="O170" s="3"/>
      <c r="P170" s="3"/>
    </row>
    <row r="171" spans="1:16">
      <c r="A171" s="3"/>
      <c r="B171" s="3"/>
      <c r="C171" s="3"/>
      <c r="D171" s="3"/>
      <c r="E171" s="6"/>
      <c r="F171" s="8"/>
      <c r="G171" s="6"/>
      <c r="H171" s="3"/>
      <c r="I171" s="4"/>
      <c r="J171" s="3"/>
      <c r="K171" s="3"/>
      <c r="L171" s="4"/>
      <c r="M171" s="4"/>
      <c r="N171" s="3"/>
      <c r="O171" s="3"/>
      <c r="P171" s="3"/>
    </row>
    <row r="172" spans="1:16">
      <c r="A172" s="3"/>
      <c r="B172" s="3"/>
      <c r="C172" s="3"/>
      <c r="D172" s="3"/>
      <c r="E172" s="6"/>
      <c r="F172" s="8"/>
      <c r="G172" s="6"/>
      <c r="H172" s="3"/>
      <c r="I172" s="4"/>
      <c r="J172" s="3"/>
      <c r="K172" s="3"/>
      <c r="L172" s="4"/>
      <c r="M172" s="4"/>
      <c r="N172" s="3"/>
      <c r="O172" s="3"/>
      <c r="P172" s="3"/>
    </row>
    <row r="173" spans="1:16">
      <c r="A173" s="3"/>
      <c r="B173" s="3"/>
      <c r="C173" s="3"/>
      <c r="D173" s="3"/>
      <c r="E173" s="6"/>
      <c r="F173" s="8"/>
      <c r="G173" s="6"/>
      <c r="H173" s="3"/>
      <c r="I173" s="4"/>
      <c r="J173" s="3"/>
      <c r="K173" s="3"/>
      <c r="L173" s="4"/>
      <c r="M173" s="4"/>
      <c r="N173" s="3"/>
      <c r="O173" s="3"/>
      <c r="P173" s="3"/>
    </row>
    <row r="174" spans="1:16">
      <c r="A174" s="3"/>
      <c r="B174" s="3"/>
      <c r="C174" s="3"/>
      <c r="D174" s="3"/>
      <c r="E174" s="6"/>
      <c r="F174" s="8"/>
      <c r="G174" s="6"/>
      <c r="H174" s="3"/>
      <c r="I174" s="4"/>
      <c r="J174" s="3"/>
      <c r="K174" s="3"/>
      <c r="L174" s="4"/>
      <c r="M174" s="4"/>
      <c r="N174" s="3"/>
      <c r="O174" s="3"/>
      <c r="P174" s="3"/>
    </row>
    <row r="175" spans="1:16">
      <c r="A175" s="3"/>
      <c r="B175" s="3"/>
      <c r="C175" s="3"/>
      <c r="D175" s="3"/>
      <c r="E175" s="6"/>
      <c r="F175" s="8"/>
      <c r="G175" s="6"/>
      <c r="H175" s="3"/>
      <c r="I175" s="4"/>
      <c r="J175" s="3"/>
      <c r="K175" s="3"/>
      <c r="L175" s="4"/>
      <c r="M175" s="4"/>
      <c r="N175" s="3"/>
      <c r="O175" s="3"/>
      <c r="P175" s="3"/>
    </row>
    <row r="176" spans="1:16">
      <c r="A176" s="3"/>
      <c r="B176" s="3"/>
      <c r="C176" s="3"/>
      <c r="D176" s="3"/>
      <c r="E176" s="6"/>
      <c r="F176" s="8"/>
      <c r="G176" s="6"/>
      <c r="H176" s="3"/>
      <c r="I176" s="4"/>
      <c r="J176" s="3"/>
      <c r="K176" s="3"/>
      <c r="L176" s="4"/>
      <c r="M176" s="4"/>
      <c r="N176" s="3"/>
      <c r="O176" s="3"/>
      <c r="P176" s="3"/>
    </row>
    <row r="177" spans="1:16">
      <c r="A177" s="3"/>
      <c r="B177" s="3"/>
      <c r="C177" s="3"/>
      <c r="D177" s="3"/>
      <c r="E177" s="6"/>
      <c r="F177" s="8"/>
      <c r="G177" s="6"/>
      <c r="H177" s="3"/>
      <c r="I177" s="4"/>
      <c r="J177" s="3"/>
      <c r="K177" s="3"/>
      <c r="L177" s="4"/>
      <c r="M177" s="4"/>
      <c r="N177" s="3"/>
      <c r="O177" s="3"/>
      <c r="P177" s="3"/>
    </row>
    <row r="178" spans="1:16">
      <c r="A178" s="3"/>
      <c r="B178" s="3"/>
      <c r="C178" s="3"/>
      <c r="D178" s="3"/>
      <c r="E178" s="6"/>
      <c r="F178" s="8"/>
      <c r="G178" s="6"/>
      <c r="H178" s="3"/>
      <c r="I178" s="4"/>
      <c r="J178" s="3"/>
      <c r="K178" s="3"/>
      <c r="L178" s="4"/>
      <c r="M178" s="4"/>
      <c r="N178" s="3"/>
      <c r="O178" s="3"/>
      <c r="P178" s="3"/>
    </row>
    <row r="179" spans="1:16">
      <c r="A179" s="3"/>
      <c r="B179" s="3"/>
      <c r="C179" s="3"/>
      <c r="D179" s="3"/>
      <c r="E179" s="6"/>
      <c r="F179" s="8"/>
      <c r="G179" s="6"/>
      <c r="H179" s="3"/>
      <c r="I179" s="4"/>
      <c r="J179" s="3"/>
      <c r="K179" s="3"/>
      <c r="L179" s="4"/>
      <c r="M179" s="4"/>
      <c r="N179" s="3"/>
      <c r="O179" s="3"/>
      <c r="P179" s="3"/>
    </row>
    <row r="180" spans="1:16">
      <c r="A180" s="3"/>
      <c r="B180" s="3"/>
      <c r="C180" s="3"/>
      <c r="D180" s="3"/>
      <c r="E180" s="6"/>
      <c r="F180" s="8"/>
      <c r="G180" s="6"/>
      <c r="H180" s="3"/>
      <c r="I180" s="4"/>
      <c r="J180" s="3"/>
      <c r="K180" s="3"/>
      <c r="L180" s="4"/>
      <c r="M180" s="4"/>
      <c r="N180" s="3"/>
      <c r="O180" s="3"/>
      <c r="P180" s="3"/>
    </row>
    <row r="181" spans="1:16">
      <c r="A181" s="3"/>
      <c r="B181" s="3"/>
      <c r="C181" s="3"/>
      <c r="D181" s="3"/>
      <c r="E181" s="6"/>
      <c r="F181" s="8"/>
      <c r="G181" s="6"/>
      <c r="H181" s="3"/>
      <c r="I181" s="4"/>
      <c r="J181" s="3"/>
      <c r="K181" s="3"/>
      <c r="L181" s="4"/>
      <c r="M181" s="4"/>
      <c r="N181" s="3"/>
      <c r="O181" s="3"/>
      <c r="P181" s="3"/>
    </row>
    <row r="182" spans="1:16">
      <c r="A182" s="3"/>
      <c r="B182" s="3"/>
      <c r="C182" s="3"/>
      <c r="D182" s="3"/>
      <c r="E182" s="6"/>
      <c r="F182" s="8"/>
      <c r="G182" s="6"/>
      <c r="H182" s="3"/>
      <c r="I182" s="4"/>
      <c r="J182" s="3"/>
      <c r="K182" s="3"/>
      <c r="L182" s="4"/>
      <c r="M182" s="4"/>
      <c r="N182" s="3"/>
      <c r="O182" s="3"/>
      <c r="P182" s="3"/>
    </row>
    <row r="183" spans="1:16">
      <c r="A183" s="3"/>
      <c r="B183" s="3"/>
      <c r="C183" s="3"/>
      <c r="D183" s="3"/>
      <c r="E183" s="6"/>
      <c r="F183" s="8"/>
      <c r="G183" s="6"/>
      <c r="H183" s="3"/>
      <c r="I183" s="4"/>
      <c r="J183" s="3"/>
      <c r="K183" s="3"/>
      <c r="L183" s="4"/>
      <c r="M183" s="4"/>
      <c r="N183" s="3"/>
      <c r="O183" s="3"/>
      <c r="P183" s="3"/>
    </row>
    <row r="184" spans="1:16">
      <c r="A184" s="3"/>
      <c r="B184" s="3"/>
      <c r="C184" s="3"/>
      <c r="D184" s="3"/>
      <c r="E184" s="6"/>
      <c r="F184" s="8"/>
      <c r="G184" s="6"/>
      <c r="H184" s="3"/>
      <c r="I184" s="4"/>
      <c r="J184" s="3"/>
      <c r="K184" s="3"/>
      <c r="L184" s="4"/>
      <c r="M184" s="4"/>
      <c r="N184" s="3"/>
      <c r="O184" s="3"/>
      <c r="P184" s="3"/>
    </row>
    <row r="185" spans="1:16">
      <c r="A185" s="3"/>
      <c r="B185" s="3"/>
      <c r="C185" s="3"/>
      <c r="D185" s="3"/>
      <c r="E185" s="6"/>
      <c r="F185" s="8"/>
      <c r="G185" s="6"/>
      <c r="H185" s="3"/>
      <c r="I185" s="4"/>
      <c r="J185" s="3"/>
      <c r="K185" s="3"/>
      <c r="L185" s="4"/>
      <c r="M185" s="4"/>
      <c r="N185" s="3"/>
      <c r="O185" s="3"/>
      <c r="P185" s="3"/>
    </row>
    <row r="186" spans="1:16">
      <c r="A186" s="3"/>
      <c r="B186" s="3"/>
      <c r="C186" s="3"/>
      <c r="D186" s="3"/>
      <c r="E186" s="6"/>
      <c r="F186" s="8"/>
      <c r="G186" s="6"/>
      <c r="H186" s="3"/>
      <c r="I186" s="4"/>
      <c r="J186" s="3"/>
      <c r="K186" s="3"/>
      <c r="L186" s="4"/>
      <c r="M186" s="4"/>
      <c r="N186" s="3"/>
      <c r="O186" s="3"/>
      <c r="P186" s="3"/>
    </row>
    <row r="187" spans="1:16">
      <c r="A187" s="3"/>
      <c r="B187" s="3"/>
      <c r="C187" s="3"/>
      <c r="D187" s="3"/>
      <c r="E187" s="6"/>
      <c r="F187" s="8"/>
      <c r="G187" s="6"/>
      <c r="H187" s="3"/>
      <c r="I187" s="4"/>
      <c r="J187" s="3"/>
      <c r="K187" s="3"/>
      <c r="L187" s="4"/>
      <c r="M187" s="4"/>
      <c r="N187" s="3"/>
      <c r="O187" s="3"/>
      <c r="P187" s="3"/>
    </row>
    <row r="188" spans="1:16">
      <c r="A188" s="3"/>
      <c r="B188" s="3"/>
      <c r="C188" s="3"/>
      <c r="D188" s="3"/>
      <c r="E188" s="6"/>
      <c r="F188" s="8"/>
      <c r="G188" s="6"/>
      <c r="H188" s="3"/>
      <c r="I188" s="4"/>
      <c r="J188" s="3"/>
      <c r="K188" s="3"/>
      <c r="L188" s="4"/>
      <c r="M188" s="4"/>
      <c r="N188" s="3"/>
      <c r="O188" s="3"/>
      <c r="P188" s="3"/>
    </row>
    <row r="189" spans="1:16">
      <c r="A189" s="3"/>
      <c r="B189" s="3"/>
      <c r="C189" s="3"/>
      <c r="D189" s="3"/>
      <c r="E189" s="6"/>
      <c r="F189" s="8"/>
      <c r="G189" s="6"/>
      <c r="H189" s="3"/>
      <c r="I189" s="4"/>
      <c r="J189" s="3"/>
      <c r="K189" s="3"/>
      <c r="L189" s="4"/>
      <c r="M189" s="4"/>
      <c r="N189" s="3"/>
      <c r="O189" s="3"/>
      <c r="P189" s="3"/>
    </row>
    <row r="190" spans="1:16">
      <c r="A190" s="3"/>
      <c r="B190" s="3"/>
      <c r="C190" s="3"/>
      <c r="D190" s="3"/>
      <c r="E190" s="6"/>
      <c r="F190" s="8"/>
      <c r="G190" s="6"/>
      <c r="H190" s="3"/>
      <c r="I190" s="4"/>
      <c r="J190" s="3"/>
      <c r="K190" s="3"/>
      <c r="L190" s="4"/>
      <c r="M190" s="4"/>
      <c r="N190" s="3"/>
      <c r="O190" s="3"/>
      <c r="P190" s="3"/>
    </row>
    <row r="191" spans="1:16">
      <c r="A191" s="3"/>
      <c r="B191" s="3"/>
      <c r="C191" s="3"/>
      <c r="D191" s="3"/>
      <c r="E191" s="6"/>
      <c r="F191" s="8"/>
      <c r="G191" s="6"/>
      <c r="H191" s="3"/>
      <c r="I191" s="4"/>
      <c r="J191" s="3"/>
      <c r="K191" s="3"/>
      <c r="L191" s="4"/>
      <c r="M191" s="4"/>
      <c r="N191" s="3"/>
      <c r="O191" s="3"/>
      <c r="P191" s="3"/>
    </row>
    <row r="192" spans="1:16">
      <c r="A192" s="3"/>
      <c r="B192" s="3"/>
      <c r="C192" s="3"/>
      <c r="D192" s="3"/>
      <c r="E192" s="6"/>
      <c r="F192" s="8"/>
      <c r="G192" s="6"/>
      <c r="H192" s="3"/>
      <c r="I192" s="4"/>
      <c r="J192" s="3"/>
      <c r="K192" s="3"/>
      <c r="L192" s="4"/>
      <c r="M192" s="4"/>
      <c r="N192" s="3"/>
      <c r="O192" s="3"/>
      <c r="P192" s="3"/>
    </row>
    <row r="193" spans="1:16">
      <c r="A193" s="3"/>
      <c r="B193" s="3"/>
      <c r="C193" s="3"/>
      <c r="D193" s="3"/>
      <c r="E193" s="6"/>
      <c r="F193" s="8"/>
      <c r="G193" s="6"/>
      <c r="H193" s="3"/>
      <c r="I193" s="4"/>
      <c r="J193" s="3"/>
      <c r="K193" s="3"/>
      <c r="L193" s="4"/>
      <c r="M193" s="4"/>
      <c r="N193" s="3"/>
      <c r="O193" s="3"/>
      <c r="P193" s="3"/>
    </row>
    <row r="194" spans="1:16">
      <c r="A194" s="3"/>
      <c r="B194" s="3"/>
      <c r="C194" s="3"/>
      <c r="D194" s="3"/>
      <c r="E194" s="6"/>
      <c r="F194" s="8"/>
      <c r="G194" s="6"/>
      <c r="H194" s="3"/>
      <c r="I194" s="4"/>
      <c r="J194" s="3"/>
      <c r="K194" s="3"/>
      <c r="L194" s="4"/>
      <c r="M194" s="4"/>
      <c r="N194" s="3"/>
      <c r="O194" s="3"/>
      <c r="P194" s="3"/>
    </row>
    <row r="195" spans="1:16">
      <c r="A195" s="3"/>
      <c r="B195" s="3"/>
      <c r="C195" s="3"/>
      <c r="D195" s="3"/>
      <c r="E195" s="6"/>
      <c r="F195" s="8"/>
      <c r="G195" s="6"/>
      <c r="H195" s="3"/>
      <c r="I195" s="4"/>
      <c r="J195" s="3"/>
      <c r="K195" s="3"/>
      <c r="L195" s="4"/>
      <c r="M195" s="4"/>
      <c r="N195" s="3"/>
      <c r="O195" s="3"/>
      <c r="P195" s="3"/>
    </row>
    <row r="196" spans="1:16">
      <c r="A196" s="3"/>
      <c r="B196" s="3"/>
      <c r="C196" s="3"/>
      <c r="D196" s="3"/>
      <c r="E196" s="6"/>
      <c r="F196" s="8"/>
      <c r="G196" s="6"/>
      <c r="H196" s="3"/>
      <c r="I196" s="4"/>
      <c r="J196" s="3"/>
      <c r="K196" s="3"/>
      <c r="L196" s="4"/>
      <c r="M196" s="4"/>
      <c r="N196" s="3"/>
      <c r="O196" s="3"/>
      <c r="P196" s="3"/>
    </row>
    <row r="197" spans="1:16">
      <c r="A197" s="3"/>
      <c r="B197" s="3"/>
      <c r="C197" s="3"/>
      <c r="D197" s="3"/>
      <c r="E197" s="6"/>
      <c r="F197" s="8"/>
      <c r="G197" s="6"/>
      <c r="H197" s="3"/>
      <c r="I197" s="4"/>
      <c r="J197" s="3"/>
      <c r="K197" s="3"/>
      <c r="L197" s="4"/>
      <c r="M197" s="4"/>
      <c r="N197" s="3"/>
      <c r="O197" s="3"/>
      <c r="P197" s="3"/>
    </row>
    <row r="198" spans="1:16">
      <c r="A198" s="3"/>
      <c r="B198" s="3"/>
      <c r="C198" s="3"/>
      <c r="D198" s="3"/>
      <c r="E198" s="6"/>
      <c r="F198" s="8"/>
      <c r="G198" s="6"/>
      <c r="H198" s="3"/>
      <c r="I198" s="4"/>
      <c r="J198" s="3"/>
      <c r="K198" s="3"/>
      <c r="L198" s="4"/>
      <c r="M198" s="4"/>
      <c r="N198" s="3"/>
      <c r="O198" s="3"/>
      <c r="P198" s="3"/>
    </row>
    <row r="199" spans="1:16">
      <c r="A199" s="3"/>
      <c r="B199" s="3"/>
      <c r="C199" s="3"/>
      <c r="D199" s="3"/>
      <c r="E199" s="6"/>
      <c r="F199" s="8"/>
      <c r="G199" s="6"/>
      <c r="H199" s="3"/>
      <c r="I199" s="4"/>
      <c r="J199" s="3"/>
      <c r="K199" s="3"/>
      <c r="L199" s="4"/>
      <c r="M199" s="4"/>
      <c r="N199" s="3"/>
      <c r="O199" s="3"/>
      <c r="P199" s="3"/>
    </row>
    <row r="200" spans="1:16">
      <c r="A200" s="3"/>
      <c r="B200" s="3"/>
      <c r="C200" s="3"/>
      <c r="D200" s="3"/>
      <c r="E200" s="6"/>
      <c r="F200" s="8"/>
      <c r="G200" s="6"/>
      <c r="H200" s="3"/>
      <c r="I200" s="4"/>
      <c r="J200" s="3"/>
      <c r="K200" s="3"/>
      <c r="L200" s="4"/>
      <c r="M200" s="4"/>
      <c r="N200" s="3"/>
      <c r="O200" s="3"/>
      <c r="P200" s="3"/>
    </row>
    <row r="201" spans="1:16">
      <c r="E201" s="7"/>
      <c r="F201" s="9"/>
      <c r="G201" s="7"/>
      <c r="I201" s="5"/>
      <c r="L201" s="5"/>
      <c r="M201" s="5"/>
    </row>
    <row r="202" spans="1:16">
      <c r="E202" s="7"/>
      <c r="F202" s="9"/>
      <c r="G202" s="7"/>
      <c r="I202" s="5"/>
      <c r="L202" s="5"/>
      <c r="M202" s="5"/>
    </row>
    <row r="203" spans="1:16">
      <c r="E203" s="7"/>
      <c r="F203" s="9"/>
      <c r="G203" s="7"/>
      <c r="I203" s="5"/>
      <c r="L203" s="5"/>
      <c r="M203" s="5"/>
    </row>
    <row r="204" spans="1:16">
      <c r="E204" s="7"/>
      <c r="F204" s="9"/>
      <c r="G204" s="7"/>
      <c r="I204" s="5"/>
      <c r="L204" s="5"/>
      <c r="M204" s="5"/>
    </row>
    <row r="205" spans="1:16">
      <c r="E205" s="7"/>
      <c r="F205" s="9"/>
      <c r="G205" s="7"/>
      <c r="I205" s="5"/>
      <c r="L205" s="5"/>
      <c r="M205" s="5"/>
    </row>
    <row r="206" spans="1:16">
      <c r="E206" s="7"/>
      <c r="F206" s="9"/>
      <c r="G206" s="7"/>
      <c r="I206" s="5"/>
      <c r="L206" s="5"/>
      <c r="M206" s="5"/>
    </row>
    <row r="207" spans="1:16">
      <c r="E207" s="7"/>
      <c r="F207" s="9"/>
      <c r="G207" s="7"/>
      <c r="I207" s="5"/>
      <c r="L207" s="5"/>
      <c r="M207" s="5"/>
    </row>
    <row r="208" spans="1:16">
      <c r="E208" s="7"/>
      <c r="F208" s="9"/>
      <c r="G208" s="7"/>
      <c r="I208" s="5"/>
      <c r="L208" s="5"/>
      <c r="M208" s="5"/>
    </row>
    <row r="209" spans="5:13">
      <c r="E209" s="7"/>
      <c r="F209" s="9"/>
      <c r="G209" s="7"/>
      <c r="I209" s="5"/>
      <c r="L209" s="5"/>
      <c r="M209" s="5"/>
    </row>
    <row r="210" spans="5:13">
      <c r="E210" s="7"/>
      <c r="F210" s="9"/>
      <c r="G210" s="7"/>
      <c r="I210" s="5"/>
      <c r="L210" s="5"/>
      <c r="M210" s="5"/>
    </row>
    <row r="211" spans="5:13">
      <c r="E211" s="7"/>
      <c r="F211" s="9"/>
      <c r="G211" s="7"/>
      <c r="I211" s="5"/>
      <c r="L211" s="5"/>
      <c r="M211" s="5"/>
    </row>
    <row r="212" spans="5:13">
      <c r="E212" s="7"/>
      <c r="F212" s="9"/>
      <c r="G212" s="7"/>
      <c r="I212" s="5"/>
      <c r="L212" s="5"/>
      <c r="M212" s="5"/>
    </row>
    <row r="213" spans="5:13">
      <c r="E213" s="7"/>
      <c r="F213" s="9"/>
      <c r="G213" s="7"/>
      <c r="I213" s="5"/>
      <c r="L213" s="5"/>
      <c r="M213" s="5"/>
    </row>
    <row r="214" spans="5:13">
      <c r="E214" s="7"/>
      <c r="F214" s="9"/>
      <c r="G214" s="7"/>
      <c r="I214" s="5"/>
      <c r="L214" s="5"/>
      <c r="M214" s="5"/>
    </row>
    <row r="215" spans="5:13">
      <c r="E215" s="7"/>
      <c r="F215" s="9"/>
      <c r="G215" s="7"/>
      <c r="I215" s="5"/>
      <c r="L215" s="5"/>
      <c r="M215" s="5"/>
    </row>
    <row r="216" spans="5:13">
      <c r="E216" s="7"/>
      <c r="F216" s="9"/>
      <c r="G216" s="7"/>
      <c r="I216" s="5"/>
      <c r="L216" s="5"/>
      <c r="M216" s="5"/>
    </row>
    <row r="217" spans="5:13">
      <c r="E217" s="7"/>
      <c r="F217" s="9"/>
      <c r="G217" s="7"/>
      <c r="I217" s="5"/>
      <c r="L217" s="5"/>
      <c r="M217" s="5"/>
    </row>
    <row r="218" spans="5:13">
      <c r="E218" s="7"/>
      <c r="F218" s="9"/>
      <c r="G218" s="7"/>
      <c r="I218" s="5"/>
      <c r="L218" s="5"/>
      <c r="M218" s="5"/>
    </row>
    <row r="219" spans="5:13">
      <c r="E219" s="7"/>
      <c r="F219" s="9"/>
      <c r="G219" s="7"/>
      <c r="I219" s="5"/>
      <c r="L219" s="5"/>
      <c r="M219" s="5"/>
    </row>
    <row r="220" spans="5:13">
      <c r="E220" s="7"/>
      <c r="F220" s="9"/>
      <c r="G220" s="7"/>
      <c r="I220" s="5"/>
      <c r="L220" s="5"/>
      <c r="M220" s="5"/>
    </row>
    <row r="221" spans="5:13">
      <c r="E221" s="7"/>
      <c r="F221" s="9"/>
      <c r="G221" s="7"/>
      <c r="I221" s="5"/>
      <c r="L221" s="5"/>
      <c r="M221" s="5"/>
    </row>
    <row r="222" spans="5:13">
      <c r="E222" s="7"/>
      <c r="F222" s="9"/>
      <c r="G222" s="7"/>
      <c r="I222" s="5"/>
      <c r="L222" s="5"/>
      <c r="M222" s="5"/>
    </row>
    <row r="223" spans="5:13">
      <c r="E223" s="7"/>
      <c r="F223" s="9"/>
      <c r="G223" s="7"/>
      <c r="I223" s="5"/>
      <c r="L223" s="5"/>
      <c r="M223" s="5"/>
    </row>
    <row r="224" spans="5:13">
      <c r="E224" s="7"/>
      <c r="F224" s="9"/>
      <c r="G224" s="7"/>
      <c r="I224" s="5"/>
      <c r="L224" s="5"/>
      <c r="M224" s="5"/>
    </row>
    <row r="225" spans="5:13">
      <c r="E225" s="7"/>
      <c r="F225" s="9"/>
      <c r="G225" s="7"/>
      <c r="I225" s="5"/>
      <c r="L225" s="5"/>
      <c r="M225" s="5"/>
    </row>
    <row r="226" spans="5:13">
      <c r="E226" s="7"/>
      <c r="F226" s="9"/>
      <c r="G226" s="7"/>
      <c r="I226" s="5"/>
      <c r="L226" s="5"/>
      <c r="M226" s="5"/>
    </row>
    <row r="227" spans="5:13">
      <c r="E227" s="7"/>
      <c r="F227" s="9"/>
      <c r="G227" s="7"/>
      <c r="I227" s="5"/>
      <c r="L227" s="5"/>
      <c r="M227" s="5"/>
    </row>
    <row r="228" spans="5:13">
      <c r="E228" s="7"/>
      <c r="F228" s="9"/>
      <c r="G228" s="7"/>
      <c r="I228" s="5"/>
      <c r="L228" s="5"/>
      <c r="M228" s="5"/>
    </row>
    <row r="229" spans="5:13">
      <c r="E229" s="7"/>
      <c r="F229" s="9"/>
      <c r="G229" s="7"/>
      <c r="I229" s="5"/>
      <c r="L229" s="5"/>
      <c r="M229" s="5"/>
    </row>
    <row r="230" spans="5:13">
      <c r="E230" s="7"/>
      <c r="F230" s="9"/>
      <c r="G230" s="7"/>
      <c r="I230" s="5"/>
      <c r="L230" s="5"/>
      <c r="M230" s="5"/>
    </row>
    <row r="231" spans="5:13">
      <c r="E231" s="7"/>
      <c r="F231" s="9"/>
      <c r="G231" s="7"/>
      <c r="I231" s="5"/>
      <c r="L231" s="5"/>
      <c r="M231" s="5"/>
    </row>
    <row r="232" spans="5:13">
      <c r="E232" s="7"/>
      <c r="F232" s="9"/>
      <c r="G232" s="7"/>
      <c r="I232" s="5"/>
      <c r="L232" s="5"/>
      <c r="M232" s="5"/>
    </row>
    <row r="233" spans="5:13">
      <c r="E233" s="7"/>
      <c r="F233" s="9"/>
      <c r="G233" s="7"/>
      <c r="I233" s="5"/>
      <c r="L233" s="5"/>
      <c r="M233" s="5"/>
    </row>
    <row r="234" spans="5:13">
      <c r="E234" s="7"/>
      <c r="F234" s="9"/>
      <c r="G234" s="7"/>
      <c r="I234" s="5"/>
      <c r="L234" s="5"/>
      <c r="M234" s="5"/>
    </row>
    <row r="235" spans="5:13">
      <c r="E235" s="7"/>
      <c r="F235" s="9"/>
      <c r="G235" s="7"/>
      <c r="I235" s="5"/>
      <c r="L235" s="5"/>
      <c r="M235" s="5"/>
    </row>
    <row r="236" spans="5:13">
      <c r="E236" s="7"/>
      <c r="F236" s="9"/>
      <c r="G236" s="7"/>
      <c r="I236" s="5"/>
      <c r="L236" s="5"/>
      <c r="M236" s="5"/>
    </row>
    <row r="237" spans="5:13">
      <c r="E237" s="7"/>
      <c r="F237" s="9"/>
      <c r="G237" s="7"/>
      <c r="I237" s="5"/>
      <c r="L237" s="5"/>
      <c r="M237" s="5"/>
    </row>
    <row r="238" spans="5:13">
      <c r="E238" s="7"/>
      <c r="F238" s="9"/>
      <c r="G238" s="7"/>
      <c r="I238" s="5"/>
      <c r="L238" s="5"/>
      <c r="M238" s="5"/>
    </row>
    <row r="239" spans="5:13">
      <c r="E239" s="7"/>
      <c r="F239" s="9"/>
      <c r="G239" s="7"/>
      <c r="I239" s="5"/>
      <c r="L239" s="5"/>
      <c r="M239" s="5"/>
    </row>
    <row r="240" spans="5:13">
      <c r="E240" s="7"/>
      <c r="F240" s="9"/>
      <c r="G240" s="7"/>
      <c r="I240" s="5"/>
      <c r="L240" s="5"/>
      <c r="M240" s="5"/>
    </row>
    <row r="241" spans="5:13">
      <c r="E241" s="7"/>
      <c r="F241" s="9"/>
      <c r="G241" s="7"/>
      <c r="I241" s="5"/>
      <c r="L241" s="5"/>
      <c r="M241" s="5"/>
    </row>
    <row r="242" spans="5:13">
      <c r="E242" s="7"/>
      <c r="F242" s="9"/>
      <c r="G242" s="7"/>
      <c r="I242" s="5"/>
      <c r="L242" s="5"/>
      <c r="M242" s="5"/>
    </row>
    <row r="243" spans="5:13">
      <c r="E243" s="7"/>
      <c r="F243" s="9"/>
      <c r="G243" s="7"/>
      <c r="I243" s="5"/>
      <c r="L243" s="5"/>
      <c r="M243" s="5"/>
    </row>
    <row r="244" spans="5:13">
      <c r="E244" s="7"/>
      <c r="F244" s="9"/>
      <c r="G244" s="7"/>
      <c r="I244" s="5"/>
      <c r="L244" s="5"/>
      <c r="M244" s="5"/>
    </row>
    <row r="245" spans="5:13">
      <c r="E245" s="7"/>
      <c r="F245" s="9"/>
      <c r="G245" s="7"/>
      <c r="I245" s="5"/>
      <c r="L245" s="5"/>
      <c r="M245" s="5"/>
    </row>
    <row r="246" spans="5:13">
      <c r="E246" s="7"/>
      <c r="F246" s="9"/>
      <c r="G246" s="7"/>
      <c r="I246" s="5"/>
      <c r="L246" s="5"/>
      <c r="M246" s="5"/>
    </row>
    <row r="247" spans="5:13">
      <c r="E247" s="7"/>
      <c r="F247" s="9"/>
      <c r="G247" s="7"/>
      <c r="I247" s="5"/>
      <c r="L247" s="5"/>
      <c r="M247" s="5"/>
    </row>
    <row r="248" spans="5:13">
      <c r="E248" s="7"/>
      <c r="F248" s="9"/>
      <c r="G248" s="7"/>
      <c r="I248" s="5"/>
      <c r="L248" s="5"/>
      <c r="M248" s="5"/>
    </row>
    <row r="249" spans="5:13">
      <c r="E249" s="7"/>
      <c r="F249" s="9"/>
      <c r="G249" s="7"/>
      <c r="I249" s="5"/>
      <c r="L249" s="5"/>
      <c r="M249" s="5"/>
    </row>
    <row r="250" spans="5:13">
      <c r="E250" s="7"/>
      <c r="F250" s="9"/>
      <c r="G250" s="7"/>
      <c r="I250" s="5"/>
      <c r="L250" s="5"/>
      <c r="M250" s="5"/>
    </row>
    <row r="251" spans="5:13">
      <c r="E251" s="7"/>
      <c r="F251" s="9"/>
      <c r="G251" s="7"/>
      <c r="I251" s="5"/>
      <c r="L251" s="5"/>
      <c r="M251" s="5"/>
    </row>
    <row r="252" spans="5:13">
      <c r="E252" s="7"/>
      <c r="F252" s="9"/>
      <c r="G252" s="7"/>
      <c r="I252" s="5"/>
      <c r="L252" s="5"/>
      <c r="M252" s="5"/>
    </row>
    <row r="253" spans="5:13">
      <c r="E253" s="7"/>
      <c r="F253" s="9"/>
      <c r="G253" s="7"/>
      <c r="I253" s="5"/>
      <c r="L253" s="5"/>
      <c r="M253" s="5"/>
    </row>
    <row r="254" spans="5:13">
      <c r="E254" s="7"/>
      <c r="F254" s="9"/>
      <c r="G254" s="7"/>
      <c r="I254" s="5"/>
      <c r="L254" s="5"/>
      <c r="M254" s="5"/>
    </row>
    <row r="255" spans="5:13">
      <c r="E255" s="7"/>
      <c r="F255" s="9"/>
      <c r="G255" s="7"/>
      <c r="I255" s="5"/>
      <c r="L255" s="5"/>
      <c r="M255" s="5"/>
    </row>
    <row r="256" spans="5:13">
      <c r="E256" s="7"/>
      <c r="F256" s="9"/>
      <c r="G256" s="7"/>
      <c r="I256" s="5"/>
      <c r="L256" s="5"/>
      <c r="M256" s="5"/>
    </row>
    <row r="257" spans="5:13">
      <c r="E257" s="7"/>
      <c r="F257" s="9"/>
      <c r="G257" s="7"/>
      <c r="I257" s="5"/>
      <c r="L257" s="5"/>
      <c r="M257" s="5"/>
    </row>
    <row r="258" spans="5:13">
      <c r="E258" s="7"/>
      <c r="F258" s="9"/>
      <c r="G258" s="7"/>
      <c r="I258" s="5"/>
      <c r="L258" s="5"/>
      <c r="M258" s="5"/>
    </row>
    <row r="259" spans="5:13">
      <c r="E259" s="7"/>
      <c r="F259" s="9"/>
      <c r="G259" s="7"/>
      <c r="I259" s="5"/>
      <c r="L259" s="5"/>
      <c r="M259" s="5"/>
    </row>
    <row r="260" spans="5:13">
      <c r="E260" s="7"/>
      <c r="F260" s="9"/>
      <c r="G260" s="7"/>
      <c r="I260" s="5"/>
      <c r="L260" s="5"/>
      <c r="M260" s="5"/>
    </row>
    <row r="261" spans="5:13">
      <c r="E261" s="7"/>
      <c r="F261" s="9"/>
      <c r="G261" s="7"/>
      <c r="I261" s="5"/>
      <c r="L261" s="5"/>
      <c r="M261" s="5"/>
    </row>
    <row r="262" spans="5:13">
      <c r="E262" s="7"/>
      <c r="F262" s="9"/>
      <c r="G262" s="7"/>
      <c r="I262" s="5"/>
      <c r="L262" s="5"/>
      <c r="M262" s="5"/>
    </row>
    <row r="263" spans="5:13">
      <c r="E263" s="7"/>
      <c r="F263" s="9"/>
      <c r="G263" s="7"/>
      <c r="I263" s="5"/>
      <c r="L263" s="5"/>
      <c r="M263" s="5"/>
    </row>
    <row r="264" spans="5:13">
      <c r="E264" s="7"/>
      <c r="F264" s="9"/>
      <c r="G264" s="7"/>
      <c r="I264" s="5"/>
      <c r="L264" s="5"/>
      <c r="M264" s="5"/>
    </row>
    <row r="265" spans="5:13">
      <c r="E265" s="7"/>
      <c r="F265" s="9"/>
      <c r="G265" s="7"/>
      <c r="I265" s="5"/>
      <c r="L265" s="5"/>
      <c r="M265" s="5"/>
    </row>
    <row r="266" spans="5:13">
      <c r="E266" s="7"/>
      <c r="F266" s="9"/>
      <c r="G266" s="7"/>
      <c r="I266" s="5"/>
      <c r="L266" s="5"/>
      <c r="M266" s="5"/>
    </row>
    <row r="267" spans="5:13">
      <c r="E267" s="7"/>
      <c r="F267" s="9"/>
      <c r="G267" s="7"/>
      <c r="I267" s="5"/>
      <c r="L267" s="5"/>
      <c r="M267" s="5"/>
    </row>
    <row r="268" spans="5:13">
      <c r="E268" s="7"/>
      <c r="F268" s="9"/>
      <c r="G268" s="7"/>
      <c r="I268" s="5"/>
      <c r="L268" s="5"/>
      <c r="M268" s="5"/>
    </row>
    <row r="269" spans="5:13">
      <c r="E269" s="7"/>
      <c r="F269" s="9"/>
      <c r="G269" s="7"/>
      <c r="I269" s="5"/>
      <c r="L269" s="5"/>
      <c r="M269" s="5"/>
    </row>
    <row r="270" spans="5:13">
      <c r="E270" s="7"/>
      <c r="F270" s="9"/>
      <c r="G270" s="7"/>
      <c r="I270" s="5"/>
      <c r="L270" s="5"/>
      <c r="M270" s="5"/>
    </row>
    <row r="271" spans="5:13">
      <c r="E271" s="7"/>
      <c r="F271" s="9"/>
      <c r="G271" s="7"/>
      <c r="I271" s="5"/>
      <c r="L271" s="5"/>
      <c r="M271" s="5"/>
    </row>
    <row r="272" spans="5:13">
      <c r="E272" s="7"/>
      <c r="F272" s="9"/>
      <c r="G272" s="7"/>
      <c r="I272" s="5"/>
      <c r="L272" s="5"/>
      <c r="M272" s="5"/>
    </row>
    <row r="273" spans="5:13">
      <c r="E273" s="7"/>
      <c r="F273" s="9"/>
      <c r="G273" s="7"/>
      <c r="I273" s="5"/>
      <c r="L273" s="5"/>
      <c r="M273" s="5"/>
    </row>
    <row r="274" spans="5:13">
      <c r="E274" s="7"/>
      <c r="F274" s="9"/>
      <c r="G274" s="7"/>
      <c r="I274" s="5"/>
      <c r="L274" s="5"/>
      <c r="M274" s="5"/>
    </row>
    <row r="275" spans="5:13">
      <c r="E275" s="7"/>
      <c r="F275" s="9"/>
      <c r="G275" s="7"/>
      <c r="I275" s="5"/>
      <c r="L275" s="5"/>
      <c r="M275" s="5"/>
    </row>
    <row r="276" spans="5:13">
      <c r="E276" s="7"/>
      <c r="F276" s="9"/>
      <c r="G276" s="7"/>
      <c r="I276" s="5"/>
      <c r="L276" s="5"/>
      <c r="M276" s="5"/>
    </row>
    <row r="277" spans="5:13">
      <c r="E277" s="7"/>
      <c r="F277" s="9"/>
      <c r="G277" s="7"/>
      <c r="I277" s="5"/>
      <c r="L277" s="5"/>
      <c r="M277" s="5"/>
    </row>
    <row r="278" spans="5:13">
      <c r="E278" s="7"/>
      <c r="F278" s="9"/>
      <c r="G278" s="7"/>
      <c r="I278" s="5"/>
      <c r="L278" s="5"/>
      <c r="M278" s="5"/>
    </row>
    <row r="279" spans="5:13">
      <c r="E279" s="7"/>
      <c r="F279" s="9"/>
      <c r="G279" s="7"/>
      <c r="I279" s="5"/>
      <c r="L279" s="5"/>
      <c r="M279" s="5"/>
    </row>
    <row r="280" spans="5:13">
      <c r="E280" s="7"/>
      <c r="F280" s="9"/>
      <c r="G280" s="7"/>
      <c r="I280" s="5"/>
      <c r="L280" s="5"/>
      <c r="M280" s="5"/>
    </row>
    <row r="281" spans="5:13">
      <c r="E281" s="7"/>
      <c r="F281" s="9"/>
      <c r="G281" s="7"/>
      <c r="I281" s="5"/>
      <c r="L281" s="5"/>
      <c r="M281" s="5"/>
    </row>
    <row r="282" spans="5:13">
      <c r="E282" s="7"/>
      <c r="F282" s="9"/>
      <c r="G282" s="7"/>
      <c r="I282" s="5"/>
      <c r="L282" s="5"/>
      <c r="M282" s="5"/>
    </row>
    <row r="283" spans="5:13">
      <c r="E283" s="7"/>
      <c r="F283" s="9"/>
      <c r="G283" s="7"/>
      <c r="I283" s="5"/>
      <c r="L283" s="5"/>
      <c r="M283" s="5"/>
    </row>
    <row r="284" spans="5:13">
      <c r="E284" s="7"/>
      <c r="F284" s="9"/>
      <c r="G284" s="7"/>
      <c r="I284" s="5"/>
      <c r="L284" s="5"/>
      <c r="M284" s="5"/>
    </row>
    <row r="285" spans="5:13">
      <c r="E285" s="7"/>
      <c r="F285" s="9"/>
      <c r="G285" s="7"/>
      <c r="I285" s="5"/>
      <c r="L285" s="5"/>
      <c r="M285" s="5"/>
    </row>
    <row r="286" spans="5:13">
      <c r="E286" s="7"/>
      <c r="F286" s="9"/>
      <c r="G286" s="7"/>
      <c r="I286" s="5"/>
      <c r="L286" s="5"/>
      <c r="M286" s="5"/>
    </row>
    <row r="287" spans="5:13">
      <c r="E287" s="7"/>
      <c r="F287" s="9"/>
      <c r="G287" s="7"/>
      <c r="I287" s="5"/>
      <c r="L287" s="5"/>
      <c r="M287" s="5"/>
    </row>
    <row r="288" spans="5:13">
      <c r="E288" s="7"/>
      <c r="F288" s="9"/>
      <c r="G288" s="7"/>
      <c r="I288" s="5"/>
      <c r="L288" s="5"/>
      <c r="M288" s="5"/>
    </row>
    <row r="289" spans="5:13">
      <c r="E289" s="7"/>
      <c r="F289" s="9"/>
      <c r="G289" s="7"/>
      <c r="I289" s="5"/>
      <c r="L289" s="5"/>
      <c r="M289" s="5"/>
    </row>
    <row r="290" spans="5:13">
      <c r="E290" s="7"/>
      <c r="F290" s="9"/>
      <c r="G290" s="7"/>
      <c r="I290" s="5"/>
      <c r="L290" s="5"/>
      <c r="M290" s="5"/>
    </row>
    <row r="291" spans="5:13">
      <c r="E291" s="7"/>
      <c r="F291" s="9"/>
      <c r="G291" s="7"/>
      <c r="I291" s="5"/>
      <c r="L291" s="5"/>
      <c r="M291" s="5"/>
    </row>
    <row r="292" spans="5:13">
      <c r="E292" s="7"/>
      <c r="F292" s="9"/>
      <c r="G292" s="7"/>
      <c r="I292" s="5"/>
      <c r="L292" s="5"/>
      <c r="M292" s="5"/>
    </row>
    <row r="293" spans="5:13">
      <c r="E293" s="7"/>
      <c r="F293" s="9"/>
      <c r="G293" s="7"/>
      <c r="I293" s="5"/>
      <c r="L293" s="5"/>
      <c r="M293" s="5"/>
    </row>
    <row r="294" spans="5:13">
      <c r="E294" s="7"/>
      <c r="F294" s="9"/>
      <c r="G294" s="7"/>
      <c r="I294" s="5"/>
      <c r="L294" s="5"/>
      <c r="M294" s="5"/>
    </row>
    <row r="295" spans="5:13">
      <c r="E295" s="7"/>
      <c r="F295" s="9"/>
      <c r="G295" s="7"/>
      <c r="I295" s="5"/>
      <c r="L295" s="5"/>
      <c r="M295" s="5"/>
    </row>
    <row r="296" spans="5:13">
      <c r="E296" s="7"/>
      <c r="F296" s="9"/>
      <c r="G296" s="7"/>
      <c r="I296" s="5"/>
      <c r="L296" s="5"/>
      <c r="M296" s="5"/>
    </row>
    <row r="297" spans="5:13">
      <c r="E297" s="7"/>
      <c r="F297" s="9"/>
      <c r="G297" s="7"/>
      <c r="I297" s="5"/>
      <c r="L297" s="5"/>
      <c r="M297" s="5"/>
    </row>
    <row r="298" spans="5:13">
      <c r="E298" s="7"/>
      <c r="F298" s="9"/>
      <c r="G298" s="7"/>
      <c r="I298" s="5"/>
      <c r="L298" s="5"/>
      <c r="M298" s="5"/>
    </row>
    <row r="299" spans="5:13">
      <c r="E299" s="7"/>
      <c r="F299" s="9"/>
      <c r="G299" s="7"/>
      <c r="I299" s="5"/>
      <c r="L299" s="5"/>
      <c r="M299" s="5"/>
    </row>
    <row r="300" spans="5:13">
      <c r="E300" s="7"/>
      <c r="F300" s="9"/>
      <c r="G300" s="7"/>
      <c r="I300" s="5"/>
      <c r="L300" s="5"/>
      <c r="M300" s="5"/>
    </row>
    <row r="301" spans="5:13">
      <c r="E301" s="7"/>
      <c r="F301" s="9"/>
      <c r="G301" s="7"/>
      <c r="I301" s="5"/>
      <c r="L301" s="5"/>
      <c r="M301" s="5"/>
    </row>
    <row r="302" spans="5:13">
      <c r="E302" s="7"/>
      <c r="F302" s="9"/>
      <c r="G302" s="7"/>
      <c r="I302" s="5"/>
      <c r="L302" s="5"/>
      <c r="M302" s="5"/>
    </row>
    <row r="303" spans="5:13">
      <c r="E303" s="7"/>
      <c r="F303" s="9"/>
      <c r="G303" s="7"/>
      <c r="I303" s="5"/>
      <c r="L303" s="5"/>
      <c r="M303" s="5"/>
    </row>
    <row r="304" spans="5:13">
      <c r="E304" s="7"/>
      <c r="F304" s="9"/>
      <c r="G304" s="7"/>
      <c r="I304" s="5"/>
      <c r="L304" s="5"/>
      <c r="M304" s="5"/>
    </row>
    <row r="305" spans="5:13">
      <c r="E305" s="7"/>
      <c r="F305" s="9"/>
      <c r="G305" s="7"/>
      <c r="I305" s="5"/>
      <c r="L305" s="5"/>
      <c r="M305" s="5"/>
    </row>
    <row r="306" spans="5:13">
      <c r="E306" s="7"/>
      <c r="F306" s="9"/>
      <c r="G306" s="7"/>
      <c r="I306" s="5"/>
      <c r="L306" s="5"/>
      <c r="M306" s="5"/>
    </row>
    <row r="307" spans="5:13">
      <c r="E307" s="7"/>
      <c r="F307" s="9"/>
      <c r="G307" s="7"/>
      <c r="I307" s="5"/>
      <c r="L307" s="5"/>
      <c r="M307" s="5"/>
    </row>
    <row r="308" spans="5:13">
      <c r="E308" s="7"/>
      <c r="F308" s="9"/>
      <c r="G308" s="7"/>
      <c r="I308" s="5"/>
      <c r="L308" s="5"/>
      <c r="M308" s="5"/>
    </row>
    <row r="309" spans="5:13">
      <c r="E309" s="7"/>
      <c r="F309" s="9"/>
      <c r="G309" s="7"/>
      <c r="I309" s="5"/>
      <c r="L309" s="5"/>
      <c r="M309" s="5"/>
    </row>
    <row r="310" spans="5:13">
      <c r="E310" s="7"/>
      <c r="F310" s="9"/>
      <c r="G310" s="7"/>
      <c r="I310" s="5"/>
      <c r="L310" s="5"/>
      <c r="M310" s="5"/>
    </row>
    <row r="311" spans="5:13">
      <c r="E311" s="7"/>
      <c r="F311" s="9"/>
      <c r="G311" s="7"/>
      <c r="I311" s="5"/>
      <c r="L311" s="5"/>
      <c r="M311" s="5"/>
    </row>
    <row r="312" spans="5:13">
      <c r="E312" s="7"/>
      <c r="F312" s="9"/>
      <c r="G312" s="7"/>
      <c r="I312" s="5"/>
      <c r="L312" s="5"/>
      <c r="M312" s="5"/>
    </row>
    <row r="313" spans="5:13">
      <c r="E313" s="7"/>
      <c r="F313" s="9"/>
      <c r="G313" s="7"/>
      <c r="I313" s="5"/>
      <c r="L313" s="5"/>
      <c r="M313" s="5"/>
    </row>
    <row r="314" spans="5:13">
      <c r="E314" s="7"/>
      <c r="F314" s="9"/>
      <c r="G314" s="7"/>
      <c r="I314" s="5"/>
      <c r="L314" s="5"/>
      <c r="M314" s="5"/>
    </row>
    <row r="315" spans="5:13">
      <c r="E315" s="7"/>
      <c r="F315" s="9"/>
      <c r="G315" s="7"/>
      <c r="I315" s="5"/>
      <c r="L315" s="5"/>
      <c r="M315" s="5"/>
    </row>
    <row r="316" spans="5:13">
      <c r="E316" s="7"/>
      <c r="F316" s="9"/>
      <c r="G316" s="7"/>
      <c r="I316" s="5"/>
      <c r="L316" s="5"/>
      <c r="M316" s="5"/>
    </row>
    <row r="317" spans="5:13">
      <c r="E317" s="7"/>
      <c r="F317" s="9"/>
      <c r="G317" s="7"/>
      <c r="I317" s="5"/>
      <c r="L317" s="5"/>
      <c r="M317" s="5"/>
    </row>
    <row r="318" spans="5:13">
      <c r="E318" s="7"/>
      <c r="F318" s="9"/>
      <c r="G318" s="7"/>
      <c r="I318" s="5"/>
      <c r="L318" s="5"/>
      <c r="M318" s="5"/>
    </row>
    <row r="319" spans="5:13">
      <c r="E319" s="7"/>
      <c r="F319" s="9"/>
      <c r="G319" s="7"/>
      <c r="I319" s="5"/>
      <c r="L319" s="5"/>
      <c r="M319" s="5"/>
    </row>
    <row r="320" spans="5:13">
      <c r="E320" s="7"/>
      <c r="F320" s="9"/>
      <c r="G320" s="7"/>
      <c r="I320" s="5"/>
      <c r="L320" s="5"/>
      <c r="M320" s="5"/>
    </row>
    <row r="321" spans="5:13">
      <c r="E321" s="7"/>
      <c r="F321" s="9"/>
      <c r="G321" s="7"/>
      <c r="I321" s="5"/>
      <c r="L321" s="5"/>
      <c r="M321" s="5"/>
    </row>
    <row r="322" spans="5:13">
      <c r="E322" s="7"/>
      <c r="F322" s="9"/>
      <c r="G322" s="7"/>
      <c r="I322" s="5"/>
      <c r="L322" s="5"/>
      <c r="M322" s="5"/>
    </row>
    <row r="323" spans="5:13">
      <c r="E323" s="7"/>
      <c r="F323" s="9"/>
      <c r="G323" s="7"/>
      <c r="I323" s="5"/>
      <c r="L323" s="5"/>
      <c r="M323" s="5"/>
    </row>
    <row r="324" spans="5:13">
      <c r="E324" s="7"/>
      <c r="F324" s="9"/>
      <c r="G324" s="7"/>
      <c r="I324" s="5"/>
      <c r="L324" s="5"/>
      <c r="M324" s="5"/>
    </row>
    <row r="325" spans="5:13">
      <c r="E325" s="7"/>
      <c r="F325" s="9"/>
      <c r="G325" s="7"/>
      <c r="I325" s="5"/>
      <c r="L325" s="5"/>
      <c r="M325" s="5"/>
    </row>
    <row r="326" spans="5:13">
      <c r="E326" s="7"/>
      <c r="F326" s="9"/>
      <c r="G326" s="7"/>
      <c r="I326" s="5"/>
      <c r="L326" s="5"/>
      <c r="M326" s="5"/>
    </row>
    <row r="327" spans="5:13">
      <c r="E327" s="7"/>
      <c r="F327" s="9"/>
      <c r="G327" s="7"/>
      <c r="I327" s="5"/>
      <c r="L327" s="5"/>
      <c r="M327" s="5"/>
    </row>
    <row r="328" spans="5:13">
      <c r="E328" s="7"/>
      <c r="F328" s="9"/>
      <c r="G328" s="7"/>
      <c r="I328" s="5"/>
      <c r="L328" s="5"/>
      <c r="M328" s="5"/>
    </row>
    <row r="329" spans="5:13">
      <c r="E329" s="7"/>
      <c r="F329" s="9"/>
      <c r="G329" s="7"/>
      <c r="I329" s="5"/>
      <c r="L329" s="5"/>
      <c r="M329" s="5"/>
    </row>
    <row r="330" spans="5:13">
      <c r="E330" s="7"/>
      <c r="F330" s="9"/>
      <c r="G330" s="7"/>
      <c r="I330" s="5"/>
      <c r="L330" s="5"/>
      <c r="M330" s="5"/>
    </row>
    <row r="331" spans="5:13">
      <c r="E331" s="7"/>
      <c r="F331" s="9"/>
      <c r="G331" s="7"/>
      <c r="I331" s="5"/>
      <c r="L331" s="5"/>
      <c r="M331" s="5"/>
    </row>
    <row r="332" spans="5:13">
      <c r="E332" s="7"/>
      <c r="F332" s="9"/>
      <c r="G332" s="7"/>
      <c r="I332" s="5"/>
      <c r="L332" s="5"/>
      <c r="M332" s="5"/>
    </row>
    <row r="333" spans="5:13">
      <c r="E333" s="7"/>
      <c r="F333" s="9"/>
      <c r="G333" s="7"/>
      <c r="I333" s="5"/>
      <c r="L333" s="5"/>
      <c r="M333" s="5"/>
    </row>
    <row r="334" spans="5:13">
      <c r="E334" s="7"/>
      <c r="F334" s="9"/>
      <c r="G334" s="7"/>
      <c r="I334" s="5"/>
      <c r="L334" s="5"/>
      <c r="M334" s="5"/>
    </row>
    <row r="335" spans="5:13">
      <c r="E335" s="7"/>
      <c r="F335" s="9"/>
      <c r="G335" s="7"/>
      <c r="I335" s="5"/>
      <c r="L335" s="5"/>
      <c r="M335" s="5"/>
    </row>
    <row r="336" spans="5:13">
      <c r="E336" s="7"/>
      <c r="F336" s="9"/>
      <c r="G336" s="7"/>
      <c r="I336" s="5"/>
      <c r="L336" s="5"/>
      <c r="M336" s="5"/>
    </row>
    <row r="337" spans="5:13">
      <c r="E337" s="7"/>
      <c r="F337" s="9"/>
      <c r="G337" s="7"/>
      <c r="I337" s="5"/>
      <c r="L337" s="5"/>
      <c r="M337" s="5"/>
    </row>
    <row r="338" spans="5:13">
      <c r="E338" s="7"/>
      <c r="F338" s="9"/>
      <c r="G338" s="7"/>
      <c r="I338" s="5"/>
      <c r="L338" s="5"/>
      <c r="M338" s="5"/>
    </row>
    <row r="339" spans="5:13">
      <c r="E339" s="7"/>
      <c r="F339" s="9"/>
      <c r="G339" s="7"/>
      <c r="I339" s="5"/>
      <c r="L339" s="5"/>
      <c r="M339" s="5"/>
    </row>
    <row r="340" spans="5:13">
      <c r="E340" s="7"/>
      <c r="F340" s="9"/>
      <c r="G340" s="7"/>
      <c r="I340" s="5"/>
      <c r="L340" s="5"/>
      <c r="M340" s="5"/>
    </row>
    <row r="341" spans="5:13">
      <c r="E341" s="7"/>
      <c r="F341" s="9"/>
      <c r="G341" s="7"/>
      <c r="I341" s="5"/>
      <c r="L341" s="5"/>
      <c r="M341" s="5"/>
    </row>
    <row r="342" spans="5:13">
      <c r="E342" s="7"/>
      <c r="F342" s="9"/>
      <c r="G342" s="7"/>
      <c r="I342" s="5"/>
      <c r="L342" s="5"/>
      <c r="M342" s="5"/>
    </row>
    <row r="343" spans="5:13">
      <c r="E343" s="7"/>
      <c r="F343" s="9"/>
      <c r="G343" s="7"/>
      <c r="I343" s="5"/>
      <c r="L343" s="5"/>
      <c r="M343" s="5"/>
    </row>
    <row r="344" spans="5:13">
      <c r="E344" s="7"/>
      <c r="F344" s="9"/>
      <c r="G344" s="7"/>
      <c r="I344" s="5"/>
      <c r="L344" s="5"/>
      <c r="M344" s="5"/>
    </row>
    <row r="345" spans="5:13">
      <c r="E345" s="7"/>
      <c r="F345" s="9"/>
      <c r="G345" s="7"/>
      <c r="I345" s="5"/>
      <c r="L345" s="5"/>
      <c r="M345" s="5"/>
    </row>
    <row r="346" spans="5:13">
      <c r="E346" s="7"/>
      <c r="F346" s="9"/>
      <c r="G346" s="7"/>
      <c r="I346" s="5"/>
      <c r="L346" s="5"/>
      <c r="M346" s="5"/>
    </row>
    <row r="347" spans="5:13">
      <c r="E347" s="7"/>
      <c r="F347" s="9"/>
      <c r="G347" s="7"/>
      <c r="I347" s="5"/>
      <c r="L347" s="5"/>
      <c r="M347" s="5"/>
    </row>
    <row r="348" spans="5:13">
      <c r="E348" s="7"/>
      <c r="F348" s="9"/>
      <c r="G348" s="7"/>
      <c r="I348" s="5"/>
      <c r="L348" s="5"/>
      <c r="M348" s="5"/>
    </row>
    <row r="349" spans="5:13">
      <c r="E349" s="7"/>
      <c r="F349" s="9"/>
      <c r="G349" s="7"/>
      <c r="I349" s="5"/>
      <c r="L349" s="5"/>
      <c r="M349" s="5"/>
    </row>
    <row r="350" spans="5:13">
      <c r="E350" s="7"/>
      <c r="F350" s="9"/>
      <c r="G350" s="7"/>
      <c r="I350" s="5"/>
      <c r="L350" s="5"/>
      <c r="M350" s="5"/>
    </row>
    <row r="351" spans="5:13">
      <c r="E351" s="7"/>
      <c r="F351" s="9"/>
      <c r="G351" s="7"/>
      <c r="I351" s="5"/>
      <c r="L351" s="5"/>
      <c r="M351" s="5"/>
    </row>
    <row r="352" spans="5:13">
      <c r="E352" s="7"/>
      <c r="F352" s="9"/>
      <c r="G352" s="7"/>
      <c r="I352" s="5"/>
      <c r="L352" s="5"/>
      <c r="M352" s="5"/>
    </row>
    <row r="353" spans="5:13">
      <c r="E353" s="7"/>
      <c r="F353" s="9"/>
      <c r="G353" s="7"/>
      <c r="I353" s="5"/>
      <c r="L353" s="5"/>
      <c r="M353" s="5"/>
    </row>
    <row r="354" spans="5:13">
      <c r="E354" s="7"/>
      <c r="F354" s="9"/>
      <c r="G354" s="7"/>
      <c r="I354" s="5"/>
      <c r="L354" s="5"/>
      <c r="M354" s="5"/>
    </row>
    <row r="355" spans="5:13">
      <c r="E355" s="7"/>
      <c r="F355" s="9"/>
      <c r="G355" s="7"/>
      <c r="I355" s="5"/>
      <c r="L355" s="5"/>
      <c r="M355" s="5"/>
    </row>
    <row r="356" spans="5:13">
      <c r="E356" s="7"/>
      <c r="F356" s="9"/>
      <c r="G356" s="7"/>
      <c r="I356" s="5"/>
      <c r="L356" s="5"/>
      <c r="M356" s="5"/>
    </row>
    <row r="357" spans="5:13">
      <c r="E357" s="7"/>
      <c r="F357" s="9"/>
      <c r="G357" s="7"/>
      <c r="I357" s="5"/>
      <c r="L357" s="5"/>
      <c r="M357" s="5"/>
    </row>
    <row r="358" spans="5:13">
      <c r="E358" s="7"/>
      <c r="F358" s="9"/>
      <c r="G358" s="7"/>
      <c r="I358" s="5"/>
      <c r="L358" s="5"/>
      <c r="M358" s="5"/>
    </row>
    <row r="359" spans="5:13">
      <c r="E359" s="7"/>
      <c r="F359" s="9"/>
      <c r="G359" s="7"/>
      <c r="I359" s="5"/>
      <c r="L359" s="5"/>
      <c r="M359" s="5"/>
    </row>
    <row r="360" spans="5:13">
      <c r="E360" s="7"/>
      <c r="F360" s="9"/>
      <c r="G360" s="7"/>
      <c r="I360" s="5"/>
      <c r="L360" s="5"/>
      <c r="M360" s="5"/>
    </row>
    <row r="361" spans="5:13">
      <c r="E361" s="7"/>
      <c r="F361" s="9"/>
      <c r="G361" s="7"/>
      <c r="I361" s="5"/>
      <c r="L361" s="5"/>
      <c r="M361" s="5"/>
    </row>
    <row r="362" spans="5:13">
      <c r="E362" s="7"/>
      <c r="F362" s="9"/>
      <c r="G362" s="7"/>
      <c r="I362" s="5"/>
      <c r="L362" s="5"/>
      <c r="M362" s="5"/>
    </row>
    <row r="363" spans="5:13">
      <c r="E363" s="7"/>
      <c r="F363" s="9"/>
      <c r="G363" s="7"/>
      <c r="I363" s="5"/>
      <c r="L363" s="5"/>
      <c r="M363" s="5"/>
    </row>
    <row r="364" spans="5:13">
      <c r="E364" s="7"/>
      <c r="F364" s="9"/>
      <c r="G364" s="7"/>
      <c r="I364" s="5"/>
      <c r="L364" s="5"/>
      <c r="M364" s="5"/>
    </row>
    <row r="365" spans="5:13">
      <c r="E365" s="7"/>
      <c r="F365" s="9"/>
      <c r="G365" s="7"/>
      <c r="I365" s="5"/>
      <c r="L365" s="5"/>
      <c r="M365" s="5"/>
    </row>
    <row r="366" spans="5:13">
      <c r="E366" s="7"/>
      <c r="F366" s="9"/>
      <c r="G366" s="7"/>
      <c r="I366" s="5"/>
      <c r="L366" s="5"/>
      <c r="M366" s="5"/>
    </row>
    <row r="367" spans="5:13">
      <c r="E367" s="7"/>
      <c r="F367" s="9"/>
      <c r="G367" s="7"/>
      <c r="I367" s="5"/>
      <c r="L367" s="5"/>
      <c r="M367" s="5"/>
    </row>
    <row r="368" spans="5:13">
      <c r="E368" s="7"/>
      <c r="F368" s="9"/>
      <c r="G368" s="7"/>
      <c r="I368" s="5"/>
      <c r="L368" s="5"/>
      <c r="M368" s="5"/>
    </row>
    <row r="369" spans="5:13">
      <c r="E369" s="7"/>
      <c r="F369" s="9"/>
      <c r="G369" s="7"/>
      <c r="I369" s="5"/>
      <c r="L369" s="5"/>
      <c r="M369" s="5"/>
    </row>
    <row r="370" spans="5:13">
      <c r="E370" s="7"/>
      <c r="F370" s="9"/>
      <c r="G370" s="7"/>
      <c r="I370" s="5"/>
      <c r="L370" s="5"/>
      <c r="M370" s="5"/>
    </row>
    <row r="371" spans="5:13">
      <c r="E371" s="7"/>
      <c r="F371" s="9"/>
      <c r="G371" s="7"/>
      <c r="I371" s="5"/>
      <c r="L371" s="5"/>
      <c r="M371" s="5"/>
    </row>
    <row r="372" spans="5:13">
      <c r="E372" s="7"/>
      <c r="F372" s="9"/>
      <c r="G372" s="7"/>
      <c r="I372" s="5"/>
      <c r="L372" s="5"/>
      <c r="M372" s="5"/>
    </row>
    <row r="373" spans="5:13">
      <c r="E373" s="7"/>
      <c r="F373" s="9"/>
      <c r="G373" s="7"/>
      <c r="I373" s="5"/>
      <c r="L373" s="5"/>
      <c r="M373" s="5"/>
    </row>
    <row r="374" spans="5:13">
      <c r="E374" s="7"/>
      <c r="F374" s="9"/>
      <c r="G374" s="7"/>
      <c r="I374" s="5"/>
      <c r="L374" s="5"/>
      <c r="M374" s="5"/>
    </row>
    <row r="375" spans="5:13">
      <c r="E375" s="7"/>
      <c r="F375" s="9"/>
      <c r="G375" s="7"/>
      <c r="I375" s="5"/>
      <c r="L375" s="5"/>
      <c r="M375" s="5"/>
    </row>
    <row r="376" spans="5:13">
      <c r="E376" s="7"/>
      <c r="F376" s="9"/>
      <c r="G376" s="7"/>
      <c r="I376" s="5"/>
      <c r="L376" s="5"/>
      <c r="M376" s="5"/>
    </row>
    <row r="377" spans="5:13">
      <c r="E377" s="7"/>
      <c r="F377" s="9"/>
      <c r="G377" s="7"/>
      <c r="I377" s="5"/>
      <c r="L377" s="5"/>
      <c r="M377" s="5"/>
    </row>
    <row r="378" spans="5:13">
      <c r="E378" s="7"/>
      <c r="F378" s="9"/>
      <c r="G378" s="7"/>
      <c r="I378" s="5"/>
      <c r="L378" s="5"/>
      <c r="M378" s="5"/>
    </row>
    <row r="379" spans="5:13">
      <c r="E379" s="7"/>
      <c r="F379" s="9"/>
      <c r="G379" s="7"/>
      <c r="I379" s="5"/>
      <c r="L379" s="5"/>
      <c r="M379" s="5"/>
    </row>
    <row r="380" spans="5:13">
      <c r="E380" s="7"/>
      <c r="F380" s="9"/>
      <c r="G380" s="7"/>
      <c r="I380" s="5"/>
      <c r="L380" s="5"/>
      <c r="M380" s="5"/>
    </row>
    <row r="381" spans="5:13">
      <c r="E381" s="7"/>
      <c r="F381" s="9"/>
      <c r="G381" s="7"/>
      <c r="I381" s="5"/>
      <c r="L381" s="5"/>
      <c r="M381" s="5"/>
    </row>
    <row r="382" spans="5:13">
      <c r="E382" s="7"/>
      <c r="F382" s="9"/>
      <c r="G382" s="7"/>
      <c r="I382" s="5"/>
      <c r="L382" s="5"/>
      <c r="M382" s="5"/>
    </row>
    <row r="383" spans="5:13">
      <c r="E383" s="7"/>
      <c r="F383" s="9"/>
      <c r="G383" s="7"/>
      <c r="I383" s="5"/>
      <c r="L383" s="5"/>
      <c r="M383" s="5"/>
    </row>
    <row r="384" spans="5:13">
      <c r="E384" s="7"/>
      <c r="F384" s="9"/>
      <c r="G384" s="7"/>
      <c r="I384" s="5"/>
      <c r="L384" s="5"/>
      <c r="M384" s="5"/>
    </row>
    <row r="385" spans="5:13">
      <c r="E385" s="7"/>
      <c r="F385" s="9"/>
      <c r="G385" s="7"/>
      <c r="I385" s="5"/>
      <c r="L385" s="5"/>
      <c r="M385" s="5"/>
    </row>
    <row r="386" spans="5:13">
      <c r="E386" s="7"/>
      <c r="F386" s="9"/>
      <c r="G386" s="7"/>
      <c r="I386" s="5"/>
      <c r="L386" s="5"/>
      <c r="M386" s="5"/>
    </row>
    <row r="387" spans="5:13">
      <c r="E387" s="7"/>
      <c r="F387" s="9"/>
      <c r="G387" s="7"/>
      <c r="I387" s="5"/>
      <c r="L387" s="5"/>
      <c r="M387" s="5"/>
    </row>
    <row r="388" spans="5:13">
      <c r="E388" s="7"/>
      <c r="F388" s="9"/>
      <c r="G388" s="7"/>
      <c r="I388" s="5"/>
      <c r="L388" s="5"/>
      <c r="M388" s="5"/>
    </row>
    <row r="389" spans="5:13">
      <c r="E389" s="7"/>
      <c r="F389" s="9"/>
      <c r="G389" s="7"/>
      <c r="I389" s="5"/>
      <c r="L389" s="5"/>
      <c r="M389" s="5"/>
    </row>
    <row r="390" spans="5:13">
      <c r="E390" s="7"/>
      <c r="F390" s="9"/>
      <c r="G390" s="7"/>
      <c r="I390" s="5"/>
      <c r="L390" s="5"/>
      <c r="M390" s="5"/>
    </row>
    <row r="391" spans="5:13">
      <c r="E391" s="7"/>
      <c r="F391" s="9"/>
      <c r="G391" s="7"/>
      <c r="I391" s="5"/>
      <c r="L391" s="5"/>
      <c r="M391" s="5"/>
    </row>
    <row r="392" spans="5:13">
      <c r="E392" s="7"/>
      <c r="F392" s="9"/>
      <c r="G392" s="7"/>
      <c r="I392" s="5"/>
      <c r="L392" s="5"/>
      <c r="M392" s="5"/>
    </row>
    <row r="393" spans="5:13">
      <c r="E393" s="7"/>
      <c r="F393" s="9"/>
      <c r="G393" s="7"/>
      <c r="I393" s="5"/>
      <c r="L393" s="5"/>
      <c r="M393" s="5"/>
    </row>
    <row r="394" spans="5:13">
      <c r="E394" s="7"/>
      <c r="F394" s="9"/>
      <c r="G394" s="7"/>
      <c r="I394" s="5"/>
      <c r="L394" s="5"/>
      <c r="M394" s="5"/>
    </row>
    <row r="395" spans="5:13">
      <c r="E395" s="7"/>
      <c r="F395" s="9"/>
      <c r="G395" s="7"/>
      <c r="I395" s="5"/>
      <c r="L395" s="5"/>
      <c r="M395" s="5"/>
    </row>
    <row r="396" spans="5:13">
      <c r="E396" s="7"/>
      <c r="F396" s="9"/>
      <c r="G396" s="7"/>
      <c r="I396" s="5"/>
      <c r="L396" s="5"/>
      <c r="M396" s="5"/>
    </row>
    <row r="397" spans="5:13">
      <c r="E397" s="7"/>
      <c r="F397" s="9"/>
      <c r="G397" s="7"/>
      <c r="I397" s="5"/>
      <c r="L397" s="5"/>
      <c r="M397" s="5"/>
    </row>
    <row r="398" spans="5:13">
      <c r="E398" s="7"/>
      <c r="F398" s="9"/>
      <c r="G398" s="7"/>
      <c r="I398" s="5"/>
      <c r="L398" s="5"/>
      <c r="M398" s="5"/>
    </row>
    <row r="399" spans="5:13">
      <c r="E399" s="7"/>
      <c r="F399" s="9"/>
      <c r="G399" s="7"/>
      <c r="I399" s="5"/>
      <c r="L399" s="5"/>
      <c r="M399" s="5"/>
    </row>
    <row r="400" spans="5:13">
      <c r="E400" s="7"/>
      <c r="F400" s="9"/>
      <c r="G400" s="7"/>
      <c r="I400" s="5"/>
      <c r="L400" s="5"/>
      <c r="M400" s="5"/>
    </row>
    <row r="401" spans="5:13">
      <c r="E401" s="7"/>
      <c r="F401" s="9"/>
      <c r="G401" s="7"/>
      <c r="I401" s="5"/>
      <c r="L401" s="5"/>
      <c r="M401" s="5"/>
    </row>
    <row r="402" spans="5:13">
      <c r="E402" s="7"/>
      <c r="F402" s="9"/>
      <c r="G402" s="7"/>
      <c r="I402" s="5"/>
      <c r="L402" s="5"/>
      <c r="M402" s="5"/>
    </row>
    <row r="403" spans="5:13">
      <c r="E403" s="7"/>
      <c r="F403" s="9"/>
      <c r="G403" s="7"/>
      <c r="I403" s="5"/>
      <c r="L403" s="5"/>
      <c r="M403" s="5"/>
    </row>
    <row r="404" spans="5:13">
      <c r="E404" s="7"/>
      <c r="F404" s="9"/>
      <c r="G404" s="7"/>
      <c r="I404" s="5"/>
      <c r="L404" s="5"/>
      <c r="M404" s="5"/>
    </row>
    <row r="405" spans="5:13">
      <c r="E405" s="7"/>
      <c r="F405" s="9"/>
      <c r="G405" s="7"/>
      <c r="I405" s="5"/>
      <c r="L405" s="5"/>
      <c r="M405" s="5"/>
    </row>
    <row r="406" spans="5:13">
      <c r="E406" s="7"/>
      <c r="F406" s="9"/>
      <c r="G406" s="7"/>
      <c r="I406" s="5"/>
      <c r="L406" s="5"/>
      <c r="M406" s="5"/>
    </row>
    <row r="407" spans="5:13">
      <c r="E407" s="7"/>
      <c r="F407" s="9"/>
      <c r="G407" s="7"/>
      <c r="I407" s="5"/>
      <c r="L407" s="5"/>
      <c r="M407" s="5"/>
    </row>
    <row r="408" spans="5:13">
      <c r="E408" s="7"/>
      <c r="F408" s="9"/>
      <c r="G408" s="7"/>
      <c r="I408" s="5"/>
      <c r="L408" s="5"/>
      <c r="M408" s="5"/>
    </row>
    <row r="409" spans="5:13">
      <c r="E409" s="7"/>
      <c r="F409" s="9"/>
      <c r="G409" s="7"/>
      <c r="I409" s="5"/>
      <c r="L409" s="5"/>
      <c r="M409" s="5"/>
    </row>
    <row r="410" spans="5:13">
      <c r="E410" s="7"/>
      <c r="F410" s="9"/>
      <c r="G410" s="7"/>
      <c r="I410" s="5"/>
      <c r="L410" s="5"/>
      <c r="M410" s="5"/>
    </row>
    <row r="411" spans="5:13">
      <c r="E411" s="7"/>
      <c r="F411" s="9"/>
      <c r="G411" s="7"/>
      <c r="I411" s="5"/>
      <c r="L411" s="5"/>
      <c r="M411" s="5"/>
    </row>
    <row r="412" spans="5:13">
      <c r="E412" s="7"/>
      <c r="F412" s="9"/>
      <c r="G412" s="7"/>
      <c r="I412" s="5"/>
      <c r="L412" s="5"/>
      <c r="M412" s="5"/>
    </row>
    <row r="413" spans="5:13">
      <c r="E413" s="7"/>
      <c r="F413" s="9"/>
      <c r="G413" s="7"/>
      <c r="I413" s="5"/>
      <c r="L413" s="5"/>
      <c r="M413" s="5"/>
    </row>
    <row r="414" spans="5:13">
      <c r="E414" s="7"/>
      <c r="F414" s="9"/>
      <c r="G414" s="7"/>
      <c r="I414" s="5"/>
      <c r="L414" s="5"/>
      <c r="M414" s="5"/>
    </row>
    <row r="415" spans="5:13">
      <c r="E415" s="7"/>
      <c r="F415" s="9"/>
      <c r="G415" s="7"/>
      <c r="I415" s="5"/>
      <c r="L415" s="5"/>
      <c r="M415" s="5"/>
    </row>
    <row r="416" spans="5:13">
      <c r="E416" s="7"/>
      <c r="F416" s="9"/>
      <c r="G416" s="7"/>
      <c r="I416" s="5"/>
      <c r="L416" s="5"/>
      <c r="M416" s="5"/>
    </row>
    <row r="417" spans="5:13">
      <c r="E417" s="7"/>
      <c r="F417" s="9"/>
      <c r="G417" s="7"/>
      <c r="I417" s="5"/>
      <c r="L417" s="5"/>
      <c r="M417" s="5"/>
    </row>
    <row r="418" spans="5:13">
      <c r="E418" s="7"/>
      <c r="F418" s="9"/>
      <c r="G418" s="7"/>
      <c r="I418" s="5"/>
      <c r="L418" s="5"/>
      <c r="M418" s="5"/>
    </row>
    <row r="419" spans="5:13">
      <c r="E419" s="7"/>
      <c r="F419" s="9"/>
      <c r="G419" s="7"/>
      <c r="I419" s="5"/>
      <c r="L419" s="5"/>
      <c r="M419" s="5"/>
    </row>
    <row r="420" spans="5:13">
      <c r="E420" s="7"/>
      <c r="F420" s="9"/>
      <c r="G420" s="7"/>
      <c r="I420" s="5"/>
      <c r="L420" s="5"/>
      <c r="M420" s="5"/>
    </row>
    <row r="421" spans="5:13">
      <c r="E421" s="7"/>
      <c r="F421" s="9"/>
      <c r="G421" s="7"/>
      <c r="I421" s="5"/>
      <c r="L421" s="5"/>
      <c r="M421" s="5"/>
    </row>
    <row r="422" spans="5:13">
      <c r="E422" s="7"/>
      <c r="F422" s="9"/>
      <c r="G422" s="7"/>
      <c r="I422" s="5"/>
      <c r="L422" s="5"/>
      <c r="M422" s="5"/>
    </row>
    <row r="423" spans="5:13">
      <c r="E423" s="7"/>
      <c r="F423" s="9"/>
      <c r="G423" s="7"/>
      <c r="I423" s="5"/>
      <c r="L423" s="5"/>
      <c r="M423" s="5"/>
    </row>
    <row r="424" spans="5:13">
      <c r="E424" s="7"/>
      <c r="F424" s="9"/>
      <c r="G424" s="7"/>
      <c r="I424" s="5"/>
      <c r="L424" s="5"/>
      <c r="M424" s="5"/>
    </row>
    <row r="425" spans="5:13">
      <c r="E425" s="7"/>
      <c r="F425" s="9"/>
      <c r="G425" s="7"/>
      <c r="I425" s="5"/>
      <c r="L425" s="5"/>
      <c r="M425" s="5"/>
    </row>
    <row r="426" spans="5:13">
      <c r="E426" s="7"/>
      <c r="F426" s="9"/>
      <c r="G426" s="7"/>
      <c r="I426" s="5"/>
      <c r="L426" s="5"/>
      <c r="M426" s="5"/>
    </row>
    <row r="427" spans="5:13">
      <c r="E427" s="7"/>
      <c r="F427" s="9"/>
      <c r="G427" s="7"/>
      <c r="I427" s="5"/>
      <c r="L427" s="5"/>
      <c r="M427" s="5"/>
    </row>
    <row r="428" spans="5:13">
      <c r="E428" s="7"/>
      <c r="F428" s="9"/>
      <c r="G428" s="7"/>
      <c r="I428" s="5"/>
      <c r="L428" s="5"/>
      <c r="M428" s="5"/>
    </row>
    <row r="429" spans="5:13">
      <c r="E429" s="7"/>
      <c r="F429" s="9"/>
      <c r="G429" s="7"/>
      <c r="I429" s="5"/>
      <c r="L429" s="5"/>
      <c r="M429" s="5"/>
    </row>
    <row r="430" spans="5:13">
      <c r="E430" s="7"/>
      <c r="F430" s="9"/>
      <c r="G430" s="7"/>
      <c r="I430" s="5"/>
      <c r="L430" s="5"/>
      <c r="M430" s="5"/>
    </row>
    <row r="431" spans="5:13">
      <c r="E431" s="7"/>
      <c r="F431" s="9"/>
      <c r="G431" s="7"/>
      <c r="I431" s="5"/>
      <c r="L431" s="5"/>
      <c r="M431" s="5"/>
    </row>
    <row r="432" spans="5:13">
      <c r="E432" s="7"/>
      <c r="F432" s="9"/>
      <c r="G432" s="7"/>
      <c r="I432" s="5"/>
      <c r="L432" s="5"/>
      <c r="M432" s="5"/>
    </row>
    <row r="433" spans="5:13">
      <c r="E433" s="7"/>
      <c r="F433" s="9"/>
      <c r="G433" s="7"/>
      <c r="I433" s="5"/>
      <c r="L433" s="5"/>
      <c r="M433" s="5"/>
    </row>
    <row r="434" spans="5:13">
      <c r="E434" s="7"/>
      <c r="F434" s="9"/>
      <c r="G434" s="7"/>
      <c r="I434" s="5"/>
      <c r="L434" s="5"/>
      <c r="M434" s="5"/>
    </row>
    <row r="435" spans="5:13">
      <c r="E435" s="7"/>
      <c r="F435" s="9"/>
      <c r="G435" s="7"/>
      <c r="I435" s="5"/>
      <c r="L435" s="5"/>
      <c r="M435" s="5"/>
    </row>
    <row r="436" spans="5:13">
      <c r="E436" s="7"/>
      <c r="F436" s="9"/>
      <c r="G436" s="7"/>
      <c r="I436" s="5"/>
      <c r="L436" s="5"/>
      <c r="M436" s="5"/>
    </row>
    <row r="437" spans="5:13">
      <c r="E437" s="7"/>
      <c r="F437" s="9"/>
      <c r="G437" s="7"/>
      <c r="I437" s="5"/>
      <c r="L437" s="5"/>
      <c r="M437" s="5"/>
    </row>
    <row r="438" spans="5:13">
      <c r="E438" s="7"/>
      <c r="F438" s="9"/>
      <c r="G438" s="7"/>
      <c r="I438" s="5"/>
      <c r="L438" s="5"/>
      <c r="M438" s="5"/>
    </row>
    <row r="439" spans="5:13">
      <c r="E439" s="7"/>
      <c r="F439" s="9"/>
      <c r="G439" s="7"/>
      <c r="I439" s="5"/>
      <c r="L439" s="5"/>
      <c r="M439" s="5"/>
    </row>
    <row r="440" spans="5:13">
      <c r="E440" s="7"/>
      <c r="F440" s="9"/>
      <c r="G440" s="7"/>
      <c r="I440" s="5"/>
      <c r="L440" s="5"/>
      <c r="M440" s="5"/>
    </row>
    <row r="441" spans="5:13">
      <c r="E441" s="7"/>
      <c r="F441" s="9"/>
      <c r="G441" s="7"/>
      <c r="I441" s="5"/>
      <c r="L441" s="5"/>
      <c r="M441" s="5"/>
    </row>
    <row r="442" spans="5:13">
      <c r="E442" s="7"/>
      <c r="F442" s="9"/>
      <c r="G442" s="7"/>
      <c r="I442" s="5"/>
      <c r="L442" s="5"/>
      <c r="M442" s="5"/>
    </row>
    <row r="443" spans="5:13">
      <c r="E443" s="7"/>
      <c r="F443" s="9"/>
      <c r="G443" s="7"/>
      <c r="I443" s="5"/>
      <c r="L443" s="5"/>
      <c r="M443" s="5"/>
    </row>
    <row r="444" spans="5:13">
      <c r="E444" s="7"/>
      <c r="F444" s="9"/>
      <c r="G444" s="7"/>
      <c r="I444" s="5"/>
      <c r="L444" s="5"/>
      <c r="M444" s="5"/>
    </row>
    <row r="445" spans="5:13">
      <c r="E445" s="7"/>
      <c r="F445" s="9"/>
      <c r="G445" s="7"/>
      <c r="I445" s="5"/>
      <c r="L445" s="5"/>
      <c r="M445" s="5"/>
    </row>
    <row r="446" spans="5:13">
      <c r="E446" s="7"/>
      <c r="F446" s="9"/>
      <c r="G446" s="7"/>
      <c r="I446" s="5"/>
      <c r="L446" s="5"/>
      <c r="M446" s="5"/>
    </row>
    <row r="447" spans="5:13">
      <c r="E447" s="7"/>
      <c r="F447" s="9"/>
      <c r="G447" s="7"/>
      <c r="I447" s="5"/>
      <c r="L447" s="5"/>
      <c r="M447" s="5"/>
    </row>
    <row r="448" spans="5:13">
      <c r="E448" s="7"/>
      <c r="F448" s="9"/>
      <c r="G448" s="7"/>
      <c r="I448" s="5"/>
      <c r="L448" s="5"/>
      <c r="M448" s="5"/>
    </row>
    <row r="449" spans="5:13">
      <c r="E449" s="7"/>
      <c r="F449" s="9"/>
      <c r="G449" s="7"/>
      <c r="I449" s="5"/>
      <c r="L449" s="5"/>
      <c r="M449" s="5"/>
    </row>
    <row r="450" spans="5:13">
      <c r="E450" s="7"/>
      <c r="F450" s="9"/>
      <c r="G450" s="7"/>
      <c r="I450" s="5"/>
      <c r="L450" s="5"/>
      <c r="M450" s="5"/>
    </row>
    <row r="451" spans="5:13">
      <c r="E451" s="7"/>
      <c r="F451" s="9"/>
      <c r="G451" s="7"/>
      <c r="I451" s="5"/>
      <c r="L451" s="5"/>
      <c r="M451" s="5"/>
    </row>
    <row r="452" spans="5:13">
      <c r="E452" s="7"/>
      <c r="F452" s="9"/>
      <c r="G452" s="7"/>
      <c r="I452" s="5"/>
      <c r="L452" s="5"/>
      <c r="M452" s="5"/>
    </row>
    <row r="453" spans="5:13">
      <c r="E453" s="7"/>
      <c r="F453" s="9"/>
      <c r="G453" s="7"/>
      <c r="I453" s="5"/>
      <c r="L453" s="5"/>
      <c r="M453" s="5"/>
    </row>
    <row r="454" spans="5:13">
      <c r="E454" s="7"/>
      <c r="F454" s="9"/>
      <c r="G454" s="7"/>
      <c r="I454" s="5"/>
      <c r="L454" s="5"/>
      <c r="M454" s="5"/>
    </row>
    <row r="455" spans="5:13">
      <c r="E455" s="7"/>
      <c r="F455" s="9"/>
      <c r="G455" s="7"/>
      <c r="I455" s="5"/>
      <c r="L455" s="5"/>
      <c r="M455" s="5"/>
    </row>
    <row r="456" spans="5:13">
      <c r="E456" s="7"/>
      <c r="F456" s="9"/>
      <c r="G456" s="7"/>
      <c r="I456" s="5"/>
      <c r="L456" s="5"/>
      <c r="M456" s="5"/>
    </row>
    <row r="457" spans="5:13">
      <c r="E457" s="7"/>
      <c r="F457" s="9"/>
      <c r="G457" s="7"/>
      <c r="I457" s="5"/>
      <c r="L457" s="5"/>
      <c r="M457" s="5"/>
    </row>
    <row r="458" spans="5:13">
      <c r="E458" s="7"/>
      <c r="F458" s="9"/>
      <c r="G458" s="7"/>
      <c r="I458" s="5"/>
      <c r="L458" s="5"/>
      <c r="M458" s="5"/>
    </row>
    <row r="459" spans="5:13">
      <c r="E459" s="7"/>
      <c r="F459" s="9"/>
      <c r="G459" s="7"/>
      <c r="I459" s="5"/>
      <c r="L459" s="5"/>
      <c r="M459" s="5"/>
    </row>
    <row r="460" spans="5:13">
      <c r="E460" s="7"/>
      <c r="F460" s="9"/>
      <c r="G460" s="7"/>
      <c r="I460" s="5"/>
      <c r="L460" s="5"/>
      <c r="M460" s="5"/>
    </row>
    <row r="461" spans="5:13">
      <c r="E461" s="7"/>
      <c r="F461" s="9"/>
      <c r="G461" s="7"/>
      <c r="I461" s="5"/>
      <c r="L461" s="5"/>
      <c r="M461" s="5"/>
    </row>
    <row r="462" spans="5:13">
      <c r="E462" s="7"/>
      <c r="F462" s="9"/>
      <c r="G462" s="7"/>
      <c r="I462" s="5"/>
      <c r="L462" s="5"/>
      <c r="M462" s="5"/>
    </row>
    <row r="463" spans="5:13">
      <c r="E463" s="7"/>
      <c r="F463" s="9"/>
      <c r="G463" s="7"/>
      <c r="I463" s="5"/>
      <c r="L463" s="5"/>
      <c r="M463" s="5"/>
    </row>
    <row r="464" spans="5:13">
      <c r="E464" s="7"/>
      <c r="F464" s="9"/>
      <c r="G464" s="7"/>
      <c r="I464" s="5"/>
      <c r="L464" s="5"/>
      <c r="M464" s="5"/>
    </row>
    <row r="465" spans="5:13">
      <c r="E465" s="7"/>
      <c r="F465" s="9"/>
      <c r="G465" s="7"/>
      <c r="I465" s="5"/>
      <c r="L465" s="5"/>
      <c r="M465" s="5"/>
    </row>
    <row r="466" spans="5:13">
      <c r="E466" s="7"/>
      <c r="F466" s="9"/>
      <c r="G466" s="7"/>
      <c r="I466" s="5"/>
      <c r="L466" s="5"/>
      <c r="M466" s="5"/>
    </row>
    <row r="467" spans="5:13">
      <c r="E467" s="7"/>
      <c r="F467" s="9"/>
      <c r="G467" s="7"/>
      <c r="I467" s="5"/>
      <c r="L467" s="5"/>
      <c r="M467" s="5"/>
    </row>
    <row r="468" spans="5:13">
      <c r="E468" s="7"/>
      <c r="F468" s="9"/>
      <c r="G468" s="7"/>
      <c r="I468" s="5"/>
      <c r="L468" s="5"/>
      <c r="M468" s="5"/>
    </row>
    <row r="469" spans="5:13">
      <c r="E469" s="7"/>
      <c r="F469" s="9"/>
      <c r="G469" s="7"/>
      <c r="I469" s="5"/>
      <c r="L469" s="5"/>
      <c r="M469" s="5"/>
    </row>
    <row r="470" spans="5:13">
      <c r="E470" s="7"/>
      <c r="F470" s="9"/>
      <c r="G470" s="7"/>
      <c r="I470" s="5"/>
      <c r="L470" s="5"/>
      <c r="M470" s="5"/>
    </row>
    <row r="471" spans="5:13">
      <c r="E471" s="7"/>
      <c r="F471" s="9"/>
      <c r="G471" s="7"/>
      <c r="I471" s="5"/>
      <c r="L471" s="5"/>
      <c r="M471" s="5"/>
    </row>
    <row r="472" spans="5:13">
      <c r="E472" s="7"/>
      <c r="F472" s="9"/>
      <c r="G472" s="7"/>
      <c r="I472" s="5"/>
      <c r="L472" s="5"/>
      <c r="M472" s="5"/>
    </row>
    <row r="473" spans="5:13">
      <c r="E473" s="7"/>
      <c r="F473" s="9"/>
      <c r="G473" s="7"/>
      <c r="I473" s="5"/>
      <c r="L473" s="5"/>
      <c r="M473" s="5"/>
    </row>
    <row r="474" spans="5:13">
      <c r="E474" s="7"/>
      <c r="F474" s="9"/>
      <c r="G474" s="7"/>
      <c r="I474" s="5"/>
      <c r="L474" s="5"/>
      <c r="M474" s="5"/>
    </row>
    <row r="475" spans="5:13">
      <c r="E475" s="7"/>
      <c r="F475" s="9"/>
      <c r="G475" s="7"/>
      <c r="I475" s="5"/>
      <c r="L475" s="5"/>
      <c r="M475" s="5"/>
    </row>
    <row r="476" spans="5:13">
      <c r="E476" s="7"/>
      <c r="F476" s="9"/>
      <c r="G476" s="7"/>
      <c r="I476" s="5"/>
      <c r="L476" s="5"/>
      <c r="M476" s="5"/>
    </row>
    <row r="477" spans="5:13">
      <c r="E477" s="7"/>
      <c r="F477" s="9"/>
      <c r="G477" s="7"/>
      <c r="I477" s="5"/>
      <c r="L477" s="5"/>
      <c r="M477" s="5"/>
    </row>
    <row r="478" spans="5:13">
      <c r="E478" s="7"/>
      <c r="F478" s="9"/>
      <c r="G478" s="7"/>
      <c r="I478" s="5"/>
      <c r="L478" s="5"/>
      <c r="M478" s="5"/>
    </row>
    <row r="479" spans="5:13">
      <c r="E479" s="7"/>
      <c r="F479" s="9"/>
      <c r="G479" s="7"/>
      <c r="I479" s="5"/>
      <c r="L479" s="5"/>
      <c r="M479" s="5"/>
    </row>
    <row r="480" spans="5:13">
      <c r="E480" s="7"/>
      <c r="F480" s="9"/>
      <c r="G480" s="7"/>
      <c r="I480" s="5"/>
      <c r="L480" s="5"/>
      <c r="M480" s="5"/>
    </row>
    <row r="481" spans="5:13">
      <c r="E481" s="7"/>
      <c r="F481" s="9"/>
      <c r="G481" s="7"/>
      <c r="I481" s="5"/>
      <c r="L481" s="5"/>
      <c r="M481" s="5"/>
    </row>
    <row r="482" spans="5:13">
      <c r="E482" s="7"/>
      <c r="F482" s="9"/>
      <c r="G482" s="7"/>
      <c r="I482" s="5"/>
      <c r="L482" s="5"/>
      <c r="M482" s="5"/>
    </row>
    <row r="483" spans="5:13">
      <c r="E483" s="7"/>
      <c r="F483" s="9"/>
      <c r="G483" s="7"/>
      <c r="I483" s="5"/>
      <c r="L483" s="5"/>
      <c r="M483" s="5"/>
    </row>
    <row r="484" spans="5:13">
      <c r="E484" s="7"/>
      <c r="F484" s="9"/>
      <c r="G484" s="7"/>
      <c r="I484" s="5"/>
      <c r="L484" s="5"/>
      <c r="M484" s="5"/>
    </row>
    <row r="485" spans="5:13">
      <c r="E485" s="7"/>
      <c r="F485" s="9"/>
      <c r="G485" s="7"/>
      <c r="I485" s="5"/>
      <c r="L485" s="5"/>
      <c r="M485" s="5"/>
    </row>
    <row r="486" spans="5:13">
      <c r="E486" s="7"/>
      <c r="F486" s="9"/>
      <c r="G486" s="7"/>
      <c r="I486" s="5"/>
      <c r="L486" s="5"/>
      <c r="M486" s="5"/>
    </row>
    <row r="487" spans="5:13">
      <c r="E487" s="7"/>
      <c r="F487" s="9"/>
      <c r="G487" s="7"/>
      <c r="I487" s="5"/>
      <c r="L487" s="5"/>
      <c r="M487" s="5"/>
    </row>
    <row r="488" spans="5:13">
      <c r="E488" s="7"/>
      <c r="F488" s="9"/>
      <c r="G488" s="7"/>
      <c r="I488" s="5"/>
      <c r="L488" s="5"/>
      <c r="M488" s="5"/>
    </row>
    <row r="489" spans="5:13">
      <c r="E489" s="7"/>
      <c r="F489" s="9"/>
      <c r="G489" s="7"/>
      <c r="I489" s="5"/>
      <c r="L489" s="5"/>
      <c r="M489" s="5"/>
    </row>
    <row r="490" spans="5:13">
      <c r="E490" s="7"/>
      <c r="F490" s="9"/>
      <c r="G490" s="7"/>
      <c r="I490" s="5"/>
      <c r="L490" s="5"/>
      <c r="M490" s="5"/>
    </row>
    <row r="491" spans="5:13">
      <c r="E491" s="7"/>
      <c r="F491" s="9"/>
      <c r="G491" s="7"/>
      <c r="I491" s="5"/>
      <c r="L491" s="5"/>
      <c r="M491" s="5"/>
    </row>
    <row r="492" spans="5:13">
      <c r="E492" s="7"/>
      <c r="F492" s="9"/>
      <c r="G492" s="7"/>
      <c r="I492" s="5"/>
      <c r="L492" s="5"/>
      <c r="M492" s="5"/>
    </row>
    <row r="493" spans="5:13">
      <c r="E493" s="7"/>
      <c r="F493" s="9"/>
      <c r="G493" s="7"/>
      <c r="I493" s="5"/>
      <c r="L493" s="5"/>
      <c r="M493" s="5"/>
    </row>
    <row r="494" spans="5:13">
      <c r="E494" s="7"/>
      <c r="F494" s="9"/>
      <c r="G494" s="7"/>
      <c r="I494" s="5"/>
      <c r="L494" s="5"/>
      <c r="M494" s="5"/>
    </row>
    <row r="495" spans="5:13">
      <c r="E495" s="7"/>
      <c r="F495" s="9"/>
      <c r="G495" s="7"/>
      <c r="I495" s="5"/>
      <c r="L495" s="5"/>
      <c r="M495" s="5"/>
    </row>
    <row r="496" spans="5:13">
      <c r="E496" s="7"/>
      <c r="F496" s="9"/>
      <c r="G496" s="7"/>
      <c r="I496" s="5"/>
      <c r="L496" s="5"/>
      <c r="M496" s="5"/>
    </row>
    <row r="497" spans="5:13">
      <c r="E497" s="7"/>
      <c r="F497" s="9"/>
      <c r="G497" s="7"/>
      <c r="I497" s="5"/>
      <c r="L497" s="5"/>
      <c r="M497" s="5"/>
    </row>
    <row r="498" spans="5:13">
      <c r="E498" s="7"/>
      <c r="F498" s="9"/>
      <c r="G498" s="7"/>
      <c r="I498" s="5"/>
      <c r="L498" s="5"/>
      <c r="M498" s="5"/>
    </row>
    <row r="499" spans="5:13">
      <c r="E499" s="7"/>
      <c r="F499" s="9"/>
      <c r="G499" s="7"/>
      <c r="I499" s="5"/>
      <c r="L499" s="5"/>
      <c r="M499" s="5"/>
    </row>
    <row r="500" spans="5:13">
      <c r="E500" s="7"/>
      <c r="F500" s="9"/>
      <c r="G500" s="7"/>
      <c r="I500" s="5"/>
      <c r="L500" s="5"/>
      <c r="M500" s="5"/>
    </row>
  </sheetData>
  <phoneticPr fontId="6" type="noConversion"/>
  <conditionalFormatting sqref="F2:F500">
    <cfRule type="dataBar" priority="3">
      <dataBar>
        <cfvo type="min"/>
        <cfvo type="max"/>
        <color rgb="FF5D3FD3"/>
      </dataBar>
    </cfRule>
    <cfRule type="dataBar" priority="4">
      <dataBar>
        <cfvo type="min"/>
        <cfvo type="max"/>
        <color rgb="FF5D3FD3"/>
      </dataBar>
      <extLst>
        <ext xmlns:x14="http://schemas.microsoft.com/office/spreadsheetml/2009/9/main" uri="{B025F937-C7B1-47D3-B67F-A62EFF666E3E}">
          <x14:id>{BBE2FFF6-7940-9D2A-BFC9-56A6C480C8AC}</x14:id>
        </ext>
      </extLst>
    </cfRule>
  </conditionalFormatting>
  <conditionalFormatting sqref="M2:M500">
    <cfRule type="expression" dxfId="7" priority="1">
      <formula>AND($M2&lt;&gt;"",$M2&lt;TODAY())</formula>
    </cfRule>
    <cfRule type="expression" dxfId="6" priority="2">
      <formula>AND($M2&gt;=TODAY(),$M2&lt;=TODAY()+7)</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BBE2FFF6-7940-9D2A-BFC9-56A6C480C8AC}">
            <x14:dataBar>
              <x14:cfvo type="min"/>
              <x14:cfvo type="max"/>
              <x14:negativeFillColor auto="1"/>
              <x14:axisColor auto="1"/>
            </x14:dataBar>
          </x14:cfRule>
          <xm:sqref>F2:F500</xm:sqref>
        </x14:conditionalFormatting>
      </x14:conditionalFormattings>
    </ext>
    <ext xmlns:x14="http://schemas.microsoft.com/office/spreadsheetml/2009/9/main" uri="{CCE6A557-97BC-4b89-ADB6-D9C93CAAB3DF}">
      <x14:dataValidations xmlns:xm="http://schemas.microsoft.com/office/excel/2006/main" count="4">
        <x14:dataValidation type="list" xr:uid="{00000000-0002-0000-0300-000000000000}">
          <x14:formula1>
            <xm:f>Lists!$D$2:$D$11</xm:f>
          </x14:formula1>
          <xm:sqref>D2:D500</xm:sqref>
        </x14:dataValidation>
        <x14:dataValidation type="list" xr:uid="{00000000-0002-0000-0300-000001000000}">
          <x14:formula1>
            <xm:f>Lists!$B$2:$B$17</xm:f>
          </x14:formula1>
          <xm:sqref>H2:H500</xm:sqref>
        </x14:dataValidation>
        <x14:dataValidation type="list" xr:uid="{00000000-0002-0000-0300-000002000000}">
          <x14:formula1>
            <xm:f>Lists!$F$2:$F$4</xm:f>
          </x14:formula1>
          <xm:sqref>K2:K500</xm:sqref>
        </x14:dataValidation>
        <x14:dataValidation type="list" xr:uid="{00000000-0002-0000-0300-000003000000}">
          <x14:formula1>
            <xm:f>Lists!$A$2:$A$11</xm:f>
          </x14:formula1>
          <xm:sqref>O2:O500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500"/>
  <sheetViews>
    <sheetView topLeftCell="A68" workbookViewId="0">
      <selection activeCell="A2" sqref="A2:A100"/>
    </sheetView>
  </sheetViews>
  <sheetFormatPr defaultRowHeight="14.25"/>
  <cols>
    <col min="1" max="2" width="14" customWidth="1"/>
    <col min="3" max="3" width="28" customWidth="1"/>
    <col min="4" max="6" width="14" customWidth="1"/>
    <col min="7" max="7" width="28" customWidth="1"/>
    <col min="8" max="11" width="14" customWidth="1"/>
    <col min="12" max="12" width="28" customWidth="1"/>
  </cols>
  <sheetData>
    <row r="1" spans="1:12" ht="32.1" customHeight="1">
      <c r="A1" s="2" t="s">
        <v>105</v>
      </c>
      <c r="B1" s="2" t="s">
        <v>106</v>
      </c>
      <c r="C1" s="2" t="s">
        <v>31</v>
      </c>
      <c r="D1" s="2" t="s">
        <v>107</v>
      </c>
      <c r="E1" s="2" t="s">
        <v>108</v>
      </c>
      <c r="F1" s="2" t="s">
        <v>109</v>
      </c>
      <c r="G1" s="2" t="s">
        <v>110</v>
      </c>
      <c r="H1" s="2" t="s">
        <v>111</v>
      </c>
      <c r="I1" s="2" t="s">
        <v>112</v>
      </c>
      <c r="J1" s="2" t="s">
        <v>49</v>
      </c>
      <c r="K1" s="2" t="s">
        <v>113</v>
      </c>
      <c r="L1" s="2" t="s">
        <v>114</v>
      </c>
    </row>
    <row r="2" spans="1:12" ht="28.5">
      <c r="A2" s="3" t="s">
        <v>115</v>
      </c>
      <c r="B2" s="4">
        <v>46205</v>
      </c>
      <c r="C2" s="3" t="s">
        <v>54</v>
      </c>
      <c r="D2" s="3" t="s">
        <v>116</v>
      </c>
      <c r="E2" s="3" t="s">
        <v>117</v>
      </c>
      <c r="F2" s="3" t="s">
        <v>118</v>
      </c>
      <c r="G2" s="3" t="s">
        <v>119</v>
      </c>
      <c r="H2" s="3" t="s">
        <v>120</v>
      </c>
      <c r="I2" s="3" t="s">
        <v>121</v>
      </c>
      <c r="J2" s="4">
        <v>46212</v>
      </c>
      <c r="K2" s="3" t="s">
        <v>67</v>
      </c>
      <c r="L2" s="3" t="s">
        <v>100</v>
      </c>
    </row>
    <row r="3" spans="1:12">
      <c r="A3" s="3" t="s">
        <v>480</v>
      </c>
      <c r="B3" s="4"/>
      <c r="C3" s="3"/>
      <c r="D3" s="3"/>
      <c r="E3" s="3"/>
      <c r="F3" s="3"/>
      <c r="G3" s="3"/>
      <c r="H3" s="3"/>
      <c r="I3" s="3"/>
      <c r="J3" s="4"/>
      <c r="K3" s="3"/>
      <c r="L3" s="3"/>
    </row>
    <row r="4" spans="1:12">
      <c r="A4" s="3" t="s">
        <v>481</v>
      </c>
      <c r="B4" s="4"/>
      <c r="C4" s="3"/>
      <c r="D4" s="3"/>
      <c r="E4" s="3"/>
      <c r="F4" s="3"/>
      <c r="G4" s="3"/>
      <c r="H4" s="3"/>
      <c r="I4" s="3"/>
      <c r="J4" s="4"/>
      <c r="K4" s="3"/>
      <c r="L4" s="3"/>
    </row>
    <row r="5" spans="1:12">
      <c r="A5" s="3" t="s">
        <v>482</v>
      </c>
      <c r="B5" s="4"/>
      <c r="C5" s="3"/>
      <c r="D5" s="3"/>
      <c r="E5" s="3"/>
      <c r="F5" s="3"/>
      <c r="G5" s="3"/>
      <c r="H5" s="3"/>
      <c r="I5" s="3"/>
      <c r="J5" s="4"/>
      <c r="K5" s="3"/>
      <c r="L5" s="3"/>
    </row>
    <row r="6" spans="1:12">
      <c r="A6" s="3" t="s">
        <v>483</v>
      </c>
      <c r="B6" s="4"/>
      <c r="C6" s="3"/>
      <c r="D6" s="3"/>
      <c r="E6" s="3"/>
      <c r="F6" s="3"/>
      <c r="G6" s="3"/>
      <c r="H6" s="3"/>
      <c r="I6" s="3"/>
      <c r="J6" s="4"/>
      <c r="K6" s="3"/>
      <c r="L6" s="3"/>
    </row>
    <row r="7" spans="1:12">
      <c r="A7" s="3" t="s">
        <v>484</v>
      </c>
      <c r="B7" s="4"/>
      <c r="C7" s="3"/>
      <c r="D7" s="3"/>
      <c r="E7" s="3"/>
      <c r="F7" s="3"/>
      <c r="G7" s="3"/>
      <c r="H7" s="3"/>
      <c r="I7" s="3"/>
      <c r="J7" s="4"/>
      <c r="K7" s="3"/>
      <c r="L7" s="3"/>
    </row>
    <row r="8" spans="1:12">
      <c r="A8" s="3" t="s">
        <v>485</v>
      </c>
      <c r="B8" s="4"/>
      <c r="C8" s="3"/>
      <c r="D8" s="3"/>
      <c r="E8" s="3"/>
      <c r="F8" s="3"/>
      <c r="G8" s="3"/>
      <c r="H8" s="3"/>
      <c r="I8" s="3"/>
      <c r="J8" s="4"/>
      <c r="K8" s="3"/>
      <c r="L8" s="3"/>
    </row>
    <row r="9" spans="1:12">
      <c r="A9" s="3" t="s">
        <v>486</v>
      </c>
      <c r="B9" s="4"/>
      <c r="C9" s="3"/>
      <c r="D9" s="3"/>
      <c r="E9" s="3"/>
      <c r="F9" s="3"/>
      <c r="G9" s="3"/>
      <c r="H9" s="3"/>
      <c r="I9" s="3"/>
      <c r="J9" s="4"/>
      <c r="K9" s="3"/>
      <c r="L9" s="3"/>
    </row>
    <row r="10" spans="1:12">
      <c r="A10" s="3" t="s">
        <v>487</v>
      </c>
      <c r="B10" s="4"/>
      <c r="C10" s="3"/>
      <c r="D10" s="3"/>
      <c r="E10" s="3"/>
      <c r="F10" s="3"/>
      <c r="G10" s="3"/>
      <c r="H10" s="3"/>
      <c r="I10" s="3"/>
      <c r="J10" s="4"/>
      <c r="K10" s="3"/>
      <c r="L10" s="3"/>
    </row>
    <row r="11" spans="1:12">
      <c r="A11" s="3" t="s">
        <v>488</v>
      </c>
      <c r="B11" s="4"/>
      <c r="C11" s="3"/>
      <c r="D11" s="3"/>
      <c r="E11" s="3"/>
      <c r="F11" s="3"/>
      <c r="G11" s="3"/>
      <c r="H11" s="3"/>
      <c r="I11" s="3"/>
      <c r="J11" s="4"/>
      <c r="K11" s="3"/>
      <c r="L11" s="3"/>
    </row>
    <row r="12" spans="1:12">
      <c r="A12" s="3" t="s">
        <v>489</v>
      </c>
      <c r="B12" s="4"/>
      <c r="C12" s="3"/>
      <c r="D12" s="3"/>
      <c r="E12" s="3"/>
      <c r="F12" s="3"/>
      <c r="G12" s="3"/>
      <c r="H12" s="3"/>
      <c r="I12" s="3"/>
      <c r="J12" s="4"/>
      <c r="K12" s="3"/>
      <c r="L12" s="3"/>
    </row>
    <row r="13" spans="1:12">
      <c r="A13" s="3" t="s">
        <v>490</v>
      </c>
      <c r="B13" s="4"/>
      <c r="C13" s="3"/>
      <c r="D13" s="3"/>
      <c r="E13" s="3"/>
      <c r="F13" s="3"/>
      <c r="G13" s="3"/>
      <c r="H13" s="3"/>
      <c r="I13" s="3"/>
      <c r="J13" s="4"/>
      <c r="K13" s="3"/>
      <c r="L13" s="3"/>
    </row>
    <row r="14" spans="1:12">
      <c r="A14" s="3" t="s">
        <v>491</v>
      </c>
      <c r="B14" s="4"/>
      <c r="C14" s="3"/>
      <c r="D14" s="3"/>
      <c r="E14" s="3"/>
      <c r="F14" s="3"/>
      <c r="G14" s="3"/>
      <c r="H14" s="3"/>
      <c r="I14" s="3"/>
      <c r="J14" s="4"/>
      <c r="K14" s="3"/>
      <c r="L14" s="3"/>
    </row>
    <row r="15" spans="1:12">
      <c r="A15" s="3" t="s">
        <v>492</v>
      </c>
      <c r="B15" s="4"/>
      <c r="C15" s="3"/>
      <c r="D15" s="3"/>
      <c r="E15" s="3"/>
      <c r="F15" s="3"/>
      <c r="G15" s="3"/>
      <c r="H15" s="3"/>
      <c r="I15" s="3"/>
      <c r="J15" s="4"/>
      <c r="K15" s="3"/>
      <c r="L15" s="3"/>
    </row>
    <row r="16" spans="1:12">
      <c r="A16" s="3" t="s">
        <v>493</v>
      </c>
      <c r="B16" s="4"/>
      <c r="C16" s="3"/>
      <c r="D16" s="3"/>
      <c r="E16" s="3"/>
      <c r="F16" s="3"/>
      <c r="G16" s="3"/>
      <c r="H16" s="3"/>
      <c r="I16" s="3"/>
      <c r="J16" s="4"/>
      <c r="K16" s="3"/>
      <c r="L16" s="3"/>
    </row>
    <row r="17" spans="1:12">
      <c r="A17" s="3" t="s">
        <v>494</v>
      </c>
      <c r="B17" s="4"/>
      <c r="C17" s="3"/>
      <c r="D17" s="3"/>
      <c r="E17" s="3"/>
      <c r="F17" s="3"/>
      <c r="G17" s="3"/>
      <c r="H17" s="3"/>
      <c r="I17" s="3"/>
      <c r="J17" s="4"/>
      <c r="K17" s="3"/>
      <c r="L17" s="3"/>
    </row>
    <row r="18" spans="1:12">
      <c r="A18" s="3" t="s">
        <v>495</v>
      </c>
      <c r="B18" s="4"/>
      <c r="C18" s="3"/>
      <c r="D18" s="3"/>
      <c r="E18" s="3"/>
      <c r="F18" s="3"/>
      <c r="G18" s="3"/>
      <c r="H18" s="3"/>
      <c r="I18" s="3"/>
      <c r="J18" s="4"/>
      <c r="K18" s="3"/>
      <c r="L18" s="3"/>
    </row>
    <row r="19" spans="1:12">
      <c r="A19" s="3" t="s">
        <v>496</v>
      </c>
      <c r="B19" s="4"/>
      <c r="C19" s="3"/>
      <c r="D19" s="3"/>
      <c r="E19" s="3"/>
      <c r="F19" s="3"/>
      <c r="G19" s="3"/>
      <c r="H19" s="3"/>
      <c r="I19" s="3"/>
      <c r="J19" s="4"/>
      <c r="K19" s="3"/>
      <c r="L19" s="3"/>
    </row>
    <row r="20" spans="1:12">
      <c r="A20" s="3" t="s">
        <v>497</v>
      </c>
      <c r="B20" s="4"/>
      <c r="C20" s="3"/>
      <c r="D20" s="3"/>
      <c r="E20" s="3"/>
      <c r="F20" s="3"/>
      <c r="G20" s="3"/>
      <c r="H20" s="3"/>
      <c r="I20" s="3"/>
      <c r="J20" s="4"/>
      <c r="K20" s="3"/>
      <c r="L20" s="3"/>
    </row>
    <row r="21" spans="1:12">
      <c r="A21" s="3" t="s">
        <v>498</v>
      </c>
      <c r="B21" s="4"/>
      <c r="C21" s="3"/>
      <c r="D21" s="3"/>
      <c r="E21" s="3"/>
      <c r="F21" s="3"/>
      <c r="G21" s="3"/>
      <c r="H21" s="3"/>
      <c r="I21" s="3"/>
      <c r="J21" s="4"/>
      <c r="K21" s="3"/>
      <c r="L21" s="3"/>
    </row>
    <row r="22" spans="1:12">
      <c r="A22" s="3" t="s">
        <v>499</v>
      </c>
      <c r="B22" s="4"/>
      <c r="C22" s="3"/>
      <c r="D22" s="3"/>
      <c r="E22" s="3"/>
      <c r="F22" s="3"/>
      <c r="G22" s="3"/>
      <c r="H22" s="3"/>
      <c r="I22" s="3"/>
      <c r="J22" s="4"/>
      <c r="K22" s="3"/>
      <c r="L22" s="3"/>
    </row>
    <row r="23" spans="1:12">
      <c r="A23" s="3" t="s">
        <v>500</v>
      </c>
      <c r="B23" s="4"/>
      <c r="C23" s="3"/>
      <c r="D23" s="3"/>
      <c r="E23" s="3"/>
      <c r="F23" s="3"/>
      <c r="G23" s="3"/>
      <c r="H23" s="3"/>
      <c r="I23" s="3"/>
      <c r="J23" s="4"/>
      <c r="K23" s="3"/>
      <c r="L23" s="3"/>
    </row>
    <row r="24" spans="1:12">
      <c r="A24" s="3" t="s">
        <v>501</v>
      </c>
      <c r="B24" s="4"/>
      <c r="C24" s="3"/>
      <c r="D24" s="3"/>
      <c r="E24" s="3"/>
      <c r="F24" s="3"/>
      <c r="G24" s="3"/>
      <c r="H24" s="3"/>
      <c r="I24" s="3"/>
      <c r="J24" s="4"/>
      <c r="K24" s="3"/>
      <c r="L24" s="3"/>
    </row>
    <row r="25" spans="1:12">
      <c r="A25" s="3" t="s">
        <v>502</v>
      </c>
      <c r="B25" s="4"/>
      <c r="C25" s="3"/>
      <c r="D25" s="3"/>
      <c r="E25" s="3"/>
      <c r="F25" s="3"/>
      <c r="G25" s="3"/>
      <c r="H25" s="3"/>
      <c r="I25" s="3"/>
      <c r="J25" s="4"/>
      <c r="K25" s="3"/>
      <c r="L25" s="3"/>
    </row>
    <row r="26" spans="1:12">
      <c r="A26" s="3" t="s">
        <v>503</v>
      </c>
      <c r="B26" s="4"/>
      <c r="C26" s="3"/>
      <c r="D26" s="3"/>
      <c r="E26" s="3"/>
      <c r="F26" s="3"/>
      <c r="G26" s="3"/>
      <c r="H26" s="3"/>
      <c r="I26" s="3"/>
      <c r="J26" s="4"/>
      <c r="K26" s="3"/>
      <c r="L26" s="3"/>
    </row>
    <row r="27" spans="1:12">
      <c r="A27" s="3" t="s">
        <v>504</v>
      </c>
      <c r="B27" s="4"/>
      <c r="C27" s="3"/>
      <c r="D27" s="3"/>
      <c r="E27" s="3"/>
      <c r="F27" s="3"/>
      <c r="G27" s="3"/>
      <c r="H27" s="3"/>
      <c r="I27" s="3"/>
      <c r="J27" s="4"/>
      <c r="K27" s="3"/>
      <c r="L27" s="3"/>
    </row>
    <row r="28" spans="1:12">
      <c r="A28" s="3" t="s">
        <v>505</v>
      </c>
      <c r="B28" s="4"/>
      <c r="C28" s="3"/>
      <c r="D28" s="3"/>
      <c r="E28" s="3"/>
      <c r="F28" s="3"/>
      <c r="G28" s="3"/>
      <c r="H28" s="3"/>
      <c r="I28" s="3"/>
      <c r="J28" s="4"/>
      <c r="K28" s="3"/>
      <c r="L28" s="3"/>
    </row>
    <row r="29" spans="1:12">
      <c r="A29" s="3" t="s">
        <v>506</v>
      </c>
      <c r="B29" s="4"/>
      <c r="C29" s="3"/>
      <c r="D29" s="3"/>
      <c r="E29" s="3"/>
      <c r="F29" s="3"/>
      <c r="G29" s="3"/>
      <c r="H29" s="3"/>
      <c r="I29" s="3"/>
      <c r="J29" s="4"/>
      <c r="K29" s="3"/>
      <c r="L29" s="3"/>
    </row>
    <row r="30" spans="1:12">
      <c r="A30" s="3" t="s">
        <v>507</v>
      </c>
      <c r="B30" s="4"/>
      <c r="C30" s="3"/>
      <c r="D30" s="3"/>
      <c r="E30" s="3"/>
      <c r="F30" s="3"/>
      <c r="G30" s="3"/>
      <c r="H30" s="3"/>
      <c r="I30" s="3"/>
      <c r="J30" s="4"/>
      <c r="K30" s="3"/>
      <c r="L30" s="3"/>
    </row>
    <row r="31" spans="1:12">
      <c r="A31" s="3" t="s">
        <v>508</v>
      </c>
      <c r="B31" s="4"/>
      <c r="C31" s="3"/>
      <c r="D31" s="3"/>
      <c r="E31" s="3"/>
      <c r="F31" s="3"/>
      <c r="G31" s="3"/>
      <c r="H31" s="3"/>
      <c r="I31" s="3"/>
      <c r="J31" s="4"/>
      <c r="K31" s="3"/>
      <c r="L31" s="3"/>
    </row>
    <row r="32" spans="1:12">
      <c r="A32" s="3" t="s">
        <v>509</v>
      </c>
      <c r="B32" s="4"/>
      <c r="C32" s="3"/>
      <c r="D32" s="3"/>
      <c r="E32" s="3"/>
      <c r="F32" s="3"/>
      <c r="G32" s="3"/>
      <c r="H32" s="3"/>
      <c r="I32" s="3"/>
      <c r="J32" s="4"/>
      <c r="K32" s="3"/>
      <c r="L32" s="3"/>
    </row>
    <row r="33" spans="1:12">
      <c r="A33" s="3" t="s">
        <v>510</v>
      </c>
      <c r="B33" s="4"/>
      <c r="C33" s="3"/>
      <c r="D33" s="3"/>
      <c r="E33" s="3"/>
      <c r="F33" s="3"/>
      <c r="G33" s="3"/>
      <c r="H33" s="3"/>
      <c r="I33" s="3"/>
      <c r="J33" s="4"/>
      <c r="K33" s="3"/>
      <c r="L33" s="3"/>
    </row>
    <row r="34" spans="1:12">
      <c r="A34" s="3" t="s">
        <v>511</v>
      </c>
      <c r="B34" s="4"/>
      <c r="C34" s="3"/>
      <c r="D34" s="3"/>
      <c r="E34" s="3"/>
      <c r="F34" s="3"/>
      <c r="G34" s="3"/>
      <c r="H34" s="3"/>
      <c r="I34" s="3"/>
      <c r="J34" s="4"/>
      <c r="K34" s="3"/>
      <c r="L34" s="3"/>
    </row>
    <row r="35" spans="1:12">
      <c r="A35" s="3" t="s">
        <v>512</v>
      </c>
      <c r="B35" s="4"/>
      <c r="C35" s="3"/>
      <c r="D35" s="3"/>
      <c r="E35" s="3"/>
      <c r="F35" s="3"/>
      <c r="G35" s="3"/>
      <c r="H35" s="3"/>
      <c r="I35" s="3"/>
      <c r="J35" s="4"/>
      <c r="K35" s="3"/>
      <c r="L35" s="3"/>
    </row>
    <row r="36" spans="1:12">
      <c r="A36" s="3" t="s">
        <v>513</v>
      </c>
      <c r="B36" s="4"/>
      <c r="C36" s="3"/>
      <c r="D36" s="3"/>
      <c r="E36" s="3"/>
      <c r="F36" s="3"/>
      <c r="G36" s="3"/>
      <c r="H36" s="3"/>
      <c r="I36" s="3"/>
      <c r="J36" s="4"/>
      <c r="K36" s="3"/>
      <c r="L36" s="3"/>
    </row>
    <row r="37" spans="1:12">
      <c r="A37" s="3" t="s">
        <v>514</v>
      </c>
      <c r="B37" s="4"/>
      <c r="C37" s="3"/>
      <c r="D37" s="3"/>
      <c r="E37" s="3"/>
      <c r="F37" s="3"/>
      <c r="G37" s="3"/>
      <c r="H37" s="3"/>
      <c r="I37" s="3"/>
      <c r="J37" s="4"/>
      <c r="K37" s="3"/>
      <c r="L37" s="3"/>
    </row>
    <row r="38" spans="1:12">
      <c r="A38" s="3" t="s">
        <v>515</v>
      </c>
      <c r="B38" s="4"/>
      <c r="C38" s="3"/>
      <c r="D38" s="3"/>
      <c r="E38" s="3"/>
      <c r="F38" s="3"/>
      <c r="G38" s="3"/>
      <c r="H38" s="3"/>
      <c r="I38" s="3"/>
      <c r="J38" s="4"/>
      <c r="K38" s="3"/>
      <c r="L38" s="3"/>
    </row>
    <row r="39" spans="1:12">
      <c r="A39" s="3" t="s">
        <v>516</v>
      </c>
      <c r="B39" s="4"/>
      <c r="C39" s="3"/>
      <c r="D39" s="3"/>
      <c r="E39" s="3"/>
      <c r="F39" s="3"/>
      <c r="G39" s="3"/>
      <c r="H39" s="3"/>
      <c r="I39" s="3"/>
      <c r="J39" s="4"/>
      <c r="K39" s="3"/>
      <c r="L39" s="3"/>
    </row>
    <row r="40" spans="1:12">
      <c r="A40" s="3" t="s">
        <v>517</v>
      </c>
      <c r="B40" s="4"/>
      <c r="C40" s="3"/>
      <c r="D40" s="3"/>
      <c r="E40" s="3"/>
      <c r="F40" s="3"/>
      <c r="G40" s="3"/>
      <c r="H40" s="3"/>
      <c r="I40" s="3"/>
      <c r="J40" s="4"/>
      <c r="K40" s="3"/>
      <c r="L40" s="3"/>
    </row>
    <row r="41" spans="1:12">
      <c r="A41" s="3" t="s">
        <v>518</v>
      </c>
      <c r="B41" s="4"/>
      <c r="C41" s="3"/>
      <c r="D41" s="3"/>
      <c r="E41" s="3"/>
      <c r="F41" s="3"/>
      <c r="G41" s="3"/>
      <c r="H41" s="3"/>
      <c r="I41" s="3"/>
      <c r="J41" s="4"/>
      <c r="K41" s="3"/>
      <c r="L41" s="3"/>
    </row>
    <row r="42" spans="1:12">
      <c r="A42" s="3" t="s">
        <v>519</v>
      </c>
      <c r="B42" s="4"/>
      <c r="C42" s="3"/>
      <c r="D42" s="3"/>
      <c r="E42" s="3"/>
      <c r="F42" s="3"/>
      <c r="G42" s="3"/>
      <c r="H42" s="3"/>
      <c r="I42" s="3"/>
      <c r="J42" s="4"/>
      <c r="K42" s="3"/>
      <c r="L42" s="3"/>
    </row>
    <row r="43" spans="1:12">
      <c r="A43" s="3" t="s">
        <v>520</v>
      </c>
      <c r="B43" s="4"/>
      <c r="C43" s="3"/>
      <c r="D43" s="3"/>
      <c r="E43" s="3"/>
      <c r="F43" s="3"/>
      <c r="G43" s="3"/>
      <c r="H43" s="3"/>
      <c r="I43" s="3"/>
      <c r="J43" s="4"/>
      <c r="K43" s="3"/>
      <c r="L43" s="3"/>
    </row>
    <row r="44" spans="1:12">
      <c r="A44" s="3" t="s">
        <v>521</v>
      </c>
      <c r="B44" s="4"/>
      <c r="C44" s="3"/>
      <c r="D44" s="3"/>
      <c r="E44" s="3"/>
      <c r="F44" s="3"/>
      <c r="G44" s="3"/>
      <c r="H44" s="3"/>
      <c r="I44" s="3"/>
      <c r="J44" s="4"/>
      <c r="K44" s="3"/>
      <c r="L44" s="3"/>
    </row>
    <row r="45" spans="1:12">
      <c r="A45" s="3" t="s">
        <v>522</v>
      </c>
      <c r="B45" s="4"/>
      <c r="C45" s="3"/>
      <c r="D45" s="3"/>
      <c r="E45" s="3"/>
      <c r="F45" s="3"/>
      <c r="G45" s="3"/>
      <c r="H45" s="3"/>
      <c r="I45" s="3"/>
      <c r="J45" s="4"/>
      <c r="K45" s="3"/>
      <c r="L45" s="3"/>
    </row>
    <row r="46" spans="1:12">
      <c r="A46" s="3" t="s">
        <v>523</v>
      </c>
      <c r="B46" s="4"/>
      <c r="C46" s="3"/>
      <c r="D46" s="3"/>
      <c r="E46" s="3"/>
      <c r="F46" s="3"/>
      <c r="G46" s="3"/>
      <c r="H46" s="3"/>
      <c r="I46" s="3"/>
      <c r="J46" s="4"/>
      <c r="K46" s="3"/>
      <c r="L46" s="3"/>
    </row>
    <row r="47" spans="1:12">
      <c r="A47" s="3" t="s">
        <v>524</v>
      </c>
      <c r="B47" s="4"/>
      <c r="C47" s="3"/>
      <c r="D47" s="3"/>
      <c r="E47" s="3"/>
      <c r="F47" s="3"/>
      <c r="G47" s="3"/>
      <c r="H47" s="3"/>
      <c r="I47" s="3"/>
      <c r="J47" s="4"/>
      <c r="K47" s="3"/>
      <c r="L47" s="3"/>
    </row>
    <row r="48" spans="1:12">
      <c r="A48" s="3" t="s">
        <v>525</v>
      </c>
      <c r="B48" s="4"/>
      <c r="C48" s="3"/>
      <c r="D48" s="3"/>
      <c r="E48" s="3"/>
      <c r="F48" s="3"/>
      <c r="G48" s="3"/>
      <c r="H48" s="3"/>
      <c r="I48" s="3"/>
      <c r="J48" s="4"/>
      <c r="K48" s="3"/>
      <c r="L48" s="3"/>
    </row>
    <row r="49" spans="1:12">
      <c r="A49" s="3" t="s">
        <v>526</v>
      </c>
      <c r="B49" s="4"/>
      <c r="C49" s="3"/>
      <c r="D49" s="3"/>
      <c r="E49" s="3"/>
      <c r="F49" s="3"/>
      <c r="G49" s="3"/>
      <c r="H49" s="3"/>
      <c r="I49" s="3"/>
      <c r="J49" s="4"/>
      <c r="K49" s="3"/>
      <c r="L49" s="3"/>
    </row>
    <row r="50" spans="1:12">
      <c r="A50" s="3" t="s">
        <v>527</v>
      </c>
      <c r="B50" s="4"/>
      <c r="C50" s="3"/>
      <c r="D50" s="3"/>
      <c r="E50" s="3"/>
      <c r="F50" s="3"/>
      <c r="G50" s="3"/>
      <c r="H50" s="3"/>
      <c r="I50" s="3"/>
      <c r="J50" s="4"/>
      <c r="K50" s="3"/>
      <c r="L50" s="3"/>
    </row>
    <row r="51" spans="1:12">
      <c r="A51" s="3" t="s">
        <v>528</v>
      </c>
      <c r="B51" s="4"/>
      <c r="C51" s="3"/>
      <c r="D51" s="3"/>
      <c r="E51" s="3"/>
      <c r="F51" s="3"/>
      <c r="G51" s="3"/>
      <c r="H51" s="3"/>
      <c r="I51" s="3"/>
      <c r="J51" s="4"/>
      <c r="K51" s="3"/>
      <c r="L51" s="3"/>
    </row>
    <row r="52" spans="1:12">
      <c r="A52" s="3" t="s">
        <v>529</v>
      </c>
      <c r="B52" s="4"/>
      <c r="C52" s="3"/>
      <c r="D52" s="3"/>
      <c r="E52" s="3"/>
      <c r="F52" s="3"/>
      <c r="G52" s="3"/>
      <c r="H52" s="3"/>
      <c r="I52" s="3"/>
      <c r="J52" s="4"/>
      <c r="K52" s="3"/>
      <c r="L52" s="3"/>
    </row>
    <row r="53" spans="1:12">
      <c r="A53" s="3" t="s">
        <v>530</v>
      </c>
      <c r="B53" s="4"/>
      <c r="C53" s="3"/>
      <c r="D53" s="3"/>
      <c r="E53" s="3"/>
      <c r="F53" s="3"/>
      <c r="G53" s="3"/>
      <c r="H53" s="3"/>
      <c r="I53" s="3"/>
      <c r="J53" s="4"/>
      <c r="K53" s="3"/>
      <c r="L53" s="3"/>
    </row>
    <row r="54" spans="1:12">
      <c r="A54" s="3" t="s">
        <v>531</v>
      </c>
      <c r="B54" s="4"/>
      <c r="C54" s="3"/>
      <c r="D54" s="3"/>
      <c r="E54" s="3"/>
      <c r="F54" s="3"/>
      <c r="G54" s="3"/>
      <c r="H54" s="3"/>
      <c r="I54" s="3"/>
      <c r="J54" s="4"/>
      <c r="K54" s="3"/>
      <c r="L54" s="3"/>
    </row>
    <row r="55" spans="1:12">
      <c r="A55" s="3" t="s">
        <v>532</v>
      </c>
      <c r="B55" s="4"/>
      <c r="C55" s="3"/>
      <c r="D55" s="3"/>
      <c r="E55" s="3"/>
      <c r="F55" s="3"/>
      <c r="G55" s="3"/>
      <c r="H55" s="3"/>
      <c r="I55" s="3"/>
      <c r="J55" s="4"/>
      <c r="K55" s="3"/>
      <c r="L55" s="3"/>
    </row>
    <row r="56" spans="1:12">
      <c r="A56" s="3" t="s">
        <v>533</v>
      </c>
      <c r="B56" s="4"/>
      <c r="C56" s="3"/>
      <c r="D56" s="3"/>
      <c r="E56" s="3"/>
      <c r="F56" s="3"/>
      <c r="G56" s="3"/>
      <c r="H56" s="3"/>
      <c r="I56" s="3"/>
      <c r="J56" s="4"/>
      <c r="K56" s="3"/>
      <c r="L56" s="3"/>
    </row>
    <row r="57" spans="1:12">
      <c r="A57" s="3" t="s">
        <v>534</v>
      </c>
      <c r="B57" s="4"/>
      <c r="C57" s="3"/>
      <c r="D57" s="3"/>
      <c r="E57" s="3"/>
      <c r="F57" s="3"/>
      <c r="G57" s="3"/>
      <c r="H57" s="3"/>
      <c r="I57" s="3"/>
      <c r="J57" s="4"/>
      <c r="K57" s="3"/>
      <c r="L57" s="3"/>
    </row>
    <row r="58" spans="1:12">
      <c r="A58" s="3" t="s">
        <v>535</v>
      </c>
      <c r="B58" s="4"/>
      <c r="C58" s="3"/>
      <c r="D58" s="3"/>
      <c r="E58" s="3"/>
      <c r="F58" s="3"/>
      <c r="G58" s="3"/>
      <c r="H58" s="3"/>
      <c r="I58" s="3"/>
      <c r="J58" s="4"/>
      <c r="K58" s="3"/>
      <c r="L58" s="3"/>
    </row>
    <row r="59" spans="1:12">
      <c r="A59" s="3" t="s">
        <v>536</v>
      </c>
      <c r="B59" s="4"/>
      <c r="C59" s="3"/>
      <c r="D59" s="3"/>
      <c r="E59" s="3"/>
      <c r="F59" s="3"/>
      <c r="G59" s="3"/>
      <c r="H59" s="3"/>
      <c r="I59" s="3"/>
      <c r="J59" s="4"/>
      <c r="K59" s="3"/>
      <c r="L59" s="3"/>
    </row>
    <row r="60" spans="1:12">
      <c r="A60" s="3" t="s">
        <v>537</v>
      </c>
      <c r="B60" s="4"/>
      <c r="C60" s="3"/>
      <c r="D60" s="3"/>
      <c r="E60" s="3"/>
      <c r="F60" s="3"/>
      <c r="G60" s="3"/>
      <c r="H60" s="3"/>
      <c r="I60" s="3"/>
      <c r="J60" s="4"/>
      <c r="K60" s="3"/>
      <c r="L60" s="3"/>
    </row>
    <row r="61" spans="1:12">
      <c r="A61" s="3" t="s">
        <v>538</v>
      </c>
      <c r="B61" s="4"/>
      <c r="C61" s="3"/>
      <c r="D61" s="3"/>
      <c r="E61" s="3"/>
      <c r="F61" s="3"/>
      <c r="G61" s="3"/>
      <c r="H61" s="3"/>
      <c r="I61" s="3"/>
      <c r="J61" s="4"/>
      <c r="K61" s="3"/>
      <c r="L61" s="3"/>
    </row>
    <row r="62" spans="1:12">
      <c r="A62" s="3" t="s">
        <v>539</v>
      </c>
      <c r="B62" s="4"/>
      <c r="C62" s="3"/>
      <c r="D62" s="3"/>
      <c r="E62" s="3"/>
      <c r="F62" s="3"/>
      <c r="G62" s="3"/>
      <c r="H62" s="3"/>
      <c r="I62" s="3"/>
      <c r="J62" s="4"/>
      <c r="K62" s="3"/>
      <c r="L62" s="3"/>
    </row>
    <row r="63" spans="1:12">
      <c r="A63" s="3" t="s">
        <v>540</v>
      </c>
      <c r="B63" s="4"/>
      <c r="C63" s="3"/>
      <c r="D63" s="3"/>
      <c r="E63" s="3"/>
      <c r="F63" s="3"/>
      <c r="G63" s="3"/>
      <c r="H63" s="3"/>
      <c r="I63" s="3"/>
      <c r="J63" s="4"/>
      <c r="K63" s="3"/>
      <c r="L63" s="3"/>
    </row>
    <row r="64" spans="1:12">
      <c r="A64" s="3" t="s">
        <v>541</v>
      </c>
      <c r="B64" s="4"/>
      <c r="C64" s="3"/>
      <c r="D64" s="3"/>
      <c r="E64" s="3"/>
      <c r="F64" s="3"/>
      <c r="G64" s="3"/>
      <c r="H64" s="3"/>
      <c r="I64" s="3"/>
      <c r="J64" s="4"/>
      <c r="K64" s="3"/>
      <c r="L64" s="3"/>
    </row>
    <row r="65" spans="1:12">
      <c r="A65" s="3" t="s">
        <v>542</v>
      </c>
      <c r="B65" s="4"/>
      <c r="C65" s="3"/>
      <c r="D65" s="3"/>
      <c r="E65" s="3"/>
      <c r="F65" s="3"/>
      <c r="G65" s="3"/>
      <c r="H65" s="3"/>
      <c r="I65" s="3"/>
      <c r="J65" s="4"/>
      <c r="K65" s="3"/>
      <c r="L65" s="3"/>
    </row>
    <row r="66" spans="1:12">
      <c r="A66" s="3" t="s">
        <v>543</v>
      </c>
      <c r="B66" s="4"/>
      <c r="C66" s="3"/>
      <c r="D66" s="3"/>
      <c r="E66" s="3"/>
      <c r="F66" s="3"/>
      <c r="G66" s="3"/>
      <c r="H66" s="3"/>
      <c r="I66" s="3"/>
      <c r="J66" s="4"/>
      <c r="K66" s="3"/>
      <c r="L66" s="3"/>
    </row>
    <row r="67" spans="1:12">
      <c r="A67" s="3" t="s">
        <v>544</v>
      </c>
      <c r="B67" s="4"/>
      <c r="C67" s="3"/>
      <c r="D67" s="3"/>
      <c r="E67" s="3"/>
      <c r="F67" s="3"/>
      <c r="G67" s="3"/>
      <c r="H67" s="3"/>
      <c r="I67" s="3"/>
      <c r="J67" s="4"/>
      <c r="K67" s="3"/>
      <c r="L67" s="3"/>
    </row>
    <row r="68" spans="1:12">
      <c r="A68" s="3" t="s">
        <v>545</v>
      </c>
      <c r="B68" s="4"/>
      <c r="C68" s="3"/>
      <c r="D68" s="3"/>
      <c r="E68" s="3"/>
      <c r="F68" s="3"/>
      <c r="G68" s="3"/>
      <c r="H68" s="3"/>
      <c r="I68" s="3"/>
      <c r="J68" s="4"/>
      <c r="K68" s="3"/>
      <c r="L68" s="3"/>
    </row>
    <row r="69" spans="1:12">
      <c r="A69" s="3" t="s">
        <v>546</v>
      </c>
      <c r="B69" s="4"/>
      <c r="C69" s="3"/>
      <c r="D69" s="3"/>
      <c r="E69" s="3"/>
      <c r="F69" s="3"/>
      <c r="G69" s="3"/>
      <c r="H69" s="3"/>
      <c r="I69" s="3"/>
      <c r="J69" s="4"/>
      <c r="K69" s="3"/>
      <c r="L69" s="3"/>
    </row>
    <row r="70" spans="1:12">
      <c r="A70" s="3" t="s">
        <v>547</v>
      </c>
      <c r="B70" s="4"/>
      <c r="C70" s="3"/>
      <c r="D70" s="3"/>
      <c r="E70" s="3"/>
      <c r="F70" s="3"/>
      <c r="G70" s="3"/>
      <c r="H70" s="3"/>
      <c r="I70" s="3"/>
      <c r="J70" s="4"/>
      <c r="K70" s="3"/>
      <c r="L70" s="3"/>
    </row>
    <row r="71" spans="1:12">
      <c r="A71" s="3" t="s">
        <v>548</v>
      </c>
      <c r="B71" s="4"/>
      <c r="C71" s="3"/>
      <c r="D71" s="3"/>
      <c r="E71" s="3"/>
      <c r="F71" s="3"/>
      <c r="G71" s="3"/>
      <c r="H71" s="3"/>
      <c r="I71" s="3"/>
      <c r="J71" s="4"/>
      <c r="K71" s="3"/>
      <c r="L71" s="3"/>
    </row>
    <row r="72" spans="1:12">
      <c r="A72" s="3" t="s">
        <v>549</v>
      </c>
      <c r="B72" s="4"/>
      <c r="C72" s="3"/>
      <c r="D72" s="3"/>
      <c r="E72" s="3"/>
      <c r="F72" s="3"/>
      <c r="G72" s="3"/>
      <c r="H72" s="3"/>
      <c r="I72" s="3"/>
      <c r="J72" s="4"/>
      <c r="K72" s="3"/>
      <c r="L72" s="3"/>
    </row>
    <row r="73" spans="1:12">
      <c r="A73" s="3" t="s">
        <v>550</v>
      </c>
      <c r="B73" s="4"/>
      <c r="C73" s="3"/>
      <c r="D73" s="3"/>
      <c r="E73" s="3"/>
      <c r="F73" s="3"/>
      <c r="G73" s="3"/>
      <c r="H73" s="3"/>
      <c r="I73" s="3"/>
      <c r="J73" s="4"/>
      <c r="K73" s="3"/>
      <c r="L73" s="3"/>
    </row>
    <row r="74" spans="1:12">
      <c r="A74" s="3" t="s">
        <v>551</v>
      </c>
      <c r="B74" s="4"/>
      <c r="C74" s="3"/>
      <c r="D74" s="3"/>
      <c r="E74" s="3"/>
      <c r="F74" s="3"/>
      <c r="G74" s="3"/>
      <c r="H74" s="3"/>
      <c r="I74" s="3"/>
      <c r="J74" s="4"/>
      <c r="K74" s="3"/>
      <c r="L74" s="3"/>
    </row>
    <row r="75" spans="1:12">
      <c r="A75" s="3" t="s">
        <v>552</v>
      </c>
      <c r="B75" s="4"/>
      <c r="C75" s="3"/>
      <c r="D75" s="3"/>
      <c r="E75" s="3"/>
      <c r="F75" s="3"/>
      <c r="G75" s="3"/>
      <c r="H75" s="3"/>
      <c r="I75" s="3"/>
      <c r="J75" s="4"/>
      <c r="K75" s="3"/>
      <c r="L75" s="3"/>
    </row>
    <row r="76" spans="1:12">
      <c r="A76" s="3" t="s">
        <v>553</v>
      </c>
      <c r="B76" s="4"/>
      <c r="C76" s="3"/>
      <c r="D76" s="3"/>
      <c r="E76" s="3"/>
      <c r="F76" s="3"/>
      <c r="G76" s="3"/>
      <c r="H76" s="3"/>
      <c r="I76" s="3"/>
      <c r="J76" s="4"/>
      <c r="K76" s="3"/>
      <c r="L76" s="3"/>
    </row>
    <row r="77" spans="1:12">
      <c r="A77" s="3" t="s">
        <v>554</v>
      </c>
      <c r="B77" s="4"/>
      <c r="C77" s="3"/>
      <c r="D77" s="3"/>
      <c r="E77" s="3"/>
      <c r="F77" s="3"/>
      <c r="G77" s="3"/>
      <c r="H77" s="3"/>
      <c r="I77" s="3"/>
      <c r="J77" s="4"/>
      <c r="K77" s="3"/>
      <c r="L77" s="3"/>
    </row>
    <row r="78" spans="1:12">
      <c r="A78" s="3" t="s">
        <v>555</v>
      </c>
      <c r="B78" s="4"/>
      <c r="C78" s="3"/>
      <c r="D78" s="3"/>
      <c r="E78" s="3"/>
      <c r="F78" s="3"/>
      <c r="G78" s="3"/>
      <c r="H78" s="3"/>
      <c r="I78" s="3"/>
      <c r="J78" s="4"/>
      <c r="K78" s="3"/>
      <c r="L78" s="3"/>
    </row>
    <row r="79" spans="1:12">
      <c r="A79" s="3" t="s">
        <v>556</v>
      </c>
      <c r="B79" s="4"/>
      <c r="C79" s="3"/>
      <c r="D79" s="3"/>
      <c r="E79" s="3"/>
      <c r="F79" s="3"/>
      <c r="G79" s="3"/>
      <c r="H79" s="3"/>
      <c r="I79" s="3"/>
      <c r="J79" s="4"/>
      <c r="K79" s="3"/>
      <c r="L79" s="3"/>
    </row>
    <row r="80" spans="1:12">
      <c r="A80" s="3" t="s">
        <v>557</v>
      </c>
      <c r="B80" s="4"/>
      <c r="C80" s="3"/>
      <c r="D80" s="3"/>
      <c r="E80" s="3"/>
      <c r="F80" s="3"/>
      <c r="G80" s="3"/>
      <c r="H80" s="3"/>
      <c r="I80" s="3"/>
      <c r="J80" s="4"/>
      <c r="K80" s="3"/>
      <c r="L80" s="3"/>
    </row>
    <row r="81" spans="1:12">
      <c r="A81" s="3" t="s">
        <v>558</v>
      </c>
      <c r="B81" s="4"/>
      <c r="C81" s="3"/>
      <c r="D81" s="3"/>
      <c r="E81" s="3"/>
      <c r="F81" s="3"/>
      <c r="G81" s="3"/>
      <c r="H81" s="3"/>
      <c r="I81" s="3"/>
      <c r="J81" s="4"/>
      <c r="K81" s="3"/>
      <c r="L81" s="3"/>
    </row>
    <row r="82" spans="1:12">
      <c r="A82" s="3" t="s">
        <v>559</v>
      </c>
      <c r="B82" s="4"/>
      <c r="C82" s="3"/>
      <c r="D82" s="3"/>
      <c r="E82" s="3"/>
      <c r="F82" s="3"/>
      <c r="G82" s="3"/>
      <c r="H82" s="3"/>
      <c r="I82" s="3"/>
      <c r="J82" s="4"/>
      <c r="K82" s="3"/>
      <c r="L82" s="3"/>
    </row>
    <row r="83" spans="1:12">
      <c r="A83" s="3" t="s">
        <v>560</v>
      </c>
      <c r="B83" s="4"/>
      <c r="C83" s="3"/>
      <c r="D83" s="3"/>
      <c r="E83" s="3"/>
      <c r="F83" s="3"/>
      <c r="G83" s="3"/>
      <c r="H83" s="3"/>
      <c r="I83" s="3"/>
      <c r="J83" s="4"/>
      <c r="K83" s="3"/>
      <c r="L83" s="3"/>
    </row>
    <row r="84" spans="1:12">
      <c r="A84" s="3" t="s">
        <v>561</v>
      </c>
      <c r="B84" s="4"/>
      <c r="C84" s="3"/>
      <c r="D84" s="3"/>
      <c r="E84" s="3"/>
      <c r="F84" s="3"/>
      <c r="G84" s="3"/>
      <c r="H84" s="3"/>
      <c r="I84" s="3"/>
      <c r="J84" s="4"/>
      <c r="K84" s="3"/>
      <c r="L84" s="3"/>
    </row>
    <row r="85" spans="1:12">
      <c r="A85" s="3" t="s">
        <v>562</v>
      </c>
      <c r="B85" s="4"/>
      <c r="C85" s="3"/>
      <c r="D85" s="3"/>
      <c r="E85" s="3"/>
      <c r="F85" s="3"/>
      <c r="G85" s="3"/>
      <c r="H85" s="3"/>
      <c r="I85" s="3"/>
      <c r="J85" s="4"/>
      <c r="K85" s="3"/>
      <c r="L85" s="3"/>
    </row>
    <row r="86" spans="1:12">
      <c r="A86" s="3" t="s">
        <v>563</v>
      </c>
      <c r="B86" s="4"/>
      <c r="C86" s="3"/>
      <c r="D86" s="3"/>
      <c r="E86" s="3"/>
      <c r="F86" s="3"/>
      <c r="G86" s="3"/>
      <c r="H86" s="3"/>
      <c r="I86" s="3"/>
      <c r="J86" s="4"/>
      <c r="K86" s="3"/>
      <c r="L86" s="3"/>
    </row>
    <row r="87" spans="1:12">
      <c r="A87" s="3" t="s">
        <v>564</v>
      </c>
      <c r="B87" s="4"/>
      <c r="C87" s="3"/>
      <c r="D87" s="3"/>
      <c r="E87" s="3"/>
      <c r="F87" s="3"/>
      <c r="G87" s="3"/>
      <c r="H87" s="3"/>
      <c r="I87" s="3"/>
      <c r="J87" s="4"/>
      <c r="K87" s="3"/>
      <c r="L87" s="3"/>
    </row>
    <row r="88" spans="1:12">
      <c r="A88" s="3" t="s">
        <v>565</v>
      </c>
      <c r="B88" s="4"/>
      <c r="C88" s="3"/>
      <c r="D88" s="3"/>
      <c r="E88" s="3"/>
      <c r="F88" s="3"/>
      <c r="G88" s="3"/>
      <c r="H88" s="3"/>
      <c r="I88" s="3"/>
      <c r="J88" s="4"/>
      <c r="K88" s="3"/>
      <c r="L88" s="3"/>
    </row>
    <row r="89" spans="1:12">
      <c r="A89" s="3" t="s">
        <v>566</v>
      </c>
      <c r="B89" s="4"/>
      <c r="C89" s="3"/>
      <c r="D89" s="3"/>
      <c r="E89" s="3"/>
      <c r="F89" s="3"/>
      <c r="G89" s="3"/>
      <c r="H89" s="3"/>
      <c r="I89" s="3"/>
      <c r="J89" s="4"/>
      <c r="K89" s="3"/>
      <c r="L89" s="3"/>
    </row>
    <row r="90" spans="1:12">
      <c r="A90" s="3" t="s">
        <v>567</v>
      </c>
      <c r="B90" s="4"/>
      <c r="C90" s="3"/>
      <c r="D90" s="3"/>
      <c r="E90" s="3"/>
      <c r="F90" s="3"/>
      <c r="G90" s="3"/>
      <c r="H90" s="3"/>
      <c r="I90" s="3"/>
      <c r="J90" s="4"/>
      <c r="K90" s="3"/>
      <c r="L90" s="3"/>
    </row>
    <row r="91" spans="1:12">
      <c r="A91" s="3" t="s">
        <v>568</v>
      </c>
      <c r="B91" s="4"/>
      <c r="C91" s="3"/>
      <c r="D91" s="3"/>
      <c r="E91" s="3"/>
      <c r="F91" s="3"/>
      <c r="G91" s="3"/>
      <c r="H91" s="3"/>
      <c r="I91" s="3"/>
      <c r="J91" s="4"/>
      <c r="K91" s="3"/>
      <c r="L91" s="3"/>
    </row>
    <row r="92" spans="1:12">
      <c r="A92" s="3" t="s">
        <v>569</v>
      </c>
      <c r="B92" s="4"/>
      <c r="C92" s="3"/>
      <c r="D92" s="3"/>
      <c r="E92" s="3"/>
      <c r="F92" s="3"/>
      <c r="G92" s="3"/>
      <c r="H92" s="3"/>
      <c r="I92" s="3"/>
      <c r="J92" s="4"/>
      <c r="K92" s="3"/>
      <c r="L92" s="3"/>
    </row>
    <row r="93" spans="1:12">
      <c r="A93" s="3" t="s">
        <v>570</v>
      </c>
      <c r="B93" s="4"/>
      <c r="C93" s="3"/>
      <c r="D93" s="3"/>
      <c r="E93" s="3"/>
      <c r="F93" s="3"/>
      <c r="G93" s="3"/>
      <c r="H93" s="3"/>
      <c r="I93" s="3"/>
      <c r="J93" s="4"/>
      <c r="K93" s="3"/>
      <c r="L93" s="3"/>
    </row>
    <row r="94" spans="1:12">
      <c r="A94" s="3" t="s">
        <v>571</v>
      </c>
      <c r="B94" s="4"/>
      <c r="C94" s="3"/>
      <c r="D94" s="3"/>
      <c r="E94" s="3"/>
      <c r="F94" s="3"/>
      <c r="G94" s="3"/>
      <c r="H94" s="3"/>
      <c r="I94" s="3"/>
      <c r="J94" s="4"/>
      <c r="K94" s="3"/>
      <c r="L94" s="3"/>
    </row>
    <row r="95" spans="1:12">
      <c r="A95" s="3" t="s">
        <v>572</v>
      </c>
      <c r="B95" s="4"/>
      <c r="C95" s="3"/>
      <c r="D95" s="3"/>
      <c r="E95" s="3"/>
      <c r="F95" s="3"/>
      <c r="G95" s="3"/>
      <c r="H95" s="3"/>
      <c r="I95" s="3"/>
      <c r="J95" s="4"/>
      <c r="K95" s="3"/>
      <c r="L95" s="3"/>
    </row>
    <row r="96" spans="1:12">
      <c r="A96" s="3" t="s">
        <v>573</v>
      </c>
      <c r="B96" s="4"/>
      <c r="C96" s="3"/>
      <c r="D96" s="3"/>
      <c r="E96" s="3"/>
      <c r="F96" s="3"/>
      <c r="G96" s="3"/>
      <c r="H96" s="3"/>
      <c r="I96" s="3"/>
      <c r="J96" s="4"/>
      <c r="K96" s="3"/>
      <c r="L96" s="3"/>
    </row>
    <row r="97" spans="1:12">
      <c r="A97" s="3" t="s">
        <v>574</v>
      </c>
      <c r="B97" s="4"/>
      <c r="C97" s="3"/>
      <c r="D97" s="3"/>
      <c r="E97" s="3"/>
      <c r="F97" s="3"/>
      <c r="G97" s="3"/>
      <c r="H97" s="3"/>
      <c r="I97" s="3"/>
      <c r="J97" s="4"/>
      <c r="K97" s="3"/>
      <c r="L97" s="3"/>
    </row>
    <row r="98" spans="1:12">
      <c r="A98" s="3" t="s">
        <v>575</v>
      </c>
      <c r="B98" s="4"/>
      <c r="C98" s="3"/>
      <c r="D98" s="3"/>
      <c r="E98" s="3"/>
      <c r="F98" s="3"/>
      <c r="G98" s="3"/>
      <c r="H98" s="3"/>
      <c r="I98" s="3"/>
      <c r="J98" s="4"/>
      <c r="K98" s="3"/>
      <c r="L98" s="3"/>
    </row>
    <row r="99" spans="1:12">
      <c r="A99" s="3" t="s">
        <v>576</v>
      </c>
      <c r="B99" s="4"/>
      <c r="C99" s="3"/>
      <c r="D99" s="3"/>
      <c r="E99" s="3"/>
      <c r="F99" s="3"/>
      <c r="G99" s="3"/>
      <c r="H99" s="3"/>
      <c r="I99" s="3"/>
      <c r="J99" s="4"/>
      <c r="K99" s="3"/>
      <c r="L99" s="3"/>
    </row>
    <row r="100" spans="1:12">
      <c r="A100" s="3" t="s">
        <v>577</v>
      </c>
      <c r="B100" s="4"/>
      <c r="C100" s="3"/>
      <c r="D100" s="3"/>
      <c r="E100" s="3"/>
      <c r="F100" s="3"/>
      <c r="G100" s="3"/>
      <c r="H100" s="3"/>
      <c r="I100" s="3"/>
      <c r="J100" s="4"/>
      <c r="K100" s="3"/>
      <c r="L100" s="3"/>
    </row>
    <row r="101" spans="1:12">
      <c r="A101" s="3"/>
      <c r="B101" s="4"/>
      <c r="C101" s="3"/>
      <c r="D101" s="3"/>
      <c r="E101" s="3"/>
      <c r="F101" s="3"/>
      <c r="G101" s="3"/>
      <c r="H101" s="3"/>
      <c r="I101" s="3"/>
      <c r="J101" s="4"/>
      <c r="K101" s="3"/>
      <c r="L101" s="3"/>
    </row>
    <row r="102" spans="1:12">
      <c r="A102" s="3"/>
      <c r="B102" s="4"/>
      <c r="C102" s="3"/>
      <c r="D102" s="3"/>
      <c r="E102" s="3"/>
      <c r="F102" s="3"/>
      <c r="G102" s="3"/>
      <c r="H102" s="3"/>
      <c r="I102" s="3"/>
      <c r="J102" s="4"/>
      <c r="K102" s="3"/>
      <c r="L102" s="3"/>
    </row>
    <row r="103" spans="1:12">
      <c r="A103" s="3"/>
      <c r="B103" s="4"/>
      <c r="C103" s="3"/>
      <c r="D103" s="3"/>
      <c r="E103" s="3"/>
      <c r="F103" s="3"/>
      <c r="G103" s="3"/>
      <c r="H103" s="3"/>
      <c r="I103" s="3"/>
      <c r="J103" s="4"/>
      <c r="K103" s="3"/>
      <c r="L103" s="3"/>
    </row>
    <row r="104" spans="1:12">
      <c r="A104" s="3"/>
      <c r="B104" s="4"/>
      <c r="C104" s="3"/>
      <c r="D104" s="3"/>
      <c r="E104" s="3"/>
      <c r="F104" s="3"/>
      <c r="G104" s="3"/>
      <c r="H104" s="3"/>
      <c r="I104" s="3"/>
      <c r="J104" s="4"/>
      <c r="K104" s="3"/>
      <c r="L104" s="3"/>
    </row>
    <row r="105" spans="1:12">
      <c r="A105" s="3"/>
      <c r="B105" s="4"/>
      <c r="C105" s="3"/>
      <c r="D105" s="3"/>
      <c r="E105" s="3"/>
      <c r="F105" s="3"/>
      <c r="G105" s="3"/>
      <c r="H105" s="3"/>
      <c r="I105" s="3"/>
      <c r="J105" s="4"/>
      <c r="K105" s="3"/>
      <c r="L105" s="3"/>
    </row>
    <row r="106" spans="1:12">
      <c r="A106" s="3"/>
      <c r="B106" s="4"/>
      <c r="C106" s="3"/>
      <c r="D106" s="3"/>
      <c r="E106" s="3"/>
      <c r="F106" s="3"/>
      <c r="G106" s="3"/>
      <c r="H106" s="3"/>
      <c r="I106" s="3"/>
      <c r="J106" s="4"/>
      <c r="K106" s="3"/>
      <c r="L106" s="3"/>
    </row>
    <row r="107" spans="1:12">
      <c r="A107" s="3"/>
      <c r="B107" s="4"/>
      <c r="C107" s="3"/>
      <c r="D107" s="3"/>
      <c r="E107" s="3"/>
      <c r="F107" s="3"/>
      <c r="G107" s="3"/>
      <c r="H107" s="3"/>
      <c r="I107" s="3"/>
      <c r="J107" s="4"/>
      <c r="K107" s="3"/>
      <c r="L107" s="3"/>
    </row>
    <row r="108" spans="1:12">
      <c r="A108" s="3"/>
      <c r="B108" s="4"/>
      <c r="C108" s="3"/>
      <c r="D108" s="3"/>
      <c r="E108" s="3"/>
      <c r="F108" s="3"/>
      <c r="G108" s="3"/>
      <c r="H108" s="3"/>
      <c r="I108" s="3"/>
      <c r="J108" s="4"/>
      <c r="K108" s="3"/>
      <c r="L108" s="3"/>
    </row>
    <row r="109" spans="1:12">
      <c r="A109" s="3"/>
      <c r="B109" s="4"/>
      <c r="C109" s="3"/>
      <c r="D109" s="3"/>
      <c r="E109" s="3"/>
      <c r="F109" s="3"/>
      <c r="G109" s="3"/>
      <c r="H109" s="3"/>
      <c r="I109" s="3"/>
      <c r="J109" s="4"/>
      <c r="K109" s="3"/>
      <c r="L109" s="3"/>
    </row>
    <row r="110" spans="1:12">
      <c r="A110" s="3"/>
      <c r="B110" s="4"/>
      <c r="C110" s="3"/>
      <c r="D110" s="3"/>
      <c r="E110" s="3"/>
      <c r="F110" s="3"/>
      <c r="G110" s="3"/>
      <c r="H110" s="3"/>
      <c r="I110" s="3"/>
      <c r="J110" s="4"/>
      <c r="K110" s="3"/>
      <c r="L110" s="3"/>
    </row>
    <row r="111" spans="1:12">
      <c r="A111" s="3"/>
      <c r="B111" s="4"/>
      <c r="C111" s="3"/>
      <c r="D111" s="3"/>
      <c r="E111" s="3"/>
      <c r="F111" s="3"/>
      <c r="G111" s="3"/>
      <c r="H111" s="3"/>
      <c r="I111" s="3"/>
      <c r="J111" s="4"/>
      <c r="K111" s="3"/>
      <c r="L111" s="3"/>
    </row>
    <row r="112" spans="1:12">
      <c r="A112" s="3"/>
      <c r="B112" s="4"/>
      <c r="C112" s="3"/>
      <c r="D112" s="3"/>
      <c r="E112" s="3"/>
      <c r="F112" s="3"/>
      <c r="G112" s="3"/>
      <c r="H112" s="3"/>
      <c r="I112" s="3"/>
      <c r="J112" s="4"/>
      <c r="K112" s="3"/>
      <c r="L112" s="3"/>
    </row>
    <row r="113" spans="1:12">
      <c r="A113" s="3"/>
      <c r="B113" s="4"/>
      <c r="C113" s="3"/>
      <c r="D113" s="3"/>
      <c r="E113" s="3"/>
      <c r="F113" s="3"/>
      <c r="G113" s="3"/>
      <c r="H113" s="3"/>
      <c r="I113" s="3"/>
      <c r="J113" s="4"/>
      <c r="K113" s="3"/>
      <c r="L113" s="3"/>
    </row>
    <row r="114" spans="1:12">
      <c r="A114" s="3"/>
      <c r="B114" s="4"/>
      <c r="C114" s="3"/>
      <c r="D114" s="3"/>
      <c r="E114" s="3"/>
      <c r="F114" s="3"/>
      <c r="G114" s="3"/>
      <c r="H114" s="3"/>
      <c r="I114" s="3"/>
      <c r="J114" s="4"/>
      <c r="K114" s="3"/>
      <c r="L114" s="3"/>
    </row>
    <row r="115" spans="1:12">
      <c r="A115" s="3"/>
      <c r="B115" s="4"/>
      <c r="C115" s="3"/>
      <c r="D115" s="3"/>
      <c r="E115" s="3"/>
      <c r="F115" s="3"/>
      <c r="G115" s="3"/>
      <c r="H115" s="3"/>
      <c r="I115" s="3"/>
      <c r="J115" s="4"/>
      <c r="K115" s="3"/>
      <c r="L115" s="3"/>
    </row>
    <row r="116" spans="1:12">
      <c r="A116" s="3"/>
      <c r="B116" s="4"/>
      <c r="C116" s="3"/>
      <c r="D116" s="3"/>
      <c r="E116" s="3"/>
      <c r="F116" s="3"/>
      <c r="G116" s="3"/>
      <c r="H116" s="3"/>
      <c r="I116" s="3"/>
      <c r="J116" s="4"/>
      <c r="K116" s="3"/>
      <c r="L116" s="3"/>
    </row>
    <row r="117" spans="1:12">
      <c r="A117" s="3"/>
      <c r="B117" s="4"/>
      <c r="C117" s="3"/>
      <c r="D117" s="3"/>
      <c r="E117" s="3"/>
      <c r="F117" s="3"/>
      <c r="G117" s="3"/>
      <c r="H117" s="3"/>
      <c r="I117" s="3"/>
      <c r="J117" s="4"/>
      <c r="K117" s="3"/>
      <c r="L117" s="3"/>
    </row>
    <row r="118" spans="1:12">
      <c r="A118" s="3"/>
      <c r="B118" s="4"/>
      <c r="C118" s="3"/>
      <c r="D118" s="3"/>
      <c r="E118" s="3"/>
      <c r="F118" s="3"/>
      <c r="G118" s="3"/>
      <c r="H118" s="3"/>
      <c r="I118" s="3"/>
      <c r="J118" s="4"/>
      <c r="K118" s="3"/>
      <c r="L118" s="3"/>
    </row>
    <row r="119" spans="1:12">
      <c r="A119" s="3"/>
      <c r="B119" s="4"/>
      <c r="C119" s="3"/>
      <c r="D119" s="3"/>
      <c r="E119" s="3"/>
      <c r="F119" s="3"/>
      <c r="G119" s="3"/>
      <c r="H119" s="3"/>
      <c r="I119" s="3"/>
      <c r="J119" s="4"/>
      <c r="K119" s="3"/>
      <c r="L119" s="3"/>
    </row>
    <row r="120" spans="1:12">
      <c r="A120" s="3"/>
      <c r="B120" s="4"/>
      <c r="C120" s="3"/>
      <c r="D120" s="3"/>
      <c r="E120" s="3"/>
      <c r="F120" s="3"/>
      <c r="G120" s="3"/>
      <c r="H120" s="3"/>
      <c r="I120" s="3"/>
      <c r="J120" s="4"/>
      <c r="K120" s="3"/>
      <c r="L120" s="3"/>
    </row>
    <row r="121" spans="1:12">
      <c r="A121" s="3"/>
      <c r="B121" s="4"/>
      <c r="C121" s="3"/>
      <c r="D121" s="3"/>
      <c r="E121" s="3"/>
      <c r="F121" s="3"/>
      <c r="G121" s="3"/>
      <c r="H121" s="3"/>
      <c r="I121" s="3"/>
      <c r="J121" s="4"/>
      <c r="K121" s="3"/>
      <c r="L121" s="3"/>
    </row>
    <row r="122" spans="1:12">
      <c r="A122" s="3"/>
      <c r="B122" s="4"/>
      <c r="C122" s="3"/>
      <c r="D122" s="3"/>
      <c r="E122" s="3"/>
      <c r="F122" s="3"/>
      <c r="G122" s="3"/>
      <c r="H122" s="3"/>
      <c r="I122" s="3"/>
      <c r="J122" s="4"/>
      <c r="K122" s="3"/>
      <c r="L122" s="3"/>
    </row>
    <row r="123" spans="1:12">
      <c r="A123" s="3"/>
      <c r="B123" s="4"/>
      <c r="C123" s="3"/>
      <c r="D123" s="3"/>
      <c r="E123" s="3"/>
      <c r="F123" s="3"/>
      <c r="G123" s="3"/>
      <c r="H123" s="3"/>
      <c r="I123" s="3"/>
      <c r="J123" s="4"/>
      <c r="K123" s="3"/>
      <c r="L123" s="3"/>
    </row>
    <row r="124" spans="1:12">
      <c r="A124" s="3"/>
      <c r="B124" s="4"/>
      <c r="C124" s="3"/>
      <c r="D124" s="3"/>
      <c r="E124" s="3"/>
      <c r="F124" s="3"/>
      <c r="G124" s="3"/>
      <c r="H124" s="3"/>
      <c r="I124" s="3"/>
      <c r="J124" s="4"/>
      <c r="K124" s="3"/>
      <c r="L124" s="3"/>
    </row>
    <row r="125" spans="1:12">
      <c r="A125" s="3"/>
      <c r="B125" s="4"/>
      <c r="C125" s="3"/>
      <c r="D125" s="3"/>
      <c r="E125" s="3"/>
      <c r="F125" s="3"/>
      <c r="G125" s="3"/>
      <c r="H125" s="3"/>
      <c r="I125" s="3"/>
      <c r="J125" s="4"/>
      <c r="K125" s="3"/>
      <c r="L125" s="3"/>
    </row>
    <row r="126" spans="1:12">
      <c r="A126" s="3"/>
      <c r="B126" s="4"/>
      <c r="C126" s="3"/>
      <c r="D126" s="3"/>
      <c r="E126" s="3"/>
      <c r="F126" s="3"/>
      <c r="G126" s="3"/>
      <c r="H126" s="3"/>
      <c r="I126" s="3"/>
      <c r="J126" s="4"/>
      <c r="K126" s="3"/>
      <c r="L126" s="3"/>
    </row>
    <row r="127" spans="1:12">
      <c r="A127" s="3"/>
      <c r="B127" s="4"/>
      <c r="C127" s="3"/>
      <c r="D127" s="3"/>
      <c r="E127" s="3"/>
      <c r="F127" s="3"/>
      <c r="G127" s="3"/>
      <c r="H127" s="3"/>
      <c r="I127" s="3"/>
      <c r="J127" s="4"/>
      <c r="K127" s="3"/>
      <c r="L127" s="3"/>
    </row>
    <row r="128" spans="1:12">
      <c r="A128" s="3"/>
      <c r="B128" s="4"/>
      <c r="C128" s="3"/>
      <c r="D128" s="3"/>
      <c r="E128" s="3"/>
      <c r="F128" s="3"/>
      <c r="G128" s="3"/>
      <c r="H128" s="3"/>
      <c r="I128" s="3"/>
      <c r="J128" s="4"/>
      <c r="K128" s="3"/>
      <c r="L128" s="3"/>
    </row>
    <row r="129" spans="1:12">
      <c r="A129" s="3"/>
      <c r="B129" s="4"/>
      <c r="C129" s="3"/>
      <c r="D129" s="3"/>
      <c r="E129" s="3"/>
      <c r="F129" s="3"/>
      <c r="G129" s="3"/>
      <c r="H129" s="3"/>
      <c r="I129" s="3"/>
      <c r="J129" s="4"/>
      <c r="K129" s="3"/>
      <c r="L129" s="3"/>
    </row>
    <row r="130" spans="1:12">
      <c r="A130" s="3"/>
      <c r="B130" s="4"/>
      <c r="C130" s="3"/>
      <c r="D130" s="3"/>
      <c r="E130" s="3"/>
      <c r="F130" s="3"/>
      <c r="G130" s="3"/>
      <c r="H130" s="3"/>
      <c r="I130" s="3"/>
      <c r="J130" s="4"/>
      <c r="K130" s="3"/>
      <c r="L130" s="3"/>
    </row>
    <row r="131" spans="1:12">
      <c r="A131" s="3"/>
      <c r="B131" s="4"/>
      <c r="C131" s="3"/>
      <c r="D131" s="3"/>
      <c r="E131" s="3"/>
      <c r="F131" s="3"/>
      <c r="G131" s="3"/>
      <c r="H131" s="3"/>
      <c r="I131" s="3"/>
      <c r="J131" s="4"/>
      <c r="K131" s="3"/>
      <c r="L131" s="3"/>
    </row>
    <row r="132" spans="1:12">
      <c r="A132" s="3"/>
      <c r="B132" s="4"/>
      <c r="C132" s="3"/>
      <c r="D132" s="3"/>
      <c r="E132" s="3"/>
      <c r="F132" s="3"/>
      <c r="G132" s="3"/>
      <c r="H132" s="3"/>
      <c r="I132" s="3"/>
      <c r="J132" s="4"/>
      <c r="K132" s="3"/>
      <c r="L132" s="3"/>
    </row>
    <row r="133" spans="1:12">
      <c r="A133" s="3"/>
      <c r="B133" s="4"/>
      <c r="C133" s="3"/>
      <c r="D133" s="3"/>
      <c r="E133" s="3"/>
      <c r="F133" s="3"/>
      <c r="G133" s="3"/>
      <c r="H133" s="3"/>
      <c r="I133" s="3"/>
      <c r="J133" s="4"/>
      <c r="K133" s="3"/>
      <c r="L133" s="3"/>
    </row>
    <row r="134" spans="1:12">
      <c r="A134" s="3"/>
      <c r="B134" s="4"/>
      <c r="C134" s="3"/>
      <c r="D134" s="3"/>
      <c r="E134" s="3"/>
      <c r="F134" s="3"/>
      <c r="G134" s="3"/>
      <c r="H134" s="3"/>
      <c r="I134" s="3"/>
      <c r="J134" s="4"/>
      <c r="K134" s="3"/>
      <c r="L134" s="3"/>
    </row>
    <row r="135" spans="1:12">
      <c r="A135" s="3"/>
      <c r="B135" s="4"/>
      <c r="C135" s="3"/>
      <c r="D135" s="3"/>
      <c r="E135" s="3"/>
      <c r="F135" s="3"/>
      <c r="G135" s="3"/>
      <c r="H135" s="3"/>
      <c r="I135" s="3"/>
      <c r="J135" s="4"/>
      <c r="K135" s="3"/>
      <c r="L135" s="3"/>
    </row>
    <row r="136" spans="1:12">
      <c r="A136" s="3"/>
      <c r="B136" s="4"/>
      <c r="C136" s="3"/>
      <c r="D136" s="3"/>
      <c r="E136" s="3"/>
      <c r="F136" s="3"/>
      <c r="G136" s="3"/>
      <c r="H136" s="3"/>
      <c r="I136" s="3"/>
      <c r="J136" s="4"/>
      <c r="K136" s="3"/>
      <c r="L136" s="3"/>
    </row>
    <row r="137" spans="1:12">
      <c r="A137" s="3"/>
      <c r="B137" s="4"/>
      <c r="C137" s="3"/>
      <c r="D137" s="3"/>
      <c r="E137" s="3"/>
      <c r="F137" s="3"/>
      <c r="G137" s="3"/>
      <c r="H137" s="3"/>
      <c r="I137" s="3"/>
      <c r="J137" s="4"/>
      <c r="K137" s="3"/>
      <c r="L137" s="3"/>
    </row>
    <row r="138" spans="1:12">
      <c r="A138" s="3"/>
      <c r="B138" s="4"/>
      <c r="C138" s="3"/>
      <c r="D138" s="3"/>
      <c r="E138" s="3"/>
      <c r="F138" s="3"/>
      <c r="G138" s="3"/>
      <c r="H138" s="3"/>
      <c r="I138" s="3"/>
      <c r="J138" s="4"/>
      <c r="K138" s="3"/>
      <c r="L138" s="3"/>
    </row>
    <row r="139" spans="1:12">
      <c r="A139" s="3"/>
      <c r="B139" s="4"/>
      <c r="C139" s="3"/>
      <c r="D139" s="3"/>
      <c r="E139" s="3"/>
      <c r="F139" s="3"/>
      <c r="G139" s="3"/>
      <c r="H139" s="3"/>
      <c r="I139" s="3"/>
      <c r="J139" s="4"/>
      <c r="K139" s="3"/>
      <c r="L139" s="3"/>
    </row>
    <row r="140" spans="1:12">
      <c r="A140" s="3"/>
      <c r="B140" s="4"/>
      <c r="C140" s="3"/>
      <c r="D140" s="3"/>
      <c r="E140" s="3"/>
      <c r="F140" s="3"/>
      <c r="G140" s="3"/>
      <c r="H140" s="3"/>
      <c r="I140" s="3"/>
      <c r="J140" s="4"/>
      <c r="K140" s="3"/>
      <c r="L140" s="3"/>
    </row>
    <row r="141" spans="1:12">
      <c r="A141" s="3"/>
      <c r="B141" s="4"/>
      <c r="C141" s="3"/>
      <c r="D141" s="3"/>
      <c r="E141" s="3"/>
      <c r="F141" s="3"/>
      <c r="G141" s="3"/>
      <c r="H141" s="3"/>
      <c r="I141" s="3"/>
      <c r="J141" s="4"/>
      <c r="K141" s="3"/>
      <c r="L141" s="3"/>
    </row>
    <row r="142" spans="1:12">
      <c r="A142" s="3"/>
      <c r="B142" s="4"/>
      <c r="C142" s="3"/>
      <c r="D142" s="3"/>
      <c r="E142" s="3"/>
      <c r="F142" s="3"/>
      <c r="G142" s="3"/>
      <c r="H142" s="3"/>
      <c r="I142" s="3"/>
      <c r="J142" s="4"/>
      <c r="K142" s="3"/>
      <c r="L142" s="3"/>
    </row>
    <row r="143" spans="1:12">
      <c r="A143" s="3"/>
      <c r="B143" s="4"/>
      <c r="C143" s="3"/>
      <c r="D143" s="3"/>
      <c r="E143" s="3"/>
      <c r="F143" s="3"/>
      <c r="G143" s="3"/>
      <c r="H143" s="3"/>
      <c r="I143" s="3"/>
      <c r="J143" s="4"/>
      <c r="K143" s="3"/>
      <c r="L143" s="3"/>
    </row>
    <row r="144" spans="1:12">
      <c r="A144" s="3"/>
      <c r="B144" s="4"/>
      <c r="C144" s="3"/>
      <c r="D144" s="3"/>
      <c r="E144" s="3"/>
      <c r="F144" s="3"/>
      <c r="G144" s="3"/>
      <c r="H144" s="3"/>
      <c r="I144" s="3"/>
      <c r="J144" s="4"/>
      <c r="K144" s="3"/>
      <c r="L144" s="3"/>
    </row>
    <row r="145" spans="1:12">
      <c r="A145" s="3"/>
      <c r="B145" s="4"/>
      <c r="C145" s="3"/>
      <c r="D145" s="3"/>
      <c r="E145" s="3"/>
      <c r="F145" s="3"/>
      <c r="G145" s="3"/>
      <c r="H145" s="3"/>
      <c r="I145" s="3"/>
      <c r="J145" s="4"/>
      <c r="K145" s="3"/>
      <c r="L145" s="3"/>
    </row>
    <row r="146" spans="1:12">
      <c r="A146" s="3"/>
      <c r="B146" s="4"/>
      <c r="C146" s="3"/>
      <c r="D146" s="3"/>
      <c r="E146" s="3"/>
      <c r="F146" s="3"/>
      <c r="G146" s="3"/>
      <c r="H146" s="3"/>
      <c r="I146" s="3"/>
      <c r="J146" s="4"/>
      <c r="K146" s="3"/>
      <c r="L146" s="3"/>
    </row>
    <row r="147" spans="1:12">
      <c r="A147" s="3"/>
      <c r="B147" s="4"/>
      <c r="C147" s="3"/>
      <c r="D147" s="3"/>
      <c r="E147" s="3"/>
      <c r="F147" s="3"/>
      <c r="G147" s="3"/>
      <c r="H147" s="3"/>
      <c r="I147" s="3"/>
      <c r="J147" s="4"/>
      <c r="K147" s="3"/>
      <c r="L147" s="3"/>
    </row>
    <row r="148" spans="1:12">
      <c r="A148" s="3"/>
      <c r="B148" s="4"/>
      <c r="C148" s="3"/>
      <c r="D148" s="3"/>
      <c r="E148" s="3"/>
      <c r="F148" s="3"/>
      <c r="G148" s="3"/>
      <c r="H148" s="3"/>
      <c r="I148" s="3"/>
      <c r="J148" s="4"/>
      <c r="K148" s="3"/>
      <c r="L148" s="3"/>
    </row>
    <row r="149" spans="1:12">
      <c r="A149" s="3"/>
      <c r="B149" s="4"/>
      <c r="C149" s="3"/>
      <c r="D149" s="3"/>
      <c r="E149" s="3"/>
      <c r="F149" s="3"/>
      <c r="G149" s="3"/>
      <c r="H149" s="3"/>
      <c r="I149" s="3"/>
      <c r="J149" s="4"/>
      <c r="K149" s="3"/>
      <c r="L149" s="3"/>
    </row>
    <row r="150" spans="1:12">
      <c r="A150" s="3"/>
      <c r="B150" s="4"/>
      <c r="C150" s="3"/>
      <c r="D150" s="3"/>
      <c r="E150" s="3"/>
      <c r="F150" s="3"/>
      <c r="G150" s="3"/>
      <c r="H150" s="3"/>
      <c r="I150" s="3"/>
      <c r="J150" s="4"/>
      <c r="K150" s="3"/>
      <c r="L150" s="3"/>
    </row>
    <row r="151" spans="1:12">
      <c r="A151" s="3"/>
      <c r="B151" s="4"/>
      <c r="C151" s="3"/>
      <c r="D151" s="3"/>
      <c r="E151" s="3"/>
      <c r="F151" s="3"/>
      <c r="G151" s="3"/>
      <c r="H151" s="3"/>
      <c r="I151" s="3"/>
      <c r="J151" s="4"/>
      <c r="K151" s="3"/>
      <c r="L151" s="3"/>
    </row>
    <row r="152" spans="1:12">
      <c r="A152" s="3"/>
      <c r="B152" s="4"/>
      <c r="C152" s="3"/>
      <c r="D152" s="3"/>
      <c r="E152" s="3"/>
      <c r="F152" s="3"/>
      <c r="G152" s="3"/>
      <c r="H152" s="3"/>
      <c r="I152" s="3"/>
      <c r="J152" s="4"/>
      <c r="K152" s="3"/>
      <c r="L152" s="3"/>
    </row>
    <row r="153" spans="1:12">
      <c r="A153" s="3"/>
      <c r="B153" s="4"/>
      <c r="C153" s="3"/>
      <c r="D153" s="3"/>
      <c r="E153" s="3"/>
      <c r="F153" s="3"/>
      <c r="G153" s="3"/>
      <c r="H153" s="3"/>
      <c r="I153" s="3"/>
      <c r="J153" s="4"/>
      <c r="K153" s="3"/>
      <c r="L153" s="3"/>
    </row>
    <row r="154" spans="1:12">
      <c r="A154" s="3"/>
      <c r="B154" s="4"/>
      <c r="C154" s="3"/>
      <c r="D154" s="3"/>
      <c r="E154" s="3"/>
      <c r="F154" s="3"/>
      <c r="G154" s="3"/>
      <c r="H154" s="3"/>
      <c r="I154" s="3"/>
      <c r="J154" s="4"/>
      <c r="K154" s="3"/>
      <c r="L154" s="3"/>
    </row>
    <row r="155" spans="1:12">
      <c r="A155" s="3"/>
      <c r="B155" s="4"/>
      <c r="C155" s="3"/>
      <c r="D155" s="3"/>
      <c r="E155" s="3"/>
      <c r="F155" s="3"/>
      <c r="G155" s="3"/>
      <c r="H155" s="3"/>
      <c r="I155" s="3"/>
      <c r="J155" s="4"/>
      <c r="K155" s="3"/>
      <c r="L155" s="3"/>
    </row>
    <row r="156" spans="1:12">
      <c r="A156" s="3"/>
      <c r="B156" s="4"/>
      <c r="C156" s="3"/>
      <c r="D156" s="3"/>
      <c r="E156" s="3"/>
      <c r="F156" s="3"/>
      <c r="G156" s="3"/>
      <c r="H156" s="3"/>
      <c r="I156" s="3"/>
      <c r="J156" s="4"/>
      <c r="K156" s="3"/>
      <c r="L156" s="3"/>
    </row>
    <row r="157" spans="1:12">
      <c r="A157" s="3"/>
      <c r="B157" s="4"/>
      <c r="C157" s="3"/>
      <c r="D157" s="3"/>
      <c r="E157" s="3"/>
      <c r="F157" s="3"/>
      <c r="G157" s="3"/>
      <c r="H157" s="3"/>
      <c r="I157" s="3"/>
      <c r="J157" s="4"/>
      <c r="K157" s="3"/>
      <c r="L157" s="3"/>
    </row>
    <row r="158" spans="1:12">
      <c r="A158" s="3"/>
      <c r="B158" s="4"/>
      <c r="C158" s="3"/>
      <c r="D158" s="3"/>
      <c r="E158" s="3"/>
      <c r="F158" s="3"/>
      <c r="G158" s="3"/>
      <c r="H158" s="3"/>
      <c r="I158" s="3"/>
      <c r="J158" s="4"/>
      <c r="K158" s="3"/>
      <c r="L158" s="3"/>
    </row>
    <row r="159" spans="1:12">
      <c r="A159" s="3"/>
      <c r="B159" s="4"/>
      <c r="C159" s="3"/>
      <c r="D159" s="3"/>
      <c r="E159" s="3"/>
      <c r="F159" s="3"/>
      <c r="G159" s="3"/>
      <c r="H159" s="3"/>
      <c r="I159" s="3"/>
      <c r="J159" s="4"/>
      <c r="K159" s="3"/>
      <c r="L159" s="3"/>
    </row>
    <row r="160" spans="1:12">
      <c r="A160" s="3"/>
      <c r="B160" s="4"/>
      <c r="C160" s="3"/>
      <c r="D160" s="3"/>
      <c r="E160" s="3"/>
      <c r="F160" s="3"/>
      <c r="G160" s="3"/>
      <c r="H160" s="3"/>
      <c r="I160" s="3"/>
      <c r="J160" s="4"/>
      <c r="K160" s="3"/>
      <c r="L160" s="3"/>
    </row>
    <row r="161" spans="1:12">
      <c r="A161" s="3"/>
      <c r="B161" s="4"/>
      <c r="C161" s="3"/>
      <c r="D161" s="3"/>
      <c r="E161" s="3"/>
      <c r="F161" s="3"/>
      <c r="G161" s="3"/>
      <c r="H161" s="3"/>
      <c r="I161" s="3"/>
      <c r="J161" s="4"/>
      <c r="K161" s="3"/>
      <c r="L161" s="3"/>
    </row>
    <row r="162" spans="1:12">
      <c r="A162" s="3"/>
      <c r="B162" s="4"/>
      <c r="C162" s="3"/>
      <c r="D162" s="3"/>
      <c r="E162" s="3"/>
      <c r="F162" s="3"/>
      <c r="G162" s="3"/>
      <c r="H162" s="3"/>
      <c r="I162" s="3"/>
      <c r="J162" s="4"/>
      <c r="K162" s="3"/>
      <c r="L162" s="3"/>
    </row>
    <row r="163" spans="1:12">
      <c r="A163" s="3"/>
      <c r="B163" s="4"/>
      <c r="C163" s="3"/>
      <c r="D163" s="3"/>
      <c r="E163" s="3"/>
      <c r="F163" s="3"/>
      <c r="G163" s="3"/>
      <c r="H163" s="3"/>
      <c r="I163" s="3"/>
      <c r="J163" s="4"/>
      <c r="K163" s="3"/>
      <c r="L163" s="3"/>
    </row>
    <row r="164" spans="1:12">
      <c r="A164" s="3"/>
      <c r="B164" s="4"/>
      <c r="C164" s="3"/>
      <c r="D164" s="3"/>
      <c r="E164" s="3"/>
      <c r="F164" s="3"/>
      <c r="G164" s="3"/>
      <c r="H164" s="3"/>
      <c r="I164" s="3"/>
      <c r="J164" s="4"/>
      <c r="K164" s="3"/>
      <c r="L164" s="3"/>
    </row>
    <row r="165" spans="1:12">
      <c r="A165" s="3"/>
      <c r="B165" s="4"/>
      <c r="C165" s="3"/>
      <c r="D165" s="3"/>
      <c r="E165" s="3"/>
      <c r="F165" s="3"/>
      <c r="G165" s="3"/>
      <c r="H165" s="3"/>
      <c r="I165" s="3"/>
      <c r="J165" s="4"/>
      <c r="K165" s="3"/>
      <c r="L165" s="3"/>
    </row>
    <row r="166" spans="1:12">
      <c r="A166" s="3"/>
      <c r="B166" s="4"/>
      <c r="C166" s="3"/>
      <c r="D166" s="3"/>
      <c r="E166" s="3"/>
      <c r="F166" s="3"/>
      <c r="G166" s="3"/>
      <c r="H166" s="3"/>
      <c r="I166" s="3"/>
      <c r="J166" s="4"/>
      <c r="K166" s="3"/>
      <c r="L166" s="3"/>
    </row>
    <row r="167" spans="1:12">
      <c r="A167" s="3"/>
      <c r="B167" s="4"/>
      <c r="C167" s="3"/>
      <c r="D167" s="3"/>
      <c r="E167" s="3"/>
      <c r="F167" s="3"/>
      <c r="G167" s="3"/>
      <c r="H167" s="3"/>
      <c r="I167" s="3"/>
      <c r="J167" s="4"/>
      <c r="K167" s="3"/>
      <c r="L167" s="3"/>
    </row>
    <row r="168" spans="1:12">
      <c r="A168" s="3"/>
      <c r="B168" s="4"/>
      <c r="C168" s="3"/>
      <c r="D168" s="3"/>
      <c r="E168" s="3"/>
      <c r="F168" s="3"/>
      <c r="G168" s="3"/>
      <c r="H168" s="3"/>
      <c r="I168" s="3"/>
      <c r="J168" s="4"/>
      <c r="K168" s="3"/>
      <c r="L168" s="3"/>
    </row>
    <row r="169" spans="1:12">
      <c r="A169" s="3"/>
      <c r="B169" s="4"/>
      <c r="C169" s="3"/>
      <c r="D169" s="3"/>
      <c r="E169" s="3"/>
      <c r="F169" s="3"/>
      <c r="G169" s="3"/>
      <c r="H169" s="3"/>
      <c r="I169" s="3"/>
      <c r="J169" s="4"/>
      <c r="K169" s="3"/>
      <c r="L169" s="3"/>
    </row>
    <row r="170" spans="1:12">
      <c r="A170" s="3"/>
      <c r="B170" s="4"/>
      <c r="C170" s="3"/>
      <c r="D170" s="3"/>
      <c r="E170" s="3"/>
      <c r="F170" s="3"/>
      <c r="G170" s="3"/>
      <c r="H170" s="3"/>
      <c r="I170" s="3"/>
      <c r="J170" s="4"/>
      <c r="K170" s="3"/>
      <c r="L170" s="3"/>
    </row>
    <row r="171" spans="1:12">
      <c r="A171" s="3"/>
      <c r="B171" s="4"/>
      <c r="C171" s="3"/>
      <c r="D171" s="3"/>
      <c r="E171" s="3"/>
      <c r="F171" s="3"/>
      <c r="G171" s="3"/>
      <c r="H171" s="3"/>
      <c r="I171" s="3"/>
      <c r="J171" s="4"/>
      <c r="K171" s="3"/>
      <c r="L171" s="3"/>
    </row>
    <row r="172" spans="1:12">
      <c r="A172" s="3"/>
      <c r="B172" s="4"/>
      <c r="C172" s="3"/>
      <c r="D172" s="3"/>
      <c r="E172" s="3"/>
      <c r="F172" s="3"/>
      <c r="G172" s="3"/>
      <c r="H172" s="3"/>
      <c r="I172" s="3"/>
      <c r="J172" s="4"/>
      <c r="K172" s="3"/>
      <c r="L172" s="3"/>
    </row>
    <row r="173" spans="1:12">
      <c r="A173" s="3"/>
      <c r="B173" s="4"/>
      <c r="C173" s="3"/>
      <c r="D173" s="3"/>
      <c r="E173" s="3"/>
      <c r="F173" s="3"/>
      <c r="G173" s="3"/>
      <c r="H173" s="3"/>
      <c r="I173" s="3"/>
      <c r="J173" s="4"/>
      <c r="K173" s="3"/>
      <c r="L173" s="3"/>
    </row>
    <row r="174" spans="1:12">
      <c r="A174" s="3"/>
      <c r="B174" s="4"/>
      <c r="C174" s="3"/>
      <c r="D174" s="3"/>
      <c r="E174" s="3"/>
      <c r="F174" s="3"/>
      <c r="G174" s="3"/>
      <c r="H174" s="3"/>
      <c r="I174" s="3"/>
      <c r="J174" s="4"/>
      <c r="K174" s="3"/>
      <c r="L174" s="3"/>
    </row>
    <row r="175" spans="1:12">
      <c r="A175" s="3"/>
      <c r="B175" s="4"/>
      <c r="C175" s="3"/>
      <c r="D175" s="3"/>
      <c r="E175" s="3"/>
      <c r="F175" s="3"/>
      <c r="G175" s="3"/>
      <c r="H175" s="3"/>
      <c r="I175" s="3"/>
      <c r="J175" s="4"/>
      <c r="K175" s="3"/>
      <c r="L175" s="3"/>
    </row>
    <row r="176" spans="1:12">
      <c r="A176" s="3"/>
      <c r="B176" s="4"/>
      <c r="C176" s="3"/>
      <c r="D176" s="3"/>
      <c r="E176" s="3"/>
      <c r="F176" s="3"/>
      <c r="G176" s="3"/>
      <c r="H176" s="3"/>
      <c r="I176" s="3"/>
      <c r="J176" s="4"/>
      <c r="K176" s="3"/>
      <c r="L176" s="3"/>
    </row>
    <row r="177" spans="1:12">
      <c r="A177" s="3"/>
      <c r="B177" s="4"/>
      <c r="C177" s="3"/>
      <c r="D177" s="3"/>
      <c r="E177" s="3"/>
      <c r="F177" s="3"/>
      <c r="G177" s="3"/>
      <c r="H177" s="3"/>
      <c r="I177" s="3"/>
      <c r="J177" s="4"/>
      <c r="K177" s="3"/>
      <c r="L177" s="3"/>
    </row>
    <row r="178" spans="1:12">
      <c r="A178" s="3"/>
      <c r="B178" s="4"/>
      <c r="C178" s="3"/>
      <c r="D178" s="3"/>
      <c r="E178" s="3"/>
      <c r="F178" s="3"/>
      <c r="G178" s="3"/>
      <c r="H178" s="3"/>
      <c r="I178" s="3"/>
      <c r="J178" s="4"/>
      <c r="K178" s="3"/>
      <c r="L178" s="3"/>
    </row>
    <row r="179" spans="1:12">
      <c r="A179" s="3"/>
      <c r="B179" s="4"/>
      <c r="C179" s="3"/>
      <c r="D179" s="3"/>
      <c r="E179" s="3"/>
      <c r="F179" s="3"/>
      <c r="G179" s="3"/>
      <c r="H179" s="3"/>
      <c r="I179" s="3"/>
      <c r="J179" s="4"/>
      <c r="K179" s="3"/>
      <c r="L179" s="3"/>
    </row>
    <row r="180" spans="1:12">
      <c r="A180" s="3"/>
      <c r="B180" s="4"/>
      <c r="C180" s="3"/>
      <c r="D180" s="3"/>
      <c r="E180" s="3"/>
      <c r="F180" s="3"/>
      <c r="G180" s="3"/>
      <c r="H180" s="3"/>
      <c r="I180" s="3"/>
      <c r="J180" s="4"/>
      <c r="K180" s="3"/>
      <c r="L180" s="3"/>
    </row>
    <row r="181" spans="1:12">
      <c r="A181" s="3"/>
      <c r="B181" s="4"/>
      <c r="C181" s="3"/>
      <c r="D181" s="3"/>
      <c r="E181" s="3"/>
      <c r="F181" s="3"/>
      <c r="G181" s="3"/>
      <c r="H181" s="3"/>
      <c r="I181" s="3"/>
      <c r="J181" s="4"/>
      <c r="K181" s="3"/>
      <c r="L181" s="3"/>
    </row>
    <row r="182" spans="1:12">
      <c r="A182" s="3"/>
      <c r="B182" s="4"/>
      <c r="C182" s="3"/>
      <c r="D182" s="3"/>
      <c r="E182" s="3"/>
      <c r="F182" s="3"/>
      <c r="G182" s="3"/>
      <c r="H182" s="3"/>
      <c r="I182" s="3"/>
      <c r="J182" s="4"/>
      <c r="K182" s="3"/>
      <c r="L182" s="3"/>
    </row>
    <row r="183" spans="1:12">
      <c r="A183" s="3"/>
      <c r="B183" s="4"/>
      <c r="C183" s="3"/>
      <c r="D183" s="3"/>
      <c r="E183" s="3"/>
      <c r="F183" s="3"/>
      <c r="G183" s="3"/>
      <c r="H183" s="3"/>
      <c r="I183" s="3"/>
      <c r="J183" s="4"/>
      <c r="K183" s="3"/>
      <c r="L183" s="3"/>
    </row>
    <row r="184" spans="1:12">
      <c r="A184" s="3"/>
      <c r="B184" s="4"/>
      <c r="C184" s="3"/>
      <c r="D184" s="3"/>
      <c r="E184" s="3"/>
      <c r="F184" s="3"/>
      <c r="G184" s="3"/>
      <c r="H184" s="3"/>
      <c r="I184" s="3"/>
      <c r="J184" s="4"/>
      <c r="K184" s="3"/>
      <c r="L184" s="3"/>
    </row>
    <row r="185" spans="1:12">
      <c r="A185" s="3"/>
      <c r="B185" s="4"/>
      <c r="C185" s="3"/>
      <c r="D185" s="3"/>
      <c r="E185" s="3"/>
      <c r="F185" s="3"/>
      <c r="G185" s="3"/>
      <c r="H185" s="3"/>
      <c r="I185" s="3"/>
      <c r="J185" s="4"/>
      <c r="K185" s="3"/>
      <c r="L185" s="3"/>
    </row>
    <row r="186" spans="1:12">
      <c r="A186" s="3"/>
      <c r="B186" s="4"/>
      <c r="C186" s="3"/>
      <c r="D186" s="3"/>
      <c r="E186" s="3"/>
      <c r="F186" s="3"/>
      <c r="G186" s="3"/>
      <c r="H186" s="3"/>
      <c r="I186" s="3"/>
      <c r="J186" s="4"/>
      <c r="K186" s="3"/>
      <c r="L186" s="3"/>
    </row>
    <row r="187" spans="1:12">
      <c r="A187" s="3"/>
      <c r="B187" s="4"/>
      <c r="C187" s="3"/>
      <c r="D187" s="3"/>
      <c r="E187" s="3"/>
      <c r="F187" s="3"/>
      <c r="G187" s="3"/>
      <c r="H187" s="3"/>
      <c r="I187" s="3"/>
      <c r="J187" s="4"/>
      <c r="K187" s="3"/>
      <c r="L187" s="3"/>
    </row>
    <row r="188" spans="1:12">
      <c r="A188" s="3"/>
      <c r="B188" s="4"/>
      <c r="C188" s="3"/>
      <c r="D188" s="3"/>
      <c r="E188" s="3"/>
      <c r="F188" s="3"/>
      <c r="G188" s="3"/>
      <c r="H188" s="3"/>
      <c r="I188" s="3"/>
      <c r="J188" s="4"/>
      <c r="K188" s="3"/>
      <c r="L188" s="3"/>
    </row>
    <row r="189" spans="1:12">
      <c r="A189" s="3"/>
      <c r="B189" s="4"/>
      <c r="C189" s="3"/>
      <c r="D189" s="3"/>
      <c r="E189" s="3"/>
      <c r="F189" s="3"/>
      <c r="G189" s="3"/>
      <c r="H189" s="3"/>
      <c r="I189" s="3"/>
      <c r="J189" s="4"/>
      <c r="K189" s="3"/>
      <c r="L189" s="3"/>
    </row>
    <row r="190" spans="1:12">
      <c r="A190" s="3"/>
      <c r="B190" s="4"/>
      <c r="C190" s="3"/>
      <c r="D190" s="3"/>
      <c r="E190" s="3"/>
      <c r="F190" s="3"/>
      <c r="G190" s="3"/>
      <c r="H190" s="3"/>
      <c r="I190" s="3"/>
      <c r="J190" s="4"/>
      <c r="K190" s="3"/>
      <c r="L190" s="3"/>
    </row>
    <row r="191" spans="1:12">
      <c r="A191" s="3"/>
      <c r="B191" s="4"/>
      <c r="C191" s="3"/>
      <c r="D191" s="3"/>
      <c r="E191" s="3"/>
      <c r="F191" s="3"/>
      <c r="G191" s="3"/>
      <c r="H191" s="3"/>
      <c r="I191" s="3"/>
      <c r="J191" s="4"/>
      <c r="K191" s="3"/>
      <c r="L191" s="3"/>
    </row>
    <row r="192" spans="1:12">
      <c r="A192" s="3"/>
      <c r="B192" s="4"/>
      <c r="C192" s="3"/>
      <c r="D192" s="3"/>
      <c r="E192" s="3"/>
      <c r="F192" s="3"/>
      <c r="G192" s="3"/>
      <c r="H192" s="3"/>
      <c r="I192" s="3"/>
      <c r="J192" s="4"/>
      <c r="K192" s="3"/>
      <c r="L192" s="3"/>
    </row>
    <row r="193" spans="1:12">
      <c r="A193" s="3"/>
      <c r="B193" s="4"/>
      <c r="C193" s="3"/>
      <c r="D193" s="3"/>
      <c r="E193" s="3"/>
      <c r="F193" s="3"/>
      <c r="G193" s="3"/>
      <c r="H193" s="3"/>
      <c r="I193" s="3"/>
      <c r="J193" s="4"/>
      <c r="K193" s="3"/>
      <c r="L193" s="3"/>
    </row>
    <row r="194" spans="1:12">
      <c r="A194" s="3"/>
      <c r="B194" s="4"/>
      <c r="C194" s="3"/>
      <c r="D194" s="3"/>
      <c r="E194" s="3"/>
      <c r="F194" s="3"/>
      <c r="G194" s="3"/>
      <c r="H194" s="3"/>
      <c r="I194" s="3"/>
      <c r="J194" s="4"/>
      <c r="K194" s="3"/>
      <c r="L194" s="3"/>
    </row>
    <row r="195" spans="1:12">
      <c r="A195" s="3"/>
      <c r="B195" s="4"/>
      <c r="C195" s="3"/>
      <c r="D195" s="3"/>
      <c r="E195" s="3"/>
      <c r="F195" s="3"/>
      <c r="G195" s="3"/>
      <c r="H195" s="3"/>
      <c r="I195" s="3"/>
      <c r="J195" s="4"/>
      <c r="K195" s="3"/>
      <c r="L195" s="3"/>
    </row>
    <row r="196" spans="1:12">
      <c r="A196" s="3"/>
      <c r="B196" s="4"/>
      <c r="C196" s="3"/>
      <c r="D196" s="3"/>
      <c r="E196" s="3"/>
      <c r="F196" s="3"/>
      <c r="G196" s="3"/>
      <c r="H196" s="3"/>
      <c r="I196" s="3"/>
      <c r="J196" s="4"/>
      <c r="K196" s="3"/>
      <c r="L196" s="3"/>
    </row>
    <row r="197" spans="1:12">
      <c r="A197" s="3"/>
      <c r="B197" s="4"/>
      <c r="C197" s="3"/>
      <c r="D197" s="3"/>
      <c r="E197" s="3"/>
      <c r="F197" s="3"/>
      <c r="G197" s="3"/>
      <c r="H197" s="3"/>
      <c r="I197" s="3"/>
      <c r="J197" s="4"/>
      <c r="K197" s="3"/>
      <c r="L197" s="3"/>
    </row>
    <row r="198" spans="1:12">
      <c r="A198" s="3"/>
      <c r="B198" s="4"/>
      <c r="C198" s="3"/>
      <c r="D198" s="3"/>
      <c r="E198" s="3"/>
      <c r="F198" s="3"/>
      <c r="G198" s="3"/>
      <c r="H198" s="3"/>
      <c r="I198" s="3"/>
      <c r="J198" s="4"/>
      <c r="K198" s="3"/>
      <c r="L198" s="3"/>
    </row>
    <row r="199" spans="1:12">
      <c r="A199" s="3"/>
      <c r="B199" s="4"/>
      <c r="C199" s="3"/>
      <c r="D199" s="3"/>
      <c r="E199" s="3"/>
      <c r="F199" s="3"/>
      <c r="G199" s="3"/>
      <c r="H199" s="3"/>
      <c r="I199" s="3"/>
      <c r="J199" s="4"/>
      <c r="K199" s="3"/>
      <c r="L199" s="3"/>
    </row>
    <row r="200" spans="1:12">
      <c r="A200" s="3"/>
      <c r="B200" s="4"/>
      <c r="C200" s="3"/>
      <c r="D200" s="3"/>
      <c r="E200" s="3"/>
      <c r="F200" s="3"/>
      <c r="G200" s="3"/>
      <c r="H200" s="3"/>
      <c r="I200" s="3"/>
      <c r="J200" s="4"/>
      <c r="K200" s="3"/>
      <c r="L200" s="3"/>
    </row>
    <row r="201" spans="1:12">
      <c r="B201" s="5"/>
      <c r="J201" s="5"/>
    </row>
    <row r="202" spans="1:12">
      <c r="B202" s="5"/>
      <c r="J202" s="5"/>
    </row>
    <row r="203" spans="1:12">
      <c r="B203" s="5"/>
      <c r="J203" s="5"/>
    </row>
    <row r="204" spans="1:12">
      <c r="B204" s="5"/>
      <c r="J204" s="5"/>
    </row>
    <row r="205" spans="1:12">
      <c r="B205" s="5"/>
      <c r="J205" s="5"/>
    </row>
    <row r="206" spans="1:12">
      <c r="B206" s="5"/>
      <c r="J206" s="5"/>
    </row>
    <row r="207" spans="1:12">
      <c r="B207" s="5"/>
      <c r="J207" s="5"/>
    </row>
    <row r="208" spans="1:12">
      <c r="B208" s="5"/>
      <c r="J208" s="5"/>
    </row>
    <row r="209" spans="2:10">
      <c r="B209" s="5"/>
      <c r="J209" s="5"/>
    </row>
    <row r="210" spans="2:10">
      <c r="B210" s="5"/>
      <c r="J210" s="5"/>
    </row>
    <row r="211" spans="2:10">
      <c r="B211" s="5"/>
      <c r="J211" s="5"/>
    </row>
    <row r="212" spans="2:10">
      <c r="B212" s="5"/>
      <c r="J212" s="5"/>
    </row>
    <row r="213" spans="2:10">
      <c r="B213" s="5"/>
      <c r="J213" s="5"/>
    </row>
    <row r="214" spans="2:10">
      <c r="B214" s="5"/>
      <c r="J214" s="5"/>
    </row>
    <row r="215" spans="2:10">
      <c r="B215" s="5"/>
      <c r="J215" s="5"/>
    </row>
    <row r="216" spans="2:10">
      <c r="B216" s="5"/>
      <c r="J216" s="5"/>
    </row>
    <row r="217" spans="2:10">
      <c r="B217" s="5"/>
      <c r="J217" s="5"/>
    </row>
    <row r="218" spans="2:10">
      <c r="B218" s="5"/>
      <c r="J218" s="5"/>
    </row>
    <row r="219" spans="2:10">
      <c r="B219" s="5"/>
      <c r="J219" s="5"/>
    </row>
    <row r="220" spans="2:10">
      <c r="B220" s="5"/>
      <c r="J220" s="5"/>
    </row>
    <row r="221" spans="2:10">
      <c r="B221" s="5"/>
      <c r="J221" s="5"/>
    </row>
    <row r="222" spans="2:10">
      <c r="B222" s="5"/>
      <c r="J222" s="5"/>
    </row>
    <row r="223" spans="2:10">
      <c r="B223" s="5"/>
      <c r="J223" s="5"/>
    </row>
    <row r="224" spans="2:10">
      <c r="B224" s="5"/>
      <c r="J224" s="5"/>
    </row>
    <row r="225" spans="2:10">
      <c r="B225" s="5"/>
      <c r="J225" s="5"/>
    </row>
    <row r="226" spans="2:10">
      <c r="B226" s="5"/>
      <c r="J226" s="5"/>
    </row>
    <row r="227" spans="2:10">
      <c r="B227" s="5"/>
      <c r="J227" s="5"/>
    </row>
    <row r="228" spans="2:10">
      <c r="B228" s="5"/>
      <c r="J228" s="5"/>
    </row>
    <row r="229" spans="2:10">
      <c r="B229" s="5"/>
      <c r="J229" s="5"/>
    </row>
    <row r="230" spans="2:10">
      <c r="B230" s="5"/>
      <c r="J230" s="5"/>
    </row>
    <row r="231" spans="2:10">
      <c r="B231" s="5"/>
      <c r="J231" s="5"/>
    </row>
    <row r="232" spans="2:10">
      <c r="B232" s="5"/>
      <c r="J232" s="5"/>
    </row>
    <row r="233" spans="2:10">
      <c r="B233" s="5"/>
      <c r="J233" s="5"/>
    </row>
    <row r="234" spans="2:10">
      <c r="B234" s="5"/>
      <c r="J234" s="5"/>
    </row>
    <row r="235" spans="2:10">
      <c r="B235" s="5"/>
      <c r="J235" s="5"/>
    </row>
    <row r="236" spans="2:10">
      <c r="B236" s="5"/>
      <c r="J236" s="5"/>
    </row>
    <row r="237" spans="2:10">
      <c r="B237" s="5"/>
      <c r="J237" s="5"/>
    </row>
    <row r="238" spans="2:10">
      <c r="B238" s="5"/>
      <c r="J238" s="5"/>
    </row>
    <row r="239" spans="2:10">
      <c r="B239" s="5"/>
      <c r="J239" s="5"/>
    </row>
    <row r="240" spans="2:10">
      <c r="B240" s="5"/>
      <c r="J240" s="5"/>
    </row>
    <row r="241" spans="2:10">
      <c r="B241" s="5"/>
      <c r="J241" s="5"/>
    </row>
    <row r="242" spans="2:10">
      <c r="B242" s="5"/>
      <c r="J242" s="5"/>
    </row>
    <row r="243" spans="2:10">
      <c r="B243" s="5"/>
      <c r="J243" s="5"/>
    </row>
    <row r="244" spans="2:10">
      <c r="B244" s="5"/>
      <c r="J244" s="5"/>
    </row>
    <row r="245" spans="2:10">
      <c r="B245" s="5"/>
      <c r="J245" s="5"/>
    </row>
    <row r="246" spans="2:10">
      <c r="B246" s="5"/>
      <c r="J246" s="5"/>
    </row>
    <row r="247" spans="2:10">
      <c r="B247" s="5"/>
      <c r="J247" s="5"/>
    </row>
    <row r="248" spans="2:10">
      <c r="B248" s="5"/>
      <c r="J248" s="5"/>
    </row>
    <row r="249" spans="2:10">
      <c r="B249" s="5"/>
      <c r="J249" s="5"/>
    </row>
    <row r="250" spans="2:10">
      <c r="B250" s="5"/>
      <c r="J250" s="5"/>
    </row>
    <row r="251" spans="2:10">
      <c r="B251" s="5"/>
      <c r="J251" s="5"/>
    </row>
    <row r="252" spans="2:10">
      <c r="B252" s="5"/>
      <c r="J252" s="5"/>
    </row>
    <row r="253" spans="2:10">
      <c r="B253" s="5"/>
      <c r="J253" s="5"/>
    </row>
    <row r="254" spans="2:10">
      <c r="B254" s="5"/>
      <c r="J254" s="5"/>
    </row>
    <row r="255" spans="2:10">
      <c r="B255" s="5"/>
      <c r="J255" s="5"/>
    </row>
    <row r="256" spans="2:10">
      <c r="B256" s="5"/>
      <c r="J256" s="5"/>
    </row>
    <row r="257" spans="2:10">
      <c r="B257" s="5"/>
      <c r="J257" s="5"/>
    </row>
    <row r="258" spans="2:10">
      <c r="B258" s="5"/>
      <c r="J258" s="5"/>
    </row>
    <row r="259" spans="2:10">
      <c r="B259" s="5"/>
      <c r="J259" s="5"/>
    </row>
    <row r="260" spans="2:10">
      <c r="B260" s="5"/>
      <c r="J260" s="5"/>
    </row>
    <row r="261" spans="2:10">
      <c r="B261" s="5"/>
      <c r="J261" s="5"/>
    </row>
    <row r="262" spans="2:10">
      <c r="B262" s="5"/>
      <c r="J262" s="5"/>
    </row>
    <row r="263" spans="2:10">
      <c r="B263" s="5"/>
      <c r="J263" s="5"/>
    </row>
    <row r="264" spans="2:10">
      <c r="B264" s="5"/>
      <c r="J264" s="5"/>
    </row>
    <row r="265" spans="2:10">
      <c r="B265" s="5"/>
      <c r="J265" s="5"/>
    </row>
    <row r="266" spans="2:10">
      <c r="B266" s="5"/>
      <c r="J266" s="5"/>
    </row>
    <row r="267" spans="2:10">
      <c r="B267" s="5"/>
      <c r="J267" s="5"/>
    </row>
    <row r="268" spans="2:10">
      <c r="B268" s="5"/>
      <c r="J268" s="5"/>
    </row>
    <row r="269" spans="2:10">
      <c r="B269" s="5"/>
      <c r="J269" s="5"/>
    </row>
    <row r="270" spans="2:10">
      <c r="B270" s="5"/>
      <c r="J270" s="5"/>
    </row>
    <row r="271" spans="2:10">
      <c r="B271" s="5"/>
      <c r="J271" s="5"/>
    </row>
    <row r="272" spans="2:10">
      <c r="B272" s="5"/>
      <c r="J272" s="5"/>
    </row>
    <row r="273" spans="2:10">
      <c r="B273" s="5"/>
      <c r="J273" s="5"/>
    </row>
    <row r="274" spans="2:10">
      <c r="B274" s="5"/>
      <c r="J274" s="5"/>
    </row>
    <row r="275" spans="2:10">
      <c r="B275" s="5"/>
      <c r="J275" s="5"/>
    </row>
    <row r="276" spans="2:10">
      <c r="B276" s="5"/>
      <c r="J276" s="5"/>
    </row>
    <row r="277" spans="2:10">
      <c r="B277" s="5"/>
      <c r="J277" s="5"/>
    </row>
    <row r="278" spans="2:10">
      <c r="B278" s="5"/>
      <c r="J278" s="5"/>
    </row>
    <row r="279" spans="2:10">
      <c r="B279" s="5"/>
      <c r="J279" s="5"/>
    </row>
    <row r="280" spans="2:10">
      <c r="B280" s="5"/>
      <c r="J280" s="5"/>
    </row>
    <row r="281" spans="2:10">
      <c r="B281" s="5"/>
      <c r="J281" s="5"/>
    </row>
    <row r="282" spans="2:10">
      <c r="B282" s="5"/>
      <c r="J282" s="5"/>
    </row>
    <row r="283" spans="2:10">
      <c r="B283" s="5"/>
      <c r="J283" s="5"/>
    </row>
    <row r="284" spans="2:10">
      <c r="B284" s="5"/>
      <c r="J284" s="5"/>
    </row>
    <row r="285" spans="2:10">
      <c r="B285" s="5"/>
      <c r="J285" s="5"/>
    </row>
    <row r="286" spans="2:10">
      <c r="B286" s="5"/>
      <c r="J286" s="5"/>
    </row>
    <row r="287" spans="2:10">
      <c r="B287" s="5"/>
      <c r="J287" s="5"/>
    </row>
    <row r="288" spans="2:10">
      <c r="B288" s="5"/>
      <c r="J288" s="5"/>
    </row>
    <row r="289" spans="2:10">
      <c r="B289" s="5"/>
      <c r="J289" s="5"/>
    </row>
    <row r="290" spans="2:10">
      <c r="B290" s="5"/>
      <c r="J290" s="5"/>
    </row>
    <row r="291" spans="2:10">
      <c r="B291" s="5"/>
      <c r="J291" s="5"/>
    </row>
    <row r="292" spans="2:10">
      <c r="B292" s="5"/>
      <c r="J292" s="5"/>
    </row>
    <row r="293" spans="2:10">
      <c r="B293" s="5"/>
      <c r="J293" s="5"/>
    </row>
    <row r="294" spans="2:10">
      <c r="B294" s="5"/>
      <c r="J294" s="5"/>
    </row>
    <row r="295" spans="2:10">
      <c r="B295" s="5"/>
      <c r="J295" s="5"/>
    </row>
    <row r="296" spans="2:10">
      <c r="B296" s="5"/>
      <c r="J296" s="5"/>
    </row>
    <row r="297" spans="2:10">
      <c r="B297" s="5"/>
      <c r="J297" s="5"/>
    </row>
    <row r="298" spans="2:10">
      <c r="B298" s="5"/>
      <c r="J298" s="5"/>
    </row>
    <row r="299" spans="2:10">
      <c r="B299" s="5"/>
      <c r="J299" s="5"/>
    </row>
    <row r="300" spans="2:10">
      <c r="B300" s="5"/>
      <c r="J300" s="5"/>
    </row>
    <row r="301" spans="2:10">
      <c r="B301" s="5"/>
      <c r="J301" s="5"/>
    </row>
    <row r="302" spans="2:10">
      <c r="B302" s="5"/>
      <c r="J302" s="5"/>
    </row>
    <row r="303" spans="2:10">
      <c r="B303" s="5"/>
      <c r="J303" s="5"/>
    </row>
    <row r="304" spans="2:10">
      <c r="B304" s="5"/>
      <c r="J304" s="5"/>
    </row>
    <row r="305" spans="2:10">
      <c r="B305" s="5"/>
      <c r="J305" s="5"/>
    </row>
    <row r="306" spans="2:10">
      <c r="B306" s="5"/>
      <c r="J306" s="5"/>
    </row>
    <row r="307" spans="2:10">
      <c r="B307" s="5"/>
      <c r="J307" s="5"/>
    </row>
    <row r="308" spans="2:10">
      <c r="B308" s="5"/>
      <c r="J308" s="5"/>
    </row>
    <row r="309" spans="2:10">
      <c r="B309" s="5"/>
      <c r="J309" s="5"/>
    </row>
    <row r="310" spans="2:10">
      <c r="B310" s="5"/>
      <c r="J310" s="5"/>
    </row>
    <row r="311" spans="2:10">
      <c r="B311" s="5"/>
      <c r="J311" s="5"/>
    </row>
    <row r="312" spans="2:10">
      <c r="B312" s="5"/>
      <c r="J312" s="5"/>
    </row>
    <row r="313" spans="2:10">
      <c r="B313" s="5"/>
      <c r="J313" s="5"/>
    </row>
    <row r="314" spans="2:10">
      <c r="B314" s="5"/>
      <c r="J314" s="5"/>
    </row>
    <row r="315" spans="2:10">
      <c r="B315" s="5"/>
      <c r="J315" s="5"/>
    </row>
    <row r="316" spans="2:10">
      <c r="B316" s="5"/>
      <c r="J316" s="5"/>
    </row>
    <row r="317" spans="2:10">
      <c r="B317" s="5"/>
      <c r="J317" s="5"/>
    </row>
    <row r="318" spans="2:10">
      <c r="B318" s="5"/>
      <c r="J318" s="5"/>
    </row>
    <row r="319" spans="2:10">
      <c r="B319" s="5"/>
      <c r="J319" s="5"/>
    </row>
    <row r="320" spans="2:10">
      <c r="B320" s="5"/>
      <c r="J320" s="5"/>
    </row>
    <row r="321" spans="2:10">
      <c r="B321" s="5"/>
      <c r="J321" s="5"/>
    </row>
    <row r="322" spans="2:10">
      <c r="B322" s="5"/>
      <c r="J322" s="5"/>
    </row>
    <row r="323" spans="2:10">
      <c r="B323" s="5"/>
      <c r="J323" s="5"/>
    </row>
    <row r="324" spans="2:10">
      <c r="B324" s="5"/>
      <c r="J324" s="5"/>
    </row>
    <row r="325" spans="2:10">
      <c r="B325" s="5"/>
      <c r="J325" s="5"/>
    </row>
    <row r="326" spans="2:10">
      <c r="B326" s="5"/>
      <c r="J326" s="5"/>
    </row>
    <row r="327" spans="2:10">
      <c r="B327" s="5"/>
      <c r="J327" s="5"/>
    </row>
    <row r="328" spans="2:10">
      <c r="B328" s="5"/>
      <c r="J328" s="5"/>
    </row>
    <row r="329" spans="2:10">
      <c r="B329" s="5"/>
      <c r="J329" s="5"/>
    </row>
    <row r="330" spans="2:10">
      <c r="B330" s="5"/>
      <c r="J330" s="5"/>
    </row>
    <row r="331" spans="2:10">
      <c r="B331" s="5"/>
      <c r="J331" s="5"/>
    </row>
    <row r="332" spans="2:10">
      <c r="B332" s="5"/>
      <c r="J332" s="5"/>
    </row>
    <row r="333" spans="2:10">
      <c r="B333" s="5"/>
      <c r="J333" s="5"/>
    </row>
    <row r="334" spans="2:10">
      <c r="B334" s="5"/>
      <c r="J334" s="5"/>
    </row>
    <row r="335" spans="2:10">
      <c r="B335" s="5"/>
      <c r="J335" s="5"/>
    </row>
    <row r="336" spans="2:10">
      <c r="B336" s="5"/>
      <c r="J336" s="5"/>
    </row>
    <row r="337" spans="2:10">
      <c r="B337" s="5"/>
      <c r="J337" s="5"/>
    </row>
    <row r="338" spans="2:10">
      <c r="B338" s="5"/>
      <c r="J338" s="5"/>
    </row>
    <row r="339" spans="2:10">
      <c r="B339" s="5"/>
      <c r="J339" s="5"/>
    </row>
    <row r="340" spans="2:10">
      <c r="B340" s="5"/>
      <c r="J340" s="5"/>
    </row>
    <row r="341" spans="2:10">
      <c r="B341" s="5"/>
      <c r="J341" s="5"/>
    </row>
    <row r="342" spans="2:10">
      <c r="B342" s="5"/>
      <c r="J342" s="5"/>
    </row>
    <row r="343" spans="2:10">
      <c r="B343" s="5"/>
      <c r="J343" s="5"/>
    </row>
    <row r="344" spans="2:10">
      <c r="B344" s="5"/>
      <c r="J344" s="5"/>
    </row>
    <row r="345" spans="2:10">
      <c r="B345" s="5"/>
      <c r="J345" s="5"/>
    </row>
    <row r="346" spans="2:10">
      <c r="B346" s="5"/>
      <c r="J346" s="5"/>
    </row>
    <row r="347" spans="2:10">
      <c r="B347" s="5"/>
      <c r="J347" s="5"/>
    </row>
    <row r="348" spans="2:10">
      <c r="B348" s="5"/>
      <c r="J348" s="5"/>
    </row>
    <row r="349" spans="2:10">
      <c r="B349" s="5"/>
      <c r="J349" s="5"/>
    </row>
    <row r="350" spans="2:10">
      <c r="B350" s="5"/>
      <c r="J350" s="5"/>
    </row>
    <row r="351" spans="2:10">
      <c r="B351" s="5"/>
      <c r="J351" s="5"/>
    </row>
    <row r="352" spans="2:10">
      <c r="B352" s="5"/>
      <c r="J352" s="5"/>
    </row>
    <row r="353" spans="2:10">
      <c r="B353" s="5"/>
      <c r="J353" s="5"/>
    </row>
    <row r="354" spans="2:10">
      <c r="B354" s="5"/>
      <c r="J354" s="5"/>
    </row>
    <row r="355" spans="2:10">
      <c r="B355" s="5"/>
      <c r="J355" s="5"/>
    </row>
    <row r="356" spans="2:10">
      <c r="B356" s="5"/>
      <c r="J356" s="5"/>
    </row>
    <row r="357" spans="2:10">
      <c r="B357" s="5"/>
      <c r="J357" s="5"/>
    </row>
    <row r="358" spans="2:10">
      <c r="B358" s="5"/>
      <c r="J358" s="5"/>
    </row>
    <row r="359" spans="2:10">
      <c r="B359" s="5"/>
      <c r="J359" s="5"/>
    </row>
    <row r="360" spans="2:10">
      <c r="B360" s="5"/>
      <c r="J360" s="5"/>
    </row>
    <row r="361" spans="2:10">
      <c r="B361" s="5"/>
      <c r="J361" s="5"/>
    </row>
    <row r="362" spans="2:10">
      <c r="B362" s="5"/>
      <c r="J362" s="5"/>
    </row>
    <row r="363" spans="2:10">
      <c r="B363" s="5"/>
      <c r="J363" s="5"/>
    </row>
    <row r="364" spans="2:10">
      <c r="B364" s="5"/>
      <c r="J364" s="5"/>
    </row>
    <row r="365" spans="2:10">
      <c r="B365" s="5"/>
      <c r="J365" s="5"/>
    </row>
    <row r="366" spans="2:10">
      <c r="B366" s="5"/>
      <c r="J366" s="5"/>
    </row>
    <row r="367" spans="2:10">
      <c r="B367" s="5"/>
      <c r="J367" s="5"/>
    </row>
    <row r="368" spans="2:10">
      <c r="B368" s="5"/>
      <c r="J368" s="5"/>
    </row>
    <row r="369" spans="2:10">
      <c r="B369" s="5"/>
      <c r="J369" s="5"/>
    </row>
    <row r="370" spans="2:10">
      <c r="B370" s="5"/>
      <c r="J370" s="5"/>
    </row>
    <row r="371" spans="2:10">
      <c r="B371" s="5"/>
      <c r="J371" s="5"/>
    </row>
    <row r="372" spans="2:10">
      <c r="B372" s="5"/>
      <c r="J372" s="5"/>
    </row>
    <row r="373" spans="2:10">
      <c r="B373" s="5"/>
      <c r="J373" s="5"/>
    </row>
    <row r="374" spans="2:10">
      <c r="B374" s="5"/>
      <c r="J374" s="5"/>
    </row>
    <row r="375" spans="2:10">
      <c r="B375" s="5"/>
      <c r="J375" s="5"/>
    </row>
    <row r="376" spans="2:10">
      <c r="B376" s="5"/>
      <c r="J376" s="5"/>
    </row>
    <row r="377" spans="2:10">
      <c r="B377" s="5"/>
      <c r="J377" s="5"/>
    </row>
    <row r="378" spans="2:10">
      <c r="B378" s="5"/>
      <c r="J378" s="5"/>
    </row>
    <row r="379" spans="2:10">
      <c r="B379" s="5"/>
      <c r="J379" s="5"/>
    </row>
    <row r="380" spans="2:10">
      <c r="B380" s="5"/>
      <c r="J380" s="5"/>
    </row>
    <row r="381" spans="2:10">
      <c r="B381" s="5"/>
      <c r="J381" s="5"/>
    </row>
    <row r="382" spans="2:10">
      <c r="B382" s="5"/>
      <c r="J382" s="5"/>
    </row>
    <row r="383" spans="2:10">
      <c r="B383" s="5"/>
      <c r="J383" s="5"/>
    </row>
    <row r="384" spans="2:10">
      <c r="B384" s="5"/>
      <c r="J384" s="5"/>
    </row>
    <row r="385" spans="2:10">
      <c r="B385" s="5"/>
      <c r="J385" s="5"/>
    </row>
    <row r="386" spans="2:10">
      <c r="B386" s="5"/>
      <c r="J386" s="5"/>
    </row>
    <row r="387" spans="2:10">
      <c r="B387" s="5"/>
      <c r="J387" s="5"/>
    </row>
    <row r="388" spans="2:10">
      <c r="B388" s="5"/>
      <c r="J388" s="5"/>
    </row>
    <row r="389" spans="2:10">
      <c r="B389" s="5"/>
      <c r="J389" s="5"/>
    </row>
    <row r="390" spans="2:10">
      <c r="B390" s="5"/>
      <c r="J390" s="5"/>
    </row>
    <row r="391" spans="2:10">
      <c r="B391" s="5"/>
      <c r="J391" s="5"/>
    </row>
    <row r="392" spans="2:10">
      <c r="B392" s="5"/>
      <c r="J392" s="5"/>
    </row>
    <row r="393" spans="2:10">
      <c r="B393" s="5"/>
      <c r="J393" s="5"/>
    </row>
    <row r="394" spans="2:10">
      <c r="B394" s="5"/>
      <c r="J394" s="5"/>
    </row>
    <row r="395" spans="2:10">
      <c r="B395" s="5"/>
      <c r="J395" s="5"/>
    </row>
    <row r="396" spans="2:10">
      <c r="B396" s="5"/>
      <c r="J396" s="5"/>
    </row>
    <row r="397" spans="2:10">
      <c r="B397" s="5"/>
      <c r="J397" s="5"/>
    </row>
    <row r="398" spans="2:10">
      <c r="B398" s="5"/>
      <c r="J398" s="5"/>
    </row>
    <row r="399" spans="2:10">
      <c r="B399" s="5"/>
      <c r="J399" s="5"/>
    </row>
    <row r="400" spans="2:10">
      <c r="B400" s="5"/>
      <c r="J400" s="5"/>
    </row>
    <row r="401" spans="2:10">
      <c r="B401" s="5"/>
      <c r="J401" s="5"/>
    </row>
    <row r="402" spans="2:10">
      <c r="B402" s="5"/>
      <c r="J402" s="5"/>
    </row>
    <row r="403" spans="2:10">
      <c r="B403" s="5"/>
      <c r="J403" s="5"/>
    </row>
    <row r="404" spans="2:10">
      <c r="B404" s="5"/>
      <c r="J404" s="5"/>
    </row>
    <row r="405" spans="2:10">
      <c r="B405" s="5"/>
      <c r="J405" s="5"/>
    </row>
    <row r="406" spans="2:10">
      <c r="B406" s="5"/>
      <c r="J406" s="5"/>
    </row>
    <row r="407" spans="2:10">
      <c r="B407" s="5"/>
      <c r="J407" s="5"/>
    </row>
    <row r="408" spans="2:10">
      <c r="B408" s="5"/>
      <c r="J408" s="5"/>
    </row>
    <row r="409" spans="2:10">
      <c r="B409" s="5"/>
      <c r="J409" s="5"/>
    </row>
    <row r="410" spans="2:10">
      <c r="B410" s="5"/>
      <c r="J410" s="5"/>
    </row>
    <row r="411" spans="2:10">
      <c r="B411" s="5"/>
      <c r="J411" s="5"/>
    </row>
    <row r="412" spans="2:10">
      <c r="B412" s="5"/>
      <c r="J412" s="5"/>
    </row>
    <row r="413" spans="2:10">
      <c r="B413" s="5"/>
      <c r="J413" s="5"/>
    </row>
    <row r="414" spans="2:10">
      <c r="B414" s="5"/>
      <c r="J414" s="5"/>
    </row>
    <row r="415" spans="2:10">
      <c r="B415" s="5"/>
      <c r="J415" s="5"/>
    </row>
    <row r="416" spans="2:10">
      <c r="B416" s="5"/>
      <c r="J416" s="5"/>
    </row>
    <row r="417" spans="2:10">
      <c r="B417" s="5"/>
      <c r="J417" s="5"/>
    </row>
    <row r="418" spans="2:10">
      <c r="B418" s="5"/>
      <c r="J418" s="5"/>
    </row>
    <row r="419" spans="2:10">
      <c r="B419" s="5"/>
      <c r="J419" s="5"/>
    </row>
    <row r="420" spans="2:10">
      <c r="B420" s="5"/>
      <c r="J420" s="5"/>
    </row>
    <row r="421" spans="2:10">
      <c r="B421" s="5"/>
      <c r="J421" s="5"/>
    </row>
    <row r="422" spans="2:10">
      <c r="B422" s="5"/>
      <c r="J422" s="5"/>
    </row>
    <row r="423" spans="2:10">
      <c r="B423" s="5"/>
      <c r="J423" s="5"/>
    </row>
    <row r="424" spans="2:10">
      <c r="B424" s="5"/>
      <c r="J424" s="5"/>
    </row>
    <row r="425" spans="2:10">
      <c r="B425" s="5"/>
      <c r="J425" s="5"/>
    </row>
    <row r="426" spans="2:10">
      <c r="B426" s="5"/>
      <c r="J426" s="5"/>
    </row>
    <row r="427" spans="2:10">
      <c r="B427" s="5"/>
      <c r="J427" s="5"/>
    </row>
    <row r="428" spans="2:10">
      <c r="B428" s="5"/>
      <c r="J428" s="5"/>
    </row>
    <row r="429" spans="2:10">
      <c r="B429" s="5"/>
      <c r="J429" s="5"/>
    </row>
    <row r="430" spans="2:10">
      <c r="B430" s="5"/>
      <c r="J430" s="5"/>
    </row>
    <row r="431" spans="2:10">
      <c r="B431" s="5"/>
      <c r="J431" s="5"/>
    </row>
    <row r="432" spans="2:10">
      <c r="B432" s="5"/>
      <c r="J432" s="5"/>
    </row>
    <row r="433" spans="2:10">
      <c r="B433" s="5"/>
      <c r="J433" s="5"/>
    </row>
    <row r="434" spans="2:10">
      <c r="B434" s="5"/>
      <c r="J434" s="5"/>
    </row>
    <row r="435" spans="2:10">
      <c r="B435" s="5"/>
      <c r="J435" s="5"/>
    </row>
    <row r="436" spans="2:10">
      <c r="B436" s="5"/>
      <c r="J436" s="5"/>
    </row>
    <row r="437" spans="2:10">
      <c r="B437" s="5"/>
      <c r="J437" s="5"/>
    </row>
    <row r="438" spans="2:10">
      <c r="B438" s="5"/>
      <c r="J438" s="5"/>
    </row>
    <row r="439" spans="2:10">
      <c r="B439" s="5"/>
      <c r="J439" s="5"/>
    </row>
    <row r="440" spans="2:10">
      <c r="B440" s="5"/>
      <c r="J440" s="5"/>
    </row>
    <row r="441" spans="2:10">
      <c r="B441" s="5"/>
      <c r="J441" s="5"/>
    </row>
    <row r="442" spans="2:10">
      <c r="B442" s="5"/>
      <c r="J442" s="5"/>
    </row>
    <row r="443" spans="2:10">
      <c r="B443" s="5"/>
      <c r="J443" s="5"/>
    </row>
    <row r="444" spans="2:10">
      <c r="B444" s="5"/>
      <c r="J444" s="5"/>
    </row>
    <row r="445" spans="2:10">
      <c r="B445" s="5"/>
      <c r="J445" s="5"/>
    </row>
    <row r="446" spans="2:10">
      <c r="B446" s="5"/>
      <c r="J446" s="5"/>
    </row>
    <row r="447" spans="2:10">
      <c r="B447" s="5"/>
      <c r="J447" s="5"/>
    </row>
    <row r="448" spans="2:10">
      <c r="B448" s="5"/>
      <c r="J448" s="5"/>
    </row>
    <row r="449" spans="2:10">
      <c r="B449" s="5"/>
      <c r="J449" s="5"/>
    </row>
    <row r="450" spans="2:10">
      <c r="B450" s="5"/>
      <c r="J450" s="5"/>
    </row>
    <row r="451" spans="2:10">
      <c r="B451" s="5"/>
      <c r="J451" s="5"/>
    </row>
    <row r="452" spans="2:10">
      <c r="B452" s="5"/>
      <c r="J452" s="5"/>
    </row>
    <row r="453" spans="2:10">
      <c r="B453" s="5"/>
      <c r="J453" s="5"/>
    </row>
    <row r="454" spans="2:10">
      <c r="B454" s="5"/>
      <c r="J454" s="5"/>
    </row>
    <row r="455" spans="2:10">
      <c r="B455" s="5"/>
      <c r="J455" s="5"/>
    </row>
    <row r="456" spans="2:10">
      <c r="B456" s="5"/>
      <c r="J456" s="5"/>
    </row>
    <row r="457" spans="2:10">
      <c r="B457" s="5"/>
      <c r="J457" s="5"/>
    </row>
    <row r="458" spans="2:10">
      <c r="B458" s="5"/>
      <c r="J458" s="5"/>
    </row>
    <row r="459" spans="2:10">
      <c r="B459" s="5"/>
      <c r="J459" s="5"/>
    </row>
    <row r="460" spans="2:10">
      <c r="B460" s="5"/>
      <c r="J460" s="5"/>
    </row>
    <row r="461" spans="2:10">
      <c r="B461" s="5"/>
      <c r="J461" s="5"/>
    </row>
    <row r="462" spans="2:10">
      <c r="B462" s="5"/>
      <c r="J462" s="5"/>
    </row>
    <row r="463" spans="2:10">
      <c r="B463" s="5"/>
      <c r="J463" s="5"/>
    </row>
    <row r="464" spans="2:10">
      <c r="B464" s="5"/>
      <c r="J464" s="5"/>
    </row>
    <row r="465" spans="2:10">
      <c r="B465" s="5"/>
      <c r="J465" s="5"/>
    </row>
    <row r="466" spans="2:10">
      <c r="B466" s="5"/>
      <c r="J466" s="5"/>
    </row>
    <row r="467" spans="2:10">
      <c r="B467" s="5"/>
      <c r="J467" s="5"/>
    </row>
    <row r="468" spans="2:10">
      <c r="B468" s="5"/>
      <c r="J468" s="5"/>
    </row>
    <row r="469" spans="2:10">
      <c r="B469" s="5"/>
      <c r="J469" s="5"/>
    </row>
    <row r="470" spans="2:10">
      <c r="B470" s="5"/>
      <c r="J470" s="5"/>
    </row>
    <row r="471" spans="2:10">
      <c r="B471" s="5"/>
      <c r="J471" s="5"/>
    </row>
    <row r="472" spans="2:10">
      <c r="B472" s="5"/>
      <c r="J472" s="5"/>
    </row>
    <row r="473" spans="2:10">
      <c r="B473" s="5"/>
      <c r="J473" s="5"/>
    </row>
    <row r="474" spans="2:10">
      <c r="B474" s="5"/>
      <c r="J474" s="5"/>
    </row>
    <row r="475" spans="2:10">
      <c r="B475" s="5"/>
      <c r="J475" s="5"/>
    </row>
    <row r="476" spans="2:10">
      <c r="B476" s="5"/>
      <c r="J476" s="5"/>
    </row>
    <row r="477" spans="2:10">
      <c r="B477" s="5"/>
      <c r="J477" s="5"/>
    </row>
    <row r="478" spans="2:10">
      <c r="B478" s="5"/>
      <c r="J478" s="5"/>
    </row>
    <row r="479" spans="2:10">
      <c r="B479" s="5"/>
      <c r="J479" s="5"/>
    </row>
    <row r="480" spans="2:10">
      <c r="B480" s="5"/>
      <c r="J480" s="5"/>
    </row>
    <row r="481" spans="2:10">
      <c r="B481" s="5"/>
      <c r="J481" s="5"/>
    </row>
    <row r="482" spans="2:10">
      <c r="B482" s="5"/>
      <c r="J482" s="5"/>
    </row>
    <row r="483" spans="2:10">
      <c r="B483" s="5"/>
      <c r="J483" s="5"/>
    </row>
    <row r="484" spans="2:10">
      <c r="B484" s="5"/>
      <c r="J484" s="5"/>
    </row>
    <row r="485" spans="2:10">
      <c r="B485" s="5"/>
      <c r="J485" s="5"/>
    </row>
    <row r="486" spans="2:10">
      <c r="B486" s="5"/>
      <c r="J486" s="5"/>
    </row>
    <row r="487" spans="2:10">
      <c r="B487" s="5"/>
      <c r="J487" s="5"/>
    </row>
    <row r="488" spans="2:10">
      <c r="B488" s="5"/>
      <c r="J488" s="5"/>
    </row>
    <row r="489" spans="2:10">
      <c r="B489" s="5"/>
      <c r="J489" s="5"/>
    </row>
    <row r="490" spans="2:10">
      <c r="B490" s="5"/>
      <c r="J490" s="5"/>
    </row>
    <row r="491" spans="2:10">
      <c r="B491" s="5"/>
      <c r="J491" s="5"/>
    </row>
    <row r="492" spans="2:10">
      <c r="B492" s="5"/>
      <c r="J492" s="5"/>
    </row>
    <row r="493" spans="2:10">
      <c r="B493" s="5"/>
      <c r="J493" s="5"/>
    </row>
    <row r="494" spans="2:10">
      <c r="B494" s="5"/>
      <c r="J494" s="5"/>
    </row>
    <row r="495" spans="2:10">
      <c r="B495" s="5"/>
      <c r="J495" s="5"/>
    </row>
    <row r="496" spans="2:10">
      <c r="B496" s="5"/>
      <c r="J496" s="5"/>
    </row>
    <row r="497" spans="2:10">
      <c r="B497" s="5"/>
      <c r="J497" s="5"/>
    </row>
    <row r="498" spans="2:10">
      <c r="B498" s="5"/>
      <c r="J498" s="5"/>
    </row>
    <row r="499" spans="2:10">
      <c r="B499" s="5"/>
      <c r="J499" s="5"/>
    </row>
    <row r="500" spans="2:10">
      <c r="B500" s="5"/>
      <c r="J500" s="5"/>
    </row>
  </sheetData>
  <phoneticPr fontId="6" type="noConversion"/>
  <conditionalFormatting sqref="J2:J500">
    <cfRule type="expression" dxfId="5" priority="1">
      <formula>AND($J2&lt;&gt;"",$J2&lt;TODAY())</formula>
    </cfRule>
    <cfRule type="expression" dxfId="4" priority="2">
      <formula>AND($J2&gt;=TODAY(),$J2&lt;=TODAY()+7)</formula>
    </cfRule>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xr:uid="{00000000-0002-0000-0400-000000000000}">
          <x14:formula1>
            <xm:f>Lists!$E$2:$E$11</xm:f>
          </x14:formula1>
          <xm:sqref>E2:E500</xm:sqref>
        </x14:dataValidation>
        <x14:dataValidation type="list" xr:uid="{00000000-0002-0000-0400-000001000000}">
          <x14:formula1>
            <xm:f>Lists!$L$2:$L$3</xm:f>
          </x14:formula1>
          <xm:sqref>K2:K500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500"/>
  <sheetViews>
    <sheetView topLeftCell="A67" workbookViewId="0">
      <selection activeCell="A2" sqref="A2:A100"/>
    </sheetView>
  </sheetViews>
  <sheetFormatPr defaultRowHeight="14.25"/>
  <cols>
    <col min="1" max="1" width="14" customWidth="1"/>
    <col min="2" max="3" width="28" customWidth="1"/>
    <col min="4" max="4" width="14" customWidth="1"/>
    <col min="5" max="5" width="28" customWidth="1"/>
    <col min="6" max="10" width="14" customWidth="1"/>
    <col min="11" max="11" width="28" customWidth="1"/>
  </cols>
  <sheetData>
    <row r="1" spans="1:11" ht="32.1" customHeight="1">
      <c r="A1" s="2" t="s">
        <v>122</v>
      </c>
      <c r="B1" s="2" t="s">
        <v>31</v>
      </c>
      <c r="C1" s="2" t="s">
        <v>123</v>
      </c>
      <c r="D1" s="2" t="s">
        <v>124</v>
      </c>
      <c r="E1" s="2" t="s">
        <v>125</v>
      </c>
      <c r="F1" s="2" t="s">
        <v>126</v>
      </c>
      <c r="G1" s="2" t="s">
        <v>98</v>
      </c>
      <c r="H1" s="2" t="s">
        <v>127</v>
      </c>
      <c r="I1" s="2" t="s">
        <v>128</v>
      </c>
      <c r="J1" s="2" t="s">
        <v>129</v>
      </c>
      <c r="K1" s="2" t="s">
        <v>15</v>
      </c>
    </row>
    <row r="2" spans="1:11" ht="28.5">
      <c r="A2" s="3" t="s">
        <v>130</v>
      </c>
      <c r="B2" s="3" t="s">
        <v>54</v>
      </c>
      <c r="C2" s="3" t="s">
        <v>100</v>
      </c>
      <c r="D2" s="4">
        <v>46218</v>
      </c>
      <c r="E2" s="3" t="s">
        <v>131</v>
      </c>
      <c r="F2" s="6">
        <v>15000</v>
      </c>
      <c r="G2" s="3" t="s">
        <v>132</v>
      </c>
      <c r="H2" s="4"/>
      <c r="I2" s="3">
        <f ca="1">IF(D2="","",IF(H2="",TODAY()-D2,H2-D2))</f>
        <v>-9</v>
      </c>
      <c r="J2" s="4">
        <v>46225</v>
      </c>
      <c r="K2" s="3" t="s">
        <v>133</v>
      </c>
    </row>
    <row r="3" spans="1:11">
      <c r="A3" s="3" t="s">
        <v>578</v>
      </c>
      <c r="B3" s="3"/>
      <c r="C3" s="3"/>
      <c r="D3" s="4"/>
      <c r="E3" s="3"/>
      <c r="F3" s="6"/>
      <c r="G3" s="3"/>
      <c r="H3" s="4"/>
      <c r="I3" s="3"/>
      <c r="J3" s="4"/>
      <c r="K3" s="3"/>
    </row>
    <row r="4" spans="1:11">
      <c r="A4" s="3" t="s">
        <v>579</v>
      </c>
      <c r="B4" s="3"/>
      <c r="C4" s="3"/>
      <c r="D4" s="4"/>
      <c r="E4" s="3"/>
      <c r="F4" s="6"/>
      <c r="G4" s="3"/>
      <c r="H4" s="4"/>
      <c r="I4" s="3"/>
      <c r="J4" s="4"/>
      <c r="K4" s="3"/>
    </row>
    <row r="5" spans="1:11">
      <c r="A5" s="3" t="s">
        <v>580</v>
      </c>
      <c r="B5" s="3"/>
      <c r="C5" s="3"/>
      <c r="D5" s="4"/>
      <c r="E5" s="3"/>
      <c r="F5" s="6"/>
      <c r="G5" s="3"/>
      <c r="H5" s="4"/>
      <c r="I5" s="3"/>
      <c r="J5" s="4"/>
      <c r="K5" s="3"/>
    </row>
    <row r="6" spans="1:11">
      <c r="A6" s="3" t="s">
        <v>581</v>
      </c>
      <c r="B6" s="3"/>
      <c r="C6" s="3"/>
      <c r="D6" s="4"/>
      <c r="E6" s="3"/>
      <c r="F6" s="6"/>
      <c r="G6" s="3"/>
      <c r="H6" s="4"/>
      <c r="I6" s="3"/>
      <c r="J6" s="4"/>
      <c r="K6" s="3"/>
    </row>
    <row r="7" spans="1:11">
      <c r="A7" s="3" t="s">
        <v>582</v>
      </c>
      <c r="B7" s="3"/>
      <c r="C7" s="3"/>
      <c r="D7" s="4"/>
      <c r="E7" s="3"/>
      <c r="F7" s="6"/>
      <c r="G7" s="3"/>
      <c r="H7" s="4"/>
      <c r="I7" s="3"/>
      <c r="J7" s="4"/>
      <c r="K7" s="3"/>
    </row>
    <row r="8" spans="1:11">
      <c r="A8" s="3" t="s">
        <v>583</v>
      </c>
      <c r="B8" s="3"/>
      <c r="C8" s="3"/>
      <c r="D8" s="4"/>
      <c r="E8" s="3"/>
      <c r="F8" s="6"/>
      <c r="G8" s="3"/>
      <c r="H8" s="4"/>
      <c r="I8" s="3"/>
      <c r="J8" s="4"/>
      <c r="K8" s="3"/>
    </row>
    <row r="9" spans="1:11">
      <c r="A9" s="3" t="s">
        <v>584</v>
      </c>
      <c r="B9" s="3"/>
      <c r="C9" s="3"/>
      <c r="D9" s="4"/>
      <c r="E9" s="3"/>
      <c r="F9" s="6"/>
      <c r="G9" s="3"/>
      <c r="H9" s="4"/>
      <c r="I9" s="3"/>
      <c r="J9" s="4"/>
      <c r="K9" s="3"/>
    </row>
    <row r="10" spans="1:11">
      <c r="A10" s="3" t="s">
        <v>585</v>
      </c>
      <c r="B10" s="3"/>
      <c r="C10" s="3"/>
      <c r="D10" s="4"/>
      <c r="E10" s="3"/>
      <c r="F10" s="6"/>
      <c r="G10" s="3"/>
      <c r="H10" s="4"/>
      <c r="I10" s="3"/>
      <c r="J10" s="4"/>
      <c r="K10" s="3"/>
    </row>
    <row r="11" spans="1:11">
      <c r="A11" s="3" t="s">
        <v>586</v>
      </c>
      <c r="B11" s="3"/>
      <c r="C11" s="3"/>
      <c r="D11" s="4"/>
      <c r="E11" s="3"/>
      <c r="F11" s="6"/>
      <c r="G11" s="3"/>
      <c r="H11" s="4"/>
      <c r="I11" s="3"/>
      <c r="J11" s="4"/>
      <c r="K11" s="3"/>
    </row>
    <row r="12" spans="1:11">
      <c r="A12" s="3" t="s">
        <v>587</v>
      </c>
      <c r="B12" s="3"/>
      <c r="C12" s="3"/>
      <c r="D12" s="4"/>
      <c r="E12" s="3"/>
      <c r="F12" s="6"/>
      <c r="G12" s="3"/>
      <c r="H12" s="4"/>
      <c r="I12" s="3"/>
      <c r="J12" s="4"/>
      <c r="K12" s="3"/>
    </row>
    <row r="13" spans="1:11">
      <c r="A13" s="3" t="s">
        <v>588</v>
      </c>
      <c r="B13" s="3"/>
      <c r="C13" s="3"/>
      <c r="D13" s="4"/>
      <c r="E13" s="3"/>
      <c r="F13" s="6"/>
      <c r="G13" s="3"/>
      <c r="H13" s="4"/>
      <c r="I13" s="3"/>
      <c r="J13" s="4"/>
      <c r="K13" s="3"/>
    </row>
    <row r="14" spans="1:11">
      <c r="A14" s="3" t="s">
        <v>589</v>
      </c>
      <c r="B14" s="3"/>
      <c r="C14" s="3"/>
      <c r="D14" s="4"/>
      <c r="E14" s="3"/>
      <c r="F14" s="6"/>
      <c r="G14" s="3"/>
      <c r="H14" s="4"/>
      <c r="I14" s="3"/>
      <c r="J14" s="4"/>
      <c r="K14" s="3"/>
    </row>
    <row r="15" spans="1:11">
      <c r="A15" s="3" t="s">
        <v>590</v>
      </c>
      <c r="B15" s="3"/>
      <c r="C15" s="3"/>
      <c r="D15" s="4"/>
      <c r="E15" s="3"/>
      <c r="F15" s="6"/>
      <c r="G15" s="3"/>
      <c r="H15" s="4"/>
      <c r="I15" s="3"/>
      <c r="J15" s="4"/>
      <c r="K15" s="3"/>
    </row>
    <row r="16" spans="1:11">
      <c r="A16" s="3" t="s">
        <v>591</v>
      </c>
      <c r="B16" s="3"/>
      <c r="C16" s="3"/>
      <c r="D16" s="4"/>
      <c r="E16" s="3"/>
      <c r="F16" s="6"/>
      <c r="G16" s="3"/>
      <c r="H16" s="4"/>
      <c r="I16" s="3"/>
      <c r="J16" s="4"/>
      <c r="K16" s="3"/>
    </row>
    <row r="17" spans="1:11">
      <c r="A17" s="3" t="s">
        <v>592</v>
      </c>
      <c r="B17" s="3"/>
      <c r="C17" s="3"/>
      <c r="D17" s="4"/>
      <c r="E17" s="3"/>
      <c r="F17" s="6"/>
      <c r="G17" s="3"/>
      <c r="H17" s="4"/>
      <c r="I17" s="3"/>
      <c r="J17" s="4"/>
      <c r="K17" s="3"/>
    </row>
    <row r="18" spans="1:11">
      <c r="A18" s="3" t="s">
        <v>593</v>
      </c>
      <c r="B18" s="3"/>
      <c r="C18" s="3"/>
      <c r="D18" s="4"/>
      <c r="E18" s="3"/>
      <c r="F18" s="6"/>
      <c r="G18" s="3"/>
      <c r="H18" s="4"/>
      <c r="I18" s="3"/>
      <c r="J18" s="4"/>
      <c r="K18" s="3"/>
    </row>
    <row r="19" spans="1:11">
      <c r="A19" s="3" t="s">
        <v>594</v>
      </c>
      <c r="B19" s="3"/>
      <c r="C19" s="3"/>
      <c r="D19" s="4"/>
      <c r="E19" s="3"/>
      <c r="F19" s="6"/>
      <c r="G19" s="3"/>
      <c r="H19" s="4"/>
      <c r="I19" s="3"/>
      <c r="J19" s="4"/>
      <c r="K19" s="3"/>
    </row>
    <row r="20" spans="1:11">
      <c r="A20" s="3" t="s">
        <v>595</v>
      </c>
      <c r="B20" s="3"/>
      <c r="C20" s="3"/>
      <c r="D20" s="4"/>
      <c r="E20" s="3"/>
      <c r="F20" s="6"/>
      <c r="G20" s="3"/>
      <c r="H20" s="4"/>
      <c r="I20" s="3"/>
      <c r="J20" s="4"/>
      <c r="K20" s="3"/>
    </row>
    <row r="21" spans="1:11">
      <c r="A21" s="3" t="s">
        <v>596</v>
      </c>
      <c r="B21" s="3"/>
      <c r="C21" s="3"/>
      <c r="D21" s="4"/>
      <c r="E21" s="3"/>
      <c r="F21" s="6"/>
      <c r="G21" s="3"/>
      <c r="H21" s="4"/>
      <c r="I21" s="3"/>
      <c r="J21" s="4"/>
      <c r="K21" s="3"/>
    </row>
    <row r="22" spans="1:11">
      <c r="A22" s="3" t="s">
        <v>597</v>
      </c>
      <c r="B22" s="3"/>
      <c r="C22" s="3"/>
      <c r="D22" s="4"/>
      <c r="E22" s="3"/>
      <c r="F22" s="6"/>
      <c r="G22" s="3"/>
      <c r="H22" s="4"/>
      <c r="I22" s="3"/>
      <c r="J22" s="4"/>
      <c r="K22" s="3"/>
    </row>
    <row r="23" spans="1:11">
      <c r="A23" s="3" t="s">
        <v>598</v>
      </c>
      <c r="B23" s="3"/>
      <c r="C23" s="3"/>
      <c r="D23" s="4"/>
      <c r="E23" s="3"/>
      <c r="F23" s="6"/>
      <c r="G23" s="3"/>
      <c r="H23" s="4"/>
      <c r="I23" s="3"/>
      <c r="J23" s="4"/>
      <c r="K23" s="3"/>
    </row>
    <row r="24" spans="1:11">
      <c r="A24" s="3" t="s">
        <v>599</v>
      </c>
      <c r="B24" s="3"/>
      <c r="C24" s="3"/>
      <c r="D24" s="4"/>
      <c r="E24" s="3"/>
      <c r="F24" s="6"/>
      <c r="G24" s="3"/>
      <c r="H24" s="4"/>
      <c r="I24" s="3"/>
      <c r="J24" s="4"/>
      <c r="K24" s="3"/>
    </row>
    <row r="25" spans="1:11">
      <c r="A25" s="3" t="s">
        <v>600</v>
      </c>
      <c r="B25" s="3"/>
      <c r="C25" s="3"/>
      <c r="D25" s="4"/>
      <c r="E25" s="3"/>
      <c r="F25" s="6"/>
      <c r="G25" s="3"/>
      <c r="H25" s="4"/>
      <c r="I25" s="3"/>
      <c r="J25" s="4"/>
      <c r="K25" s="3"/>
    </row>
    <row r="26" spans="1:11">
      <c r="A26" s="3" t="s">
        <v>601</v>
      </c>
      <c r="B26" s="3"/>
      <c r="C26" s="3"/>
      <c r="D26" s="4"/>
      <c r="E26" s="3"/>
      <c r="F26" s="6"/>
      <c r="G26" s="3"/>
      <c r="H26" s="4"/>
      <c r="I26" s="3"/>
      <c r="J26" s="4"/>
      <c r="K26" s="3"/>
    </row>
    <row r="27" spans="1:11">
      <c r="A27" s="3" t="s">
        <v>602</v>
      </c>
      <c r="B27" s="3"/>
      <c r="C27" s="3"/>
      <c r="D27" s="4"/>
      <c r="E27" s="3"/>
      <c r="F27" s="6"/>
      <c r="G27" s="3"/>
      <c r="H27" s="4"/>
      <c r="I27" s="3"/>
      <c r="J27" s="4"/>
      <c r="K27" s="3"/>
    </row>
    <row r="28" spans="1:11">
      <c r="A28" s="3" t="s">
        <v>603</v>
      </c>
      <c r="B28" s="3"/>
      <c r="C28" s="3"/>
      <c r="D28" s="4"/>
      <c r="E28" s="3"/>
      <c r="F28" s="6"/>
      <c r="G28" s="3"/>
      <c r="H28" s="4"/>
      <c r="I28" s="3"/>
      <c r="J28" s="4"/>
      <c r="K28" s="3"/>
    </row>
    <row r="29" spans="1:11">
      <c r="A29" s="3" t="s">
        <v>604</v>
      </c>
      <c r="B29" s="3"/>
      <c r="C29" s="3"/>
      <c r="D29" s="4"/>
      <c r="E29" s="3"/>
      <c r="F29" s="6"/>
      <c r="G29" s="3"/>
      <c r="H29" s="4"/>
      <c r="I29" s="3"/>
      <c r="J29" s="4"/>
      <c r="K29" s="3"/>
    </row>
    <row r="30" spans="1:11">
      <c r="A30" s="3" t="s">
        <v>605</v>
      </c>
      <c r="B30" s="3"/>
      <c r="C30" s="3"/>
      <c r="D30" s="4"/>
      <c r="E30" s="3"/>
      <c r="F30" s="6"/>
      <c r="G30" s="3"/>
      <c r="H30" s="4"/>
      <c r="I30" s="3"/>
      <c r="J30" s="4"/>
      <c r="K30" s="3"/>
    </row>
    <row r="31" spans="1:11">
      <c r="A31" s="3" t="s">
        <v>606</v>
      </c>
      <c r="B31" s="3"/>
      <c r="C31" s="3"/>
      <c r="D31" s="4"/>
      <c r="E31" s="3"/>
      <c r="F31" s="6"/>
      <c r="G31" s="3"/>
      <c r="H31" s="4"/>
      <c r="I31" s="3"/>
      <c r="J31" s="4"/>
      <c r="K31" s="3"/>
    </row>
    <row r="32" spans="1:11">
      <c r="A32" s="3" t="s">
        <v>607</v>
      </c>
      <c r="B32" s="3"/>
      <c r="C32" s="3"/>
      <c r="D32" s="4"/>
      <c r="E32" s="3"/>
      <c r="F32" s="6"/>
      <c r="G32" s="3"/>
      <c r="H32" s="4"/>
      <c r="I32" s="3"/>
      <c r="J32" s="4"/>
      <c r="K32" s="3"/>
    </row>
    <row r="33" spans="1:11">
      <c r="A33" s="3" t="s">
        <v>608</v>
      </c>
      <c r="B33" s="3"/>
      <c r="C33" s="3"/>
      <c r="D33" s="4"/>
      <c r="E33" s="3"/>
      <c r="F33" s="6"/>
      <c r="G33" s="3"/>
      <c r="H33" s="4"/>
      <c r="I33" s="3"/>
      <c r="J33" s="4"/>
      <c r="K33" s="3"/>
    </row>
    <row r="34" spans="1:11">
      <c r="A34" s="3" t="s">
        <v>609</v>
      </c>
      <c r="B34" s="3"/>
      <c r="C34" s="3"/>
      <c r="D34" s="4"/>
      <c r="E34" s="3"/>
      <c r="F34" s="6"/>
      <c r="G34" s="3"/>
      <c r="H34" s="4"/>
      <c r="I34" s="3"/>
      <c r="J34" s="4"/>
      <c r="K34" s="3"/>
    </row>
    <row r="35" spans="1:11">
      <c r="A35" s="3" t="s">
        <v>610</v>
      </c>
      <c r="B35" s="3"/>
      <c r="C35" s="3"/>
      <c r="D35" s="4"/>
      <c r="E35" s="3"/>
      <c r="F35" s="6"/>
      <c r="G35" s="3"/>
      <c r="H35" s="4"/>
      <c r="I35" s="3"/>
      <c r="J35" s="4"/>
      <c r="K35" s="3"/>
    </row>
    <row r="36" spans="1:11">
      <c r="A36" s="3" t="s">
        <v>611</v>
      </c>
      <c r="B36" s="3"/>
      <c r="C36" s="3"/>
      <c r="D36" s="4"/>
      <c r="E36" s="3"/>
      <c r="F36" s="6"/>
      <c r="G36" s="3"/>
      <c r="H36" s="4"/>
      <c r="I36" s="3"/>
      <c r="J36" s="4"/>
      <c r="K36" s="3"/>
    </row>
    <row r="37" spans="1:11">
      <c r="A37" s="3" t="s">
        <v>612</v>
      </c>
      <c r="B37" s="3"/>
      <c r="C37" s="3"/>
      <c r="D37" s="4"/>
      <c r="E37" s="3"/>
      <c r="F37" s="6"/>
      <c r="G37" s="3"/>
      <c r="H37" s="4"/>
      <c r="I37" s="3"/>
      <c r="J37" s="4"/>
      <c r="K37" s="3"/>
    </row>
    <row r="38" spans="1:11">
      <c r="A38" s="3" t="s">
        <v>613</v>
      </c>
      <c r="B38" s="3"/>
      <c r="C38" s="3"/>
      <c r="D38" s="4"/>
      <c r="E38" s="3"/>
      <c r="F38" s="6"/>
      <c r="G38" s="3"/>
      <c r="H38" s="4"/>
      <c r="I38" s="3"/>
      <c r="J38" s="4"/>
      <c r="K38" s="3"/>
    </row>
    <row r="39" spans="1:11">
      <c r="A39" s="3" t="s">
        <v>614</v>
      </c>
      <c r="B39" s="3"/>
      <c r="C39" s="3"/>
      <c r="D39" s="4"/>
      <c r="E39" s="3"/>
      <c r="F39" s="6"/>
      <c r="G39" s="3"/>
      <c r="H39" s="4"/>
      <c r="I39" s="3"/>
      <c r="J39" s="4"/>
      <c r="K39" s="3"/>
    </row>
    <row r="40" spans="1:11">
      <c r="A40" s="3" t="s">
        <v>615</v>
      </c>
      <c r="B40" s="3"/>
      <c r="C40" s="3"/>
      <c r="D40" s="4"/>
      <c r="E40" s="3"/>
      <c r="F40" s="6"/>
      <c r="G40" s="3"/>
      <c r="H40" s="4"/>
      <c r="I40" s="3"/>
      <c r="J40" s="4"/>
      <c r="K40" s="3"/>
    </row>
    <row r="41" spans="1:11">
      <c r="A41" s="3" t="s">
        <v>616</v>
      </c>
      <c r="B41" s="3"/>
      <c r="C41" s="3"/>
      <c r="D41" s="4"/>
      <c r="E41" s="3"/>
      <c r="F41" s="6"/>
      <c r="G41" s="3"/>
      <c r="H41" s="4"/>
      <c r="I41" s="3"/>
      <c r="J41" s="4"/>
      <c r="K41" s="3"/>
    </row>
    <row r="42" spans="1:11">
      <c r="A42" s="3" t="s">
        <v>617</v>
      </c>
      <c r="B42" s="3"/>
      <c r="C42" s="3"/>
      <c r="D42" s="4"/>
      <c r="E42" s="3"/>
      <c r="F42" s="6"/>
      <c r="G42" s="3"/>
      <c r="H42" s="4"/>
      <c r="I42" s="3"/>
      <c r="J42" s="4"/>
      <c r="K42" s="3"/>
    </row>
    <row r="43" spans="1:11">
      <c r="A43" s="3" t="s">
        <v>618</v>
      </c>
      <c r="B43" s="3"/>
      <c r="C43" s="3"/>
      <c r="D43" s="4"/>
      <c r="E43" s="3"/>
      <c r="F43" s="6"/>
      <c r="G43" s="3"/>
      <c r="H43" s="4"/>
      <c r="I43" s="3"/>
      <c r="J43" s="4"/>
      <c r="K43" s="3"/>
    </row>
    <row r="44" spans="1:11">
      <c r="A44" s="3" t="s">
        <v>619</v>
      </c>
      <c r="B44" s="3"/>
      <c r="C44" s="3"/>
      <c r="D44" s="4"/>
      <c r="E44" s="3"/>
      <c r="F44" s="6"/>
      <c r="G44" s="3"/>
      <c r="H44" s="4"/>
      <c r="I44" s="3"/>
      <c r="J44" s="4"/>
      <c r="K44" s="3"/>
    </row>
    <row r="45" spans="1:11">
      <c r="A45" s="3" t="s">
        <v>620</v>
      </c>
      <c r="B45" s="3"/>
      <c r="C45" s="3"/>
      <c r="D45" s="4"/>
      <c r="E45" s="3"/>
      <c r="F45" s="6"/>
      <c r="G45" s="3"/>
      <c r="H45" s="4"/>
      <c r="I45" s="3"/>
      <c r="J45" s="4"/>
      <c r="K45" s="3"/>
    </row>
    <row r="46" spans="1:11">
      <c r="A46" s="3" t="s">
        <v>621</v>
      </c>
      <c r="B46" s="3"/>
      <c r="C46" s="3"/>
      <c r="D46" s="4"/>
      <c r="E46" s="3"/>
      <c r="F46" s="6"/>
      <c r="G46" s="3"/>
      <c r="H46" s="4"/>
      <c r="I46" s="3"/>
      <c r="J46" s="4"/>
      <c r="K46" s="3"/>
    </row>
    <row r="47" spans="1:11">
      <c r="A47" s="3" t="s">
        <v>622</v>
      </c>
      <c r="B47" s="3"/>
      <c r="C47" s="3"/>
      <c r="D47" s="4"/>
      <c r="E47" s="3"/>
      <c r="F47" s="6"/>
      <c r="G47" s="3"/>
      <c r="H47" s="4"/>
      <c r="I47" s="3"/>
      <c r="J47" s="4"/>
      <c r="K47" s="3"/>
    </row>
    <row r="48" spans="1:11">
      <c r="A48" s="3" t="s">
        <v>623</v>
      </c>
      <c r="B48" s="3"/>
      <c r="C48" s="3"/>
      <c r="D48" s="4"/>
      <c r="E48" s="3"/>
      <c r="F48" s="6"/>
      <c r="G48" s="3"/>
      <c r="H48" s="4"/>
      <c r="I48" s="3"/>
      <c r="J48" s="4"/>
      <c r="K48" s="3"/>
    </row>
    <row r="49" spans="1:11">
      <c r="A49" s="3" t="s">
        <v>624</v>
      </c>
      <c r="B49" s="3"/>
      <c r="C49" s="3"/>
      <c r="D49" s="4"/>
      <c r="E49" s="3"/>
      <c r="F49" s="6"/>
      <c r="G49" s="3"/>
      <c r="H49" s="4"/>
      <c r="I49" s="3"/>
      <c r="J49" s="4"/>
      <c r="K49" s="3"/>
    </row>
    <row r="50" spans="1:11">
      <c r="A50" s="3" t="s">
        <v>625</v>
      </c>
      <c r="B50" s="3"/>
      <c r="C50" s="3"/>
      <c r="D50" s="4"/>
      <c r="E50" s="3"/>
      <c r="F50" s="6"/>
      <c r="G50" s="3"/>
      <c r="H50" s="4"/>
      <c r="I50" s="3"/>
      <c r="J50" s="4"/>
      <c r="K50" s="3"/>
    </row>
    <row r="51" spans="1:11">
      <c r="A51" s="3" t="s">
        <v>626</v>
      </c>
      <c r="B51" s="3"/>
      <c r="C51" s="3"/>
      <c r="D51" s="4"/>
      <c r="E51" s="3"/>
      <c r="F51" s="6"/>
      <c r="G51" s="3"/>
      <c r="H51" s="4"/>
      <c r="I51" s="3"/>
      <c r="J51" s="4"/>
      <c r="K51" s="3"/>
    </row>
    <row r="52" spans="1:11">
      <c r="A52" s="3" t="s">
        <v>627</v>
      </c>
      <c r="B52" s="3"/>
      <c r="C52" s="3"/>
      <c r="D52" s="4"/>
      <c r="E52" s="3"/>
      <c r="F52" s="6"/>
      <c r="G52" s="3"/>
      <c r="H52" s="4"/>
      <c r="I52" s="3"/>
      <c r="J52" s="4"/>
      <c r="K52" s="3"/>
    </row>
    <row r="53" spans="1:11">
      <c r="A53" s="3" t="s">
        <v>628</v>
      </c>
      <c r="B53" s="3"/>
      <c r="C53" s="3"/>
      <c r="D53" s="4"/>
      <c r="E53" s="3"/>
      <c r="F53" s="6"/>
      <c r="G53" s="3"/>
      <c r="H53" s="4"/>
      <c r="I53" s="3"/>
      <c r="J53" s="4"/>
      <c r="K53" s="3"/>
    </row>
    <row r="54" spans="1:11">
      <c r="A54" s="3" t="s">
        <v>629</v>
      </c>
      <c r="B54" s="3"/>
      <c r="C54" s="3"/>
      <c r="D54" s="4"/>
      <c r="E54" s="3"/>
      <c r="F54" s="6"/>
      <c r="G54" s="3"/>
      <c r="H54" s="4"/>
      <c r="I54" s="3"/>
      <c r="J54" s="4"/>
      <c r="K54" s="3"/>
    </row>
    <row r="55" spans="1:11">
      <c r="A55" s="3" t="s">
        <v>630</v>
      </c>
      <c r="B55" s="3"/>
      <c r="C55" s="3"/>
      <c r="D55" s="4"/>
      <c r="E55" s="3"/>
      <c r="F55" s="6"/>
      <c r="G55" s="3"/>
      <c r="H55" s="4"/>
      <c r="I55" s="3"/>
      <c r="J55" s="4"/>
      <c r="K55" s="3"/>
    </row>
    <row r="56" spans="1:11">
      <c r="A56" s="3" t="s">
        <v>631</v>
      </c>
      <c r="B56" s="3"/>
      <c r="C56" s="3"/>
      <c r="D56" s="4"/>
      <c r="E56" s="3"/>
      <c r="F56" s="6"/>
      <c r="G56" s="3"/>
      <c r="H56" s="4"/>
      <c r="I56" s="3"/>
      <c r="J56" s="4"/>
      <c r="K56" s="3"/>
    </row>
    <row r="57" spans="1:11">
      <c r="A57" s="3" t="s">
        <v>632</v>
      </c>
      <c r="B57" s="3"/>
      <c r="C57" s="3"/>
      <c r="D57" s="4"/>
      <c r="E57" s="3"/>
      <c r="F57" s="6"/>
      <c r="G57" s="3"/>
      <c r="H57" s="4"/>
      <c r="I57" s="3"/>
      <c r="J57" s="4"/>
      <c r="K57" s="3"/>
    </row>
    <row r="58" spans="1:11">
      <c r="A58" s="3" t="s">
        <v>633</v>
      </c>
      <c r="B58" s="3"/>
      <c r="C58" s="3"/>
      <c r="D58" s="4"/>
      <c r="E58" s="3"/>
      <c r="F58" s="6"/>
      <c r="G58" s="3"/>
      <c r="H58" s="4"/>
      <c r="I58" s="3"/>
      <c r="J58" s="4"/>
      <c r="K58" s="3"/>
    </row>
    <row r="59" spans="1:11">
      <c r="A59" s="3" t="s">
        <v>634</v>
      </c>
      <c r="B59" s="3"/>
      <c r="C59" s="3"/>
      <c r="D59" s="4"/>
      <c r="E59" s="3"/>
      <c r="F59" s="6"/>
      <c r="G59" s="3"/>
      <c r="H59" s="4"/>
      <c r="I59" s="3"/>
      <c r="J59" s="4"/>
      <c r="K59" s="3"/>
    </row>
    <row r="60" spans="1:11">
      <c r="A60" s="3" t="s">
        <v>635</v>
      </c>
      <c r="B60" s="3"/>
      <c r="C60" s="3"/>
      <c r="D60" s="4"/>
      <c r="E60" s="3"/>
      <c r="F60" s="6"/>
      <c r="G60" s="3"/>
      <c r="H60" s="4"/>
      <c r="I60" s="3"/>
      <c r="J60" s="4"/>
      <c r="K60" s="3"/>
    </row>
    <row r="61" spans="1:11">
      <c r="A61" s="3" t="s">
        <v>636</v>
      </c>
      <c r="B61" s="3"/>
      <c r="C61" s="3"/>
      <c r="D61" s="4"/>
      <c r="E61" s="3"/>
      <c r="F61" s="6"/>
      <c r="G61" s="3"/>
      <c r="H61" s="4"/>
      <c r="I61" s="3"/>
      <c r="J61" s="4"/>
      <c r="K61" s="3"/>
    </row>
    <row r="62" spans="1:11">
      <c r="A62" s="3" t="s">
        <v>637</v>
      </c>
      <c r="B62" s="3"/>
      <c r="C62" s="3"/>
      <c r="D62" s="4"/>
      <c r="E62" s="3"/>
      <c r="F62" s="6"/>
      <c r="G62" s="3"/>
      <c r="H62" s="4"/>
      <c r="I62" s="3"/>
      <c r="J62" s="4"/>
      <c r="K62" s="3"/>
    </row>
    <row r="63" spans="1:11">
      <c r="A63" s="3" t="s">
        <v>638</v>
      </c>
      <c r="B63" s="3"/>
      <c r="C63" s="3"/>
      <c r="D63" s="4"/>
      <c r="E63" s="3"/>
      <c r="F63" s="6"/>
      <c r="G63" s="3"/>
      <c r="H63" s="4"/>
      <c r="I63" s="3"/>
      <c r="J63" s="4"/>
      <c r="K63" s="3"/>
    </row>
    <row r="64" spans="1:11">
      <c r="A64" s="3" t="s">
        <v>639</v>
      </c>
      <c r="B64" s="3"/>
      <c r="C64" s="3"/>
      <c r="D64" s="4"/>
      <c r="E64" s="3"/>
      <c r="F64" s="6"/>
      <c r="G64" s="3"/>
      <c r="H64" s="4"/>
      <c r="I64" s="3"/>
      <c r="J64" s="4"/>
      <c r="K64" s="3"/>
    </row>
    <row r="65" spans="1:11">
      <c r="A65" s="3" t="s">
        <v>640</v>
      </c>
      <c r="B65" s="3"/>
      <c r="C65" s="3"/>
      <c r="D65" s="4"/>
      <c r="E65" s="3"/>
      <c r="F65" s="6"/>
      <c r="G65" s="3"/>
      <c r="H65" s="4"/>
      <c r="I65" s="3"/>
      <c r="J65" s="4"/>
      <c r="K65" s="3"/>
    </row>
    <row r="66" spans="1:11">
      <c r="A66" s="3" t="s">
        <v>641</v>
      </c>
      <c r="B66" s="3"/>
      <c r="C66" s="3"/>
      <c r="D66" s="4"/>
      <c r="E66" s="3"/>
      <c r="F66" s="6"/>
      <c r="G66" s="3"/>
      <c r="H66" s="4"/>
      <c r="I66" s="3"/>
      <c r="J66" s="4"/>
      <c r="K66" s="3"/>
    </row>
    <row r="67" spans="1:11">
      <c r="A67" s="3" t="s">
        <v>642</v>
      </c>
      <c r="B67" s="3"/>
      <c r="C67" s="3"/>
      <c r="D67" s="4"/>
      <c r="E67" s="3"/>
      <c r="F67" s="6"/>
      <c r="G67" s="3"/>
      <c r="H67" s="4"/>
      <c r="I67" s="3"/>
      <c r="J67" s="4"/>
      <c r="K67" s="3"/>
    </row>
    <row r="68" spans="1:11">
      <c r="A68" s="3" t="s">
        <v>643</v>
      </c>
      <c r="B68" s="3"/>
      <c r="C68" s="3"/>
      <c r="D68" s="4"/>
      <c r="E68" s="3"/>
      <c r="F68" s="6"/>
      <c r="G68" s="3"/>
      <c r="H68" s="4"/>
      <c r="I68" s="3"/>
      <c r="J68" s="4"/>
      <c r="K68" s="3"/>
    </row>
    <row r="69" spans="1:11">
      <c r="A69" s="3" t="s">
        <v>644</v>
      </c>
      <c r="B69" s="3"/>
      <c r="C69" s="3"/>
      <c r="D69" s="4"/>
      <c r="E69" s="3"/>
      <c r="F69" s="6"/>
      <c r="G69" s="3"/>
      <c r="H69" s="4"/>
      <c r="I69" s="3"/>
      <c r="J69" s="4"/>
      <c r="K69" s="3"/>
    </row>
    <row r="70" spans="1:11">
      <c r="A70" s="3" t="s">
        <v>645</v>
      </c>
      <c r="B70" s="3"/>
      <c r="C70" s="3"/>
      <c r="D70" s="4"/>
      <c r="E70" s="3"/>
      <c r="F70" s="6"/>
      <c r="G70" s="3"/>
      <c r="H70" s="4"/>
      <c r="I70" s="3"/>
      <c r="J70" s="4"/>
      <c r="K70" s="3"/>
    </row>
    <row r="71" spans="1:11">
      <c r="A71" s="3" t="s">
        <v>646</v>
      </c>
      <c r="B71" s="3"/>
      <c r="C71" s="3"/>
      <c r="D71" s="4"/>
      <c r="E71" s="3"/>
      <c r="F71" s="6"/>
      <c r="G71" s="3"/>
      <c r="H71" s="4"/>
      <c r="I71" s="3"/>
      <c r="J71" s="4"/>
      <c r="K71" s="3"/>
    </row>
    <row r="72" spans="1:11">
      <c r="A72" s="3" t="s">
        <v>647</v>
      </c>
      <c r="B72" s="3"/>
      <c r="C72" s="3"/>
      <c r="D72" s="4"/>
      <c r="E72" s="3"/>
      <c r="F72" s="6"/>
      <c r="G72" s="3"/>
      <c r="H72" s="4"/>
      <c r="I72" s="3"/>
      <c r="J72" s="4"/>
      <c r="K72" s="3"/>
    </row>
    <row r="73" spans="1:11">
      <c r="A73" s="3" t="s">
        <v>648</v>
      </c>
      <c r="B73" s="3"/>
      <c r="C73" s="3"/>
      <c r="D73" s="4"/>
      <c r="E73" s="3"/>
      <c r="F73" s="6"/>
      <c r="G73" s="3"/>
      <c r="H73" s="4"/>
      <c r="I73" s="3"/>
      <c r="J73" s="4"/>
      <c r="K73" s="3"/>
    </row>
    <row r="74" spans="1:11">
      <c r="A74" s="3" t="s">
        <v>649</v>
      </c>
      <c r="B74" s="3"/>
      <c r="C74" s="3"/>
      <c r="D74" s="4"/>
      <c r="E74" s="3"/>
      <c r="F74" s="6"/>
      <c r="G74" s="3"/>
      <c r="H74" s="4"/>
      <c r="I74" s="3"/>
      <c r="J74" s="4"/>
      <c r="K74" s="3"/>
    </row>
    <row r="75" spans="1:11">
      <c r="A75" s="3" t="s">
        <v>650</v>
      </c>
      <c r="B75" s="3"/>
      <c r="C75" s="3"/>
      <c r="D75" s="4"/>
      <c r="E75" s="3"/>
      <c r="F75" s="6"/>
      <c r="G75" s="3"/>
      <c r="H75" s="4"/>
      <c r="I75" s="3"/>
      <c r="J75" s="4"/>
      <c r="K75" s="3"/>
    </row>
    <row r="76" spans="1:11">
      <c r="A76" s="3" t="s">
        <v>651</v>
      </c>
      <c r="B76" s="3"/>
      <c r="C76" s="3"/>
      <c r="D76" s="4"/>
      <c r="E76" s="3"/>
      <c r="F76" s="6"/>
      <c r="G76" s="3"/>
      <c r="H76" s="4"/>
      <c r="I76" s="3"/>
      <c r="J76" s="4"/>
      <c r="K76" s="3"/>
    </row>
    <row r="77" spans="1:11">
      <c r="A77" s="3" t="s">
        <v>652</v>
      </c>
      <c r="B77" s="3"/>
      <c r="C77" s="3"/>
      <c r="D77" s="4"/>
      <c r="E77" s="3"/>
      <c r="F77" s="6"/>
      <c r="G77" s="3"/>
      <c r="H77" s="4"/>
      <c r="I77" s="3"/>
      <c r="J77" s="4"/>
      <c r="K77" s="3"/>
    </row>
    <row r="78" spans="1:11">
      <c r="A78" s="3" t="s">
        <v>653</v>
      </c>
      <c r="B78" s="3"/>
      <c r="C78" s="3"/>
      <c r="D78" s="4"/>
      <c r="E78" s="3"/>
      <c r="F78" s="6"/>
      <c r="G78" s="3"/>
      <c r="H78" s="4"/>
      <c r="I78" s="3"/>
      <c r="J78" s="4"/>
      <c r="K78" s="3"/>
    </row>
    <row r="79" spans="1:11">
      <c r="A79" s="3" t="s">
        <v>654</v>
      </c>
      <c r="B79" s="3"/>
      <c r="C79" s="3"/>
      <c r="D79" s="4"/>
      <c r="E79" s="3"/>
      <c r="F79" s="6"/>
      <c r="G79" s="3"/>
      <c r="H79" s="4"/>
      <c r="I79" s="3"/>
      <c r="J79" s="4"/>
      <c r="K79" s="3"/>
    </row>
    <row r="80" spans="1:11">
      <c r="A80" s="3" t="s">
        <v>655</v>
      </c>
      <c r="B80" s="3"/>
      <c r="C80" s="3"/>
      <c r="D80" s="4"/>
      <c r="E80" s="3"/>
      <c r="F80" s="6"/>
      <c r="G80" s="3"/>
      <c r="H80" s="4"/>
      <c r="I80" s="3"/>
      <c r="J80" s="4"/>
      <c r="K80" s="3"/>
    </row>
    <row r="81" spans="1:11">
      <c r="A81" s="3" t="s">
        <v>656</v>
      </c>
      <c r="B81" s="3"/>
      <c r="C81" s="3"/>
      <c r="D81" s="4"/>
      <c r="E81" s="3"/>
      <c r="F81" s="6"/>
      <c r="G81" s="3"/>
      <c r="H81" s="4"/>
      <c r="I81" s="3"/>
      <c r="J81" s="4"/>
      <c r="K81" s="3"/>
    </row>
    <row r="82" spans="1:11">
      <c r="A82" s="3" t="s">
        <v>657</v>
      </c>
      <c r="B82" s="3"/>
      <c r="C82" s="3"/>
      <c r="D82" s="4"/>
      <c r="E82" s="3"/>
      <c r="F82" s="6"/>
      <c r="G82" s="3"/>
      <c r="H82" s="4"/>
      <c r="I82" s="3"/>
      <c r="J82" s="4"/>
      <c r="K82" s="3"/>
    </row>
    <row r="83" spans="1:11">
      <c r="A83" s="3" t="s">
        <v>658</v>
      </c>
      <c r="B83" s="3"/>
      <c r="C83" s="3"/>
      <c r="D83" s="4"/>
      <c r="E83" s="3"/>
      <c r="F83" s="6"/>
      <c r="G83" s="3"/>
      <c r="H83" s="4"/>
      <c r="I83" s="3"/>
      <c r="J83" s="4"/>
      <c r="K83" s="3"/>
    </row>
    <row r="84" spans="1:11">
      <c r="A84" s="3" t="s">
        <v>659</v>
      </c>
      <c r="B84" s="3"/>
      <c r="C84" s="3"/>
      <c r="D84" s="4"/>
      <c r="E84" s="3"/>
      <c r="F84" s="6"/>
      <c r="G84" s="3"/>
      <c r="H84" s="4"/>
      <c r="I84" s="3"/>
      <c r="J84" s="4"/>
      <c r="K84" s="3"/>
    </row>
    <row r="85" spans="1:11">
      <c r="A85" s="3" t="s">
        <v>660</v>
      </c>
      <c r="B85" s="3"/>
      <c r="C85" s="3"/>
      <c r="D85" s="4"/>
      <c r="E85" s="3"/>
      <c r="F85" s="6"/>
      <c r="G85" s="3"/>
      <c r="H85" s="4"/>
      <c r="I85" s="3"/>
      <c r="J85" s="4"/>
      <c r="K85" s="3"/>
    </row>
    <row r="86" spans="1:11">
      <c r="A86" s="3" t="s">
        <v>661</v>
      </c>
      <c r="B86" s="3"/>
      <c r="C86" s="3"/>
      <c r="D86" s="4"/>
      <c r="E86" s="3"/>
      <c r="F86" s="6"/>
      <c r="G86" s="3"/>
      <c r="H86" s="4"/>
      <c r="I86" s="3"/>
      <c r="J86" s="4"/>
      <c r="K86" s="3"/>
    </row>
    <row r="87" spans="1:11">
      <c r="A87" s="3" t="s">
        <v>662</v>
      </c>
      <c r="B87" s="3"/>
      <c r="C87" s="3"/>
      <c r="D87" s="4"/>
      <c r="E87" s="3"/>
      <c r="F87" s="6"/>
      <c r="G87" s="3"/>
      <c r="H87" s="4"/>
      <c r="I87" s="3"/>
      <c r="J87" s="4"/>
      <c r="K87" s="3"/>
    </row>
    <row r="88" spans="1:11">
      <c r="A88" s="3" t="s">
        <v>663</v>
      </c>
      <c r="B88" s="3"/>
      <c r="C88" s="3"/>
      <c r="D88" s="4"/>
      <c r="E88" s="3"/>
      <c r="F88" s="6"/>
      <c r="G88" s="3"/>
      <c r="H88" s="4"/>
      <c r="I88" s="3"/>
      <c r="J88" s="4"/>
      <c r="K88" s="3"/>
    </row>
    <row r="89" spans="1:11">
      <c r="A89" s="3" t="s">
        <v>664</v>
      </c>
      <c r="B89" s="3"/>
      <c r="C89" s="3"/>
      <c r="D89" s="4"/>
      <c r="E89" s="3"/>
      <c r="F89" s="6"/>
      <c r="G89" s="3"/>
      <c r="H89" s="4"/>
      <c r="I89" s="3"/>
      <c r="J89" s="4"/>
      <c r="K89" s="3"/>
    </row>
    <row r="90" spans="1:11">
      <c r="A90" s="3" t="s">
        <v>665</v>
      </c>
      <c r="B90" s="3"/>
      <c r="C90" s="3"/>
      <c r="D90" s="4"/>
      <c r="E90" s="3"/>
      <c r="F90" s="6"/>
      <c r="G90" s="3"/>
      <c r="H90" s="4"/>
      <c r="I90" s="3"/>
      <c r="J90" s="4"/>
      <c r="K90" s="3"/>
    </row>
    <row r="91" spans="1:11">
      <c r="A91" s="3" t="s">
        <v>666</v>
      </c>
      <c r="B91" s="3"/>
      <c r="C91" s="3"/>
      <c r="D91" s="4"/>
      <c r="E91" s="3"/>
      <c r="F91" s="6"/>
      <c r="G91" s="3"/>
      <c r="H91" s="4"/>
      <c r="I91" s="3"/>
      <c r="J91" s="4"/>
      <c r="K91" s="3"/>
    </row>
    <row r="92" spans="1:11">
      <c r="A92" s="3" t="s">
        <v>667</v>
      </c>
      <c r="B92" s="3"/>
      <c r="C92" s="3"/>
      <c r="D92" s="4"/>
      <c r="E92" s="3"/>
      <c r="F92" s="6"/>
      <c r="G92" s="3"/>
      <c r="H92" s="4"/>
      <c r="I92" s="3"/>
      <c r="J92" s="4"/>
      <c r="K92" s="3"/>
    </row>
    <row r="93" spans="1:11">
      <c r="A93" s="3" t="s">
        <v>668</v>
      </c>
      <c r="B93" s="3"/>
      <c r="C93" s="3"/>
      <c r="D93" s="4"/>
      <c r="E93" s="3"/>
      <c r="F93" s="6"/>
      <c r="G93" s="3"/>
      <c r="H93" s="4"/>
      <c r="I93" s="3"/>
      <c r="J93" s="4"/>
      <c r="K93" s="3"/>
    </row>
    <row r="94" spans="1:11">
      <c r="A94" s="3" t="s">
        <v>669</v>
      </c>
      <c r="B94" s="3"/>
      <c r="C94" s="3"/>
      <c r="D94" s="4"/>
      <c r="E94" s="3"/>
      <c r="F94" s="6"/>
      <c r="G94" s="3"/>
      <c r="H94" s="4"/>
      <c r="I94" s="3"/>
      <c r="J94" s="4"/>
      <c r="K94" s="3"/>
    </row>
    <row r="95" spans="1:11">
      <c r="A95" s="3" t="s">
        <v>670</v>
      </c>
      <c r="B95" s="3"/>
      <c r="C95" s="3"/>
      <c r="D95" s="4"/>
      <c r="E95" s="3"/>
      <c r="F95" s="6"/>
      <c r="G95" s="3"/>
      <c r="H95" s="4"/>
      <c r="I95" s="3"/>
      <c r="J95" s="4"/>
      <c r="K95" s="3"/>
    </row>
    <row r="96" spans="1:11">
      <c r="A96" s="3" t="s">
        <v>671</v>
      </c>
      <c r="B96" s="3"/>
      <c r="C96" s="3"/>
      <c r="D96" s="4"/>
      <c r="E96" s="3"/>
      <c r="F96" s="6"/>
      <c r="G96" s="3"/>
      <c r="H96" s="4"/>
      <c r="I96" s="3"/>
      <c r="J96" s="4"/>
      <c r="K96" s="3"/>
    </row>
    <row r="97" spans="1:11">
      <c r="A97" s="3" t="s">
        <v>672</v>
      </c>
      <c r="B97" s="3"/>
      <c r="C97" s="3"/>
      <c r="D97" s="4"/>
      <c r="E97" s="3"/>
      <c r="F97" s="6"/>
      <c r="G97" s="3"/>
      <c r="H97" s="4"/>
      <c r="I97" s="3"/>
      <c r="J97" s="4"/>
      <c r="K97" s="3"/>
    </row>
    <row r="98" spans="1:11">
      <c r="A98" s="3" t="s">
        <v>673</v>
      </c>
      <c r="B98" s="3"/>
      <c r="C98" s="3"/>
      <c r="D98" s="4"/>
      <c r="E98" s="3"/>
      <c r="F98" s="6"/>
      <c r="G98" s="3"/>
      <c r="H98" s="4"/>
      <c r="I98" s="3"/>
      <c r="J98" s="4"/>
      <c r="K98" s="3"/>
    </row>
    <row r="99" spans="1:11">
      <c r="A99" s="3" t="s">
        <v>674</v>
      </c>
      <c r="B99" s="3"/>
      <c r="C99" s="3"/>
      <c r="D99" s="4"/>
      <c r="E99" s="3"/>
      <c r="F99" s="6"/>
      <c r="G99" s="3"/>
      <c r="H99" s="4"/>
      <c r="I99" s="3"/>
      <c r="J99" s="4"/>
      <c r="K99" s="3"/>
    </row>
    <row r="100" spans="1:11">
      <c r="A100" s="3" t="s">
        <v>675</v>
      </c>
      <c r="B100" s="3"/>
      <c r="C100" s="3"/>
      <c r="D100" s="4"/>
      <c r="E100" s="3"/>
      <c r="F100" s="6"/>
      <c r="G100" s="3"/>
      <c r="H100" s="4"/>
      <c r="I100" s="3"/>
      <c r="J100" s="4"/>
      <c r="K100" s="3"/>
    </row>
    <row r="101" spans="1:11">
      <c r="A101" s="3"/>
      <c r="B101" s="3"/>
      <c r="C101" s="3"/>
      <c r="D101" s="4"/>
      <c r="E101" s="3"/>
      <c r="F101" s="6"/>
      <c r="G101" s="3"/>
      <c r="H101" s="4"/>
      <c r="I101" s="3"/>
      <c r="J101" s="4"/>
      <c r="K101" s="3"/>
    </row>
    <row r="102" spans="1:11">
      <c r="A102" s="3"/>
      <c r="B102" s="3"/>
      <c r="C102" s="3"/>
      <c r="D102" s="4"/>
      <c r="E102" s="3"/>
      <c r="F102" s="6"/>
      <c r="G102" s="3"/>
      <c r="H102" s="4"/>
      <c r="I102" s="3"/>
      <c r="J102" s="4"/>
      <c r="K102" s="3"/>
    </row>
    <row r="103" spans="1:11">
      <c r="A103" s="3"/>
      <c r="B103" s="3"/>
      <c r="C103" s="3"/>
      <c r="D103" s="4"/>
      <c r="E103" s="3"/>
      <c r="F103" s="6"/>
      <c r="G103" s="3"/>
      <c r="H103" s="4"/>
      <c r="I103" s="3"/>
      <c r="J103" s="4"/>
      <c r="K103" s="3"/>
    </row>
    <row r="104" spans="1:11">
      <c r="A104" s="3"/>
      <c r="B104" s="3"/>
      <c r="C104" s="3"/>
      <c r="D104" s="4"/>
      <c r="E104" s="3"/>
      <c r="F104" s="6"/>
      <c r="G104" s="3"/>
      <c r="H104" s="4"/>
      <c r="I104" s="3"/>
      <c r="J104" s="4"/>
      <c r="K104" s="3"/>
    </row>
    <row r="105" spans="1:11">
      <c r="A105" s="3"/>
      <c r="B105" s="3"/>
      <c r="C105" s="3"/>
      <c r="D105" s="4"/>
      <c r="E105" s="3"/>
      <c r="F105" s="6"/>
      <c r="G105" s="3"/>
      <c r="H105" s="4"/>
      <c r="I105" s="3"/>
      <c r="J105" s="4"/>
      <c r="K105" s="3"/>
    </row>
    <row r="106" spans="1:11">
      <c r="A106" s="3"/>
      <c r="B106" s="3"/>
      <c r="C106" s="3"/>
      <c r="D106" s="4"/>
      <c r="E106" s="3"/>
      <c r="F106" s="6"/>
      <c r="G106" s="3"/>
      <c r="H106" s="4"/>
      <c r="I106" s="3"/>
      <c r="J106" s="4"/>
      <c r="K106" s="3"/>
    </row>
    <row r="107" spans="1:11">
      <c r="A107" s="3"/>
      <c r="B107" s="3"/>
      <c r="C107" s="3"/>
      <c r="D107" s="4"/>
      <c r="E107" s="3"/>
      <c r="F107" s="6"/>
      <c r="G107" s="3"/>
      <c r="H107" s="4"/>
      <c r="I107" s="3"/>
      <c r="J107" s="4"/>
      <c r="K107" s="3"/>
    </row>
    <row r="108" spans="1:11">
      <c r="A108" s="3"/>
      <c r="B108" s="3"/>
      <c r="C108" s="3"/>
      <c r="D108" s="4"/>
      <c r="E108" s="3"/>
      <c r="F108" s="6"/>
      <c r="G108" s="3"/>
      <c r="H108" s="4"/>
      <c r="I108" s="3"/>
      <c r="J108" s="4"/>
      <c r="K108" s="3"/>
    </row>
    <row r="109" spans="1:11">
      <c r="A109" s="3"/>
      <c r="B109" s="3"/>
      <c r="C109" s="3"/>
      <c r="D109" s="4"/>
      <c r="E109" s="3"/>
      <c r="F109" s="6"/>
      <c r="G109" s="3"/>
      <c r="H109" s="4"/>
      <c r="I109" s="3"/>
      <c r="J109" s="4"/>
      <c r="K109" s="3"/>
    </row>
    <row r="110" spans="1:11">
      <c r="A110" s="3"/>
      <c r="B110" s="3"/>
      <c r="C110" s="3"/>
      <c r="D110" s="4"/>
      <c r="E110" s="3"/>
      <c r="F110" s="6"/>
      <c r="G110" s="3"/>
      <c r="H110" s="4"/>
      <c r="I110" s="3"/>
      <c r="J110" s="4"/>
      <c r="K110" s="3"/>
    </row>
    <row r="111" spans="1:11">
      <c r="A111" s="3"/>
      <c r="B111" s="3"/>
      <c r="C111" s="3"/>
      <c r="D111" s="4"/>
      <c r="E111" s="3"/>
      <c r="F111" s="6"/>
      <c r="G111" s="3"/>
      <c r="H111" s="4"/>
      <c r="I111" s="3"/>
      <c r="J111" s="4"/>
      <c r="K111" s="3"/>
    </row>
    <row r="112" spans="1:11">
      <c r="A112" s="3"/>
      <c r="B112" s="3"/>
      <c r="C112" s="3"/>
      <c r="D112" s="4"/>
      <c r="E112" s="3"/>
      <c r="F112" s="6"/>
      <c r="G112" s="3"/>
      <c r="H112" s="4"/>
      <c r="I112" s="3"/>
      <c r="J112" s="4"/>
      <c r="K112" s="3"/>
    </row>
    <row r="113" spans="1:11">
      <c r="A113" s="3"/>
      <c r="B113" s="3"/>
      <c r="C113" s="3"/>
      <c r="D113" s="4"/>
      <c r="E113" s="3"/>
      <c r="F113" s="6"/>
      <c r="G113" s="3"/>
      <c r="H113" s="4"/>
      <c r="I113" s="3"/>
      <c r="J113" s="4"/>
      <c r="K113" s="3"/>
    </row>
    <row r="114" spans="1:11">
      <c r="A114" s="3"/>
      <c r="B114" s="3"/>
      <c r="C114" s="3"/>
      <c r="D114" s="4"/>
      <c r="E114" s="3"/>
      <c r="F114" s="6"/>
      <c r="G114" s="3"/>
      <c r="H114" s="4"/>
      <c r="I114" s="3"/>
      <c r="J114" s="4"/>
      <c r="K114" s="3"/>
    </row>
    <row r="115" spans="1:11">
      <c r="A115" s="3"/>
      <c r="B115" s="3"/>
      <c r="C115" s="3"/>
      <c r="D115" s="4"/>
      <c r="E115" s="3"/>
      <c r="F115" s="6"/>
      <c r="G115" s="3"/>
      <c r="H115" s="4"/>
      <c r="I115" s="3"/>
      <c r="J115" s="4"/>
      <c r="K115" s="3"/>
    </row>
    <row r="116" spans="1:11">
      <c r="A116" s="3"/>
      <c r="B116" s="3"/>
      <c r="C116" s="3"/>
      <c r="D116" s="4"/>
      <c r="E116" s="3"/>
      <c r="F116" s="6"/>
      <c r="G116" s="3"/>
      <c r="H116" s="4"/>
      <c r="I116" s="3"/>
      <c r="J116" s="4"/>
      <c r="K116" s="3"/>
    </row>
    <row r="117" spans="1:11">
      <c r="A117" s="3"/>
      <c r="B117" s="3"/>
      <c r="C117" s="3"/>
      <c r="D117" s="4"/>
      <c r="E117" s="3"/>
      <c r="F117" s="6"/>
      <c r="G117" s="3"/>
      <c r="H117" s="4"/>
      <c r="I117" s="3"/>
      <c r="J117" s="4"/>
      <c r="K117" s="3"/>
    </row>
    <row r="118" spans="1:11">
      <c r="A118" s="3"/>
      <c r="B118" s="3"/>
      <c r="C118" s="3"/>
      <c r="D118" s="4"/>
      <c r="E118" s="3"/>
      <c r="F118" s="6"/>
      <c r="G118" s="3"/>
      <c r="H118" s="4"/>
      <c r="I118" s="3"/>
      <c r="J118" s="4"/>
      <c r="K118" s="3"/>
    </row>
    <row r="119" spans="1:11">
      <c r="A119" s="3"/>
      <c r="B119" s="3"/>
      <c r="C119" s="3"/>
      <c r="D119" s="4"/>
      <c r="E119" s="3"/>
      <c r="F119" s="6"/>
      <c r="G119" s="3"/>
      <c r="H119" s="4"/>
      <c r="I119" s="3"/>
      <c r="J119" s="4"/>
      <c r="K119" s="3"/>
    </row>
    <row r="120" spans="1:11">
      <c r="A120" s="3"/>
      <c r="B120" s="3"/>
      <c r="C120" s="3"/>
      <c r="D120" s="4"/>
      <c r="E120" s="3"/>
      <c r="F120" s="6"/>
      <c r="G120" s="3"/>
      <c r="H120" s="4"/>
      <c r="I120" s="3"/>
      <c r="J120" s="4"/>
      <c r="K120" s="3"/>
    </row>
    <row r="121" spans="1:11">
      <c r="A121" s="3"/>
      <c r="B121" s="3"/>
      <c r="C121" s="3"/>
      <c r="D121" s="4"/>
      <c r="E121" s="3"/>
      <c r="F121" s="6"/>
      <c r="G121" s="3"/>
      <c r="H121" s="4"/>
      <c r="I121" s="3"/>
      <c r="J121" s="4"/>
      <c r="K121" s="3"/>
    </row>
    <row r="122" spans="1:11">
      <c r="A122" s="3"/>
      <c r="B122" s="3"/>
      <c r="C122" s="3"/>
      <c r="D122" s="4"/>
      <c r="E122" s="3"/>
      <c r="F122" s="6"/>
      <c r="G122" s="3"/>
      <c r="H122" s="4"/>
      <c r="I122" s="3"/>
      <c r="J122" s="4"/>
      <c r="K122" s="3"/>
    </row>
    <row r="123" spans="1:11">
      <c r="A123" s="3"/>
      <c r="B123" s="3"/>
      <c r="C123" s="3"/>
      <c r="D123" s="4"/>
      <c r="E123" s="3"/>
      <c r="F123" s="6"/>
      <c r="G123" s="3"/>
      <c r="H123" s="4"/>
      <c r="I123" s="3"/>
      <c r="J123" s="4"/>
      <c r="K123" s="3"/>
    </row>
    <row r="124" spans="1:11">
      <c r="A124" s="3"/>
      <c r="B124" s="3"/>
      <c r="C124" s="3"/>
      <c r="D124" s="4"/>
      <c r="E124" s="3"/>
      <c r="F124" s="6"/>
      <c r="G124" s="3"/>
      <c r="H124" s="4"/>
      <c r="I124" s="3"/>
      <c r="J124" s="4"/>
      <c r="K124" s="3"/>
    </row>
    <row r="125" spans="1:11">
      <c r="A125" s="3"/>
      <c r="B125" s="3"/>
      <c r="C125" s="3"/>
      <c r="D125" s="4"/>
      <c r="E125" s="3"/>
      <c r="F125" s="6"/>
      <c r="G125" s="3"/>
      <c r="H125" s="4"/>
      <c r="I125" s="3"/>
      <c r="J125" s="4"/>
      <c r="K125" s="3"/>
    </row>
    <row r="126" spans="1:11">
      <c r="A126" s="3"/>
      <c r="B126" s="3"/>
      <c r="C126" s="3"/>
      <c r="D126" s="4"/>
      <c r="E126" s="3"/>
      <c r="F126" s="6"/>
      <c r="G126" s="3"/>
      <c r="H126" s="4"/>
      <c r="I126" s="3"/>
      <c r="J126" s="4"/>
      <c r="K126" s="3"/>
    </row>
    <row r="127" spans="1:11">
      <c r="A127" s="3"/>
      <c r="B127" s="3"/>
      <c r="C127" s="3"/>
      <c r="D127" s="4"/>
      <c r="E127" s="3"/>
      <c r="F127" s="6"/>
      <c r="G127" s="3"/>
      <c r="H127" s="4"/>
      <c r="I127" s="3"/>
      <c r="J127" s="4"/>
      <c r="K127" s="3"/>
    </row>
    <row r="128" spans="1:11">
      <c r="A128" s="3"/>
      <c r="B128" s="3"/>
      <c r="C128" s="3"/>
      <c r="D128" s="4"/>
      <c r="E128" s="3"/>
      <c r="F128" s="6"/>
      <c r="G128" s="3"/>
      <c r="H128" s="4"/>
      <c r="I128" s="3"/>
      <c r="J128" s="4"/>
      <c r="K128" s="3"/>
    </row>
    <row r="129" spans="1:11">
      <c r="A129" s="3"/>
      <c r="B129" s="3"/>
      <c r="C129" s="3"/>
      <c r="D129" s="4"/>
      <c r="E129" s="3"/>
      <c r="F129" s="6"/>
      <c r="G129" s="3"/>
      <c r="H129" s="4"/>
      <c r="I129" s="3"/>
      <c r="J129" s="4"/>
      <c r="K129" s="3"/>
    </row>
    <row r="130" spans="1:11">
      <c r="A130" s="3"/>
      <c r="B130" s="3"/>
      <c r="C130" s="3"/>
      <c r="D130" s="4"/>
      <c r="E130" s="3"/>
      <c r="F130" s="6"/>
      <c r="G130" s="3"/>
      <c r="H130" s="4"/>
      <c r="I130" s="3"/>
      <c r="J130" s="4"/>
      <c r="K130" s="3"/>
    </row>
    <row r="131" spans="1:11">
      <c r="A131" s="3"/>
      <c r="B131" s="3"/>
      <c r="C131" s="3"/>
      <c r="D131" s="4"/>
      <c r="E131" s="3"/>
      <c r="F131" s="6"/>
      <c r="G131" s="3"/>
      <c r="H131" s="4"/>
      <c r="I131" s="3"/>
      <c r="J131" s="4"/>
      <c r="K131" s="3"/>
    </row>
    <row r="132" spans="1:11">
      <c r="A132" s="3"/>
      <c r="B132" s="3"/>
      <c r="C132" s="3"/>
      <c r="D132" s="4"/>
      <c r="E132" s="3"/>
      <c r="F132" s="6"/>
      <c r="G132" s="3"/>
      <c r="H132" s="4"/>
      <c r="I132" s="3"/>
      <c r="J132" s="4"/>
      <c r="K132" s="3"/>
    </row>
    <row r="133" spans="1:11">
      <c r="A133" s="3"/>
      <c r="B133" s="3"/>
      <c r="C133" s="3"/>
      <c r="D133" s="4"/>
      <c r="E133" s="3"/>
      <c r="F133" s="6"/>
      <c r="G133" s="3"/>
      <c r="H133" s="4"/>
      <c r="I133" s="3"/>
      <c r="J133" s="4"/>
      <c r="K133" s="3"/>
    </row>
    <row r="134" spans="1:11">
      <c r="A134" s="3"/>
      <c r="B134" s="3"/>
      <c r="C134" s="3"/>
      <c r="D134" s="4"/>
      <c r="E134" s="3"/>
      <c r="F134" s="6"/>
      <c r="G134" s="3"/>
      <c r="H134" s="4"/>
      <c r="I134" s="3"/>
      <c r="J134" s="4"/>
      <c r="K134" s="3"/>
    </row>
    <row r="135" spans="1:11">
      <c r="A135" s="3"/>
      <c r="B135" s="3"/>
      <c r="C135" s="3"/>
      <c r="D135" s="4"/>
      <c r="E135" s="3"/>
      <c r="F135" s="6"/>
      <c r="G135" s="3"/>
      <c r="H135" s="4"/>
      <c r="I135" s="3"/>
      <c r="J135" s="4"/>
      <c r="K135" s="3"/>
    </row>
    <row r="136" spans="1:11">
      <c r="A136" s="3"/>
      <c r="B136" s="3"/>
      <c r="C136" s="3"/>
      <c r="D136" s="4"/>
      <c r="E136" s="3"/>
      <c r="F136" s="6"/>
      <c r="G136" s="3"/>
      <c r="H136" s="4"/>
      <c r="I136" s="3"/>
      <c r="J136" s="4"/>
      <c r="K136" s="3"/>
    </row>
    <row r="137" spans="1:11">
      <c r="A137" s="3"/>
      <c r="B137" s="3"/>
      <c r="C137" s="3"/>
      <c r="D137" s="4"/>
      <c r="E137" s="3"/>
      <c r="F137" s="6"/>
      <c r="G137" s="3"/>
      <c r="H137" s="4"/>
      <c r="I137" s="3"/>
      <c r="J137" s="4"/>
      <c r="K137" s="3"/>
    </row>
    <row r="138" spans="1:11">
      <c r="A138" s="3"/>
      <c r="B138" s="3"/>
      <c r="C138" s="3"/>
      <c r="D138" s="4"/>
      <c r="E138" s="3"/>
      <c r="F138" s="6"/>
      <c r="G138" s="3"/>
      <c r="H138" s="4"/>
      <c r="I138" s="3"/>
      <c r="J138" s="4"/>
      <c r="K138" s="3"/>
    </row>
    <row r="139" spans="1:11">
      <c r="A139" s="3"/>
      <c r="B139" s="3"/>
      <c r="C139" s="3"/>
      <c r="D139" s="4"/>
      <c r="E139" s="3"/>
      <c r="F139" s="6"/>
      <c r="G139" s="3"/>
      <c r="H139" s="4"/>
      <c r="I139" s="3"/>
      <c r="J139" s="4"/>
      <c r="K139" s="3"/>
    </row>
    <row r="140" spans="1:11">
      <c r="A140" s="3"/>
      <c r="B140" s="3"/>
      <c r="C140" s="3"/>
      <c r="D140" s="4"/>
      <c r="E140" s="3"/>
      <c r="F140" s="6"/>
      <c r="G140" s="3"/>
      <c r="H140" s="4"/>
      <c r="I140" s="3"/>
      <c r="J140" s="4"/>
      <c r="K140" s="3"/>
    </row>
    <row r="141" spans="1:11">
      <c r="A141" s="3"/>
      <c r="B141" s="3"/>
      <c r="C141" s="3"/>
      <c r="D141" s="4"/>
      <c r="E141" s="3"/>
      <c r="F141" s="6"/>
      <c r="G141" s="3"/>
      <c r="H141" s="4"/>
      <c r="I141" s="3"/>
      <c r="J141" s="4"/>
      <c r="K141" s="3"/>
    </row>
    <row r="142" spans="1:11">
      <c r="A142" s="3"/>
      <c r="B142" s="3"/>
      <c r="C142" s="3"/>
      <c r="D142" s="4"/>
      <c r="E142" s="3"/>
      <c r="F142" s="6"/>
      <c r="G142" s="3"/>
      <c r="H142" s="4"/>
      <c r="I142" s="3"/>
      <c r="J142" s="4"/>
      <c r="K142" s="3"/>
    </row>
    <row r="143" spans="1:11">
      <c r="A143" s="3"/>
      <c r="B143" s="3"/>
      <c r="C143" s="3"/>
      <c r="D143" s="4"/>
      <c r="E143" s="3"/>
      <c r="F143" s="6"/>
      <c r="G143" s="3"/>
      <c r="H143" s="4"/>
      <c r="I143" s="3"/>
      <c r="J143" s="4"/>
      <c r="K143" s="3"/>
    </row>
    <row r="144" spans="1:11">
      <c r="A144" s="3"/>
      <c r="B144" s="3"/>
      <c r="C144" s="3"/>
      <c r="D144" s="4"/>
      <c r="E144" s="3"/>
      <c r="F144" s="6"/>
      <c r="G144" s="3"/>
      <c r="H144" s="4"/>
      <c r="I144" s="3"/>
      <c r="J144" s="4"/>
      <c r="K144" s="3"/>
    </row>
    <row r="145" spans="1:11">
      <c r="A145" s="3"/>
      <c r="B145" s="3"/>
      <c r="C145" s="3"/>
      <c r="D145" s="4"/>
      <c r="E145" s="3"/>
      <c r="F145" s="6"/>
      <c r="G145" s="3"/>
      <c r="H145" s="4"/>
      <c r="I145" s="3"/>
      <c r="J145" s="4"/>
      <c r="K145" s="3"/>
    </row>
    <row r="146" spans="1:11">
      <c r="A146" s="3"/>
      <c r="B146" s="3"/>
      <c r="C146" s="3"/>
      <c r="D146" s="4"/>
      <c r="E146" s="3"/>
      <c r="F146" s="6"/>
      <c r="G146" s="3"/>
      <c r="H146" s="4"/>
      <c r="I146" s="3"/>
      <c r="J146" s="4"/>
      <c r="K146" s="3"/>
    </row>
    <row r="147" spans="1:11">
      <c r="A147" s="3"/>
      <c r="B147" s="3"/>
      <c r="C147" s="3"/>
      <c r="D147" s="4"/>
      <c r="E147" s="3"/>
      <c r="F147" s="6"/>
      <c r="G147" s="3"/>
      <c r="H147" s="4"/>
      <c r="I147" s="3"/>
      <c r="J147" s="4"/>
      <c r="K147" s="3"/>
    </row>
    <row r="148" spans="1:11">
      <c r="A148" s="3"/>
      <c r="B148" s="3"/>
      <c r="C148" s="3"/>
      <c r="D148" s="4"/>
      <c r="E148" s="3"/>
      <c r="F148" s="6"/>
      <c r="G148" s="3"/>
      <c r="H148" s="4"/>
      <c r="I148" s="3"/>
      <c r="J148" s="4"/>
      <c r="K148" s="3"/>
    </row>
    <row r="149" spans="1:11">
      <c r="A149" s="3"/>
      <c r="B149" s="3"/>
      <c r="C149" s="3"/>
      <c r="D149" s="4"/>
      <c r="E149" s="3"/>
      <c r="F149" s="6"/>
      <c r="G149" s="3"/>
      <c r="H149" s="4"/>
      <c r="I149" s="3"/>
      <c r="J149" s="4"/>
      <c r="K149" s="3"/>
    </row>
    <row r="150" spans="1:11">
      <c r="A150" s="3"/>
      <c r="B150" s="3"/>
      <c r="C150" s="3"/>
      <c r="D150" s="4"/>
      <c r="E150" s="3"/>
      <c r="F150" s="6"/>
      <c r="G150" s="3"/>
      <c r="H150" s="4"/>
      <c r="I150" s="3"/>
      <c r="J150" s="4"/>
      <c r="K150" s="3"/>
    </row>
    <row r="151" spans="1:11">
      <c r="A151" s="3"/>
      <c r="B151" s="3"/>
      <c r="C151" s="3"/>
      <c r="D151" s="4"/>
      <c r="E151" s="3"/>
      <c r="F151" s="6"/>
      <c r="G151" s="3"/>
      <c r="H151" s="4"/>
      <c r="I151" s="3"/>
      <c r="J151" s="4"/>
      <c r="K151" s="3"/>
    </row>
    <row r="152" spans="1:11">
      <c r="A152" s="3"/>
      <c r="B152" s="3"/>
      <c r="C152" s="3"/>
      <c r="D152" s="4"/>
      <c r="E152" s="3"/>
      <c r="F152" s="6"/>
      <c r="G152" s="3"/>
      <c r="H152" s="4"/>
      <c r="I152" s="3"/>
      <c r="J152" s="4"/>
      <c r="K152" s="3"/>
    </row>
    <row r="153" spans="1:11">
      <c r="A153" s="3"/>
      <c r="B153" s="3"/>
      <c r="C153" s="3"/>
      <c r="D153" s="4"/>
      <c r="E153" s="3"/>
      <c r="F153" s="6"/>
      <c r="G153" s="3"/>
      <c r="H153" s="4"/>
      <c r="I153" s="3"/>
      <c r="J153" s="4"/>
      <c r="K153" s="3"/>
    </row>
    <row r="154" spans="1:11">
      <c r="A154" s="3"/>
      <c r="B154" s="3"/>
      <c r="C154" s="3"/>
      <c r="D154" s="4"/>
      <c r="E154" s="3"/>
      <c r="F154" s="6"/>
      <c r="G154" s="3"/>
      <c r="H154" s="4"/>
      <c r="I154" s="3"/>
      <c r="J154" s="4"/>
      <c r="K154" s="3"/>
    </row>
    <row r="155" spans="1:11">
      <c r="A155" s="3"/>
      <c r="B155" s="3"/>
      <c r="C155" s="3"/>
      <c r="D155" s="4"/>
      <c r="E155" s="3"/>
      <c r="F155" s="6"/>
      <c r="G155" s="3"/>
      <c r="H155" s="4"/>
      <c r="I155" s="3"/>
      <c r="J155" s="4"/>
      <c r="K155" s="3"/>
    </row>
    <row r="156" spans="1:11">
      <c r="A156" s="3"/>
      <c r="B156" s="3"/>
      <c r="C156" s="3"/>
      <c r="D156" s="4"/>
      <c r="E156" s="3"/>
      <c r="F156" s="6"/>
      <c r="G156" s="3"/>
      <c r="H156" s="4"/>
      <c r="I156" s="3"/>
      <c r="J156" s="4"/>
      <c r="K156" s="3"/>
    </row>
    <row r="157" spans="1:11">
      <c r="A157" s="3"/>
      <c r="B157" s="3"/>
      <c r="C157" s="3"/>
      <c r="D157" s="4"/>
      <c r="E157" s="3"/>
      <c r="F157" s="6"/>
      <c r="G157" s="3"/>
      <c r="H157" s="4"/>
      <c r="I157" s="3"/>
      <c r="J157" s="4"/>
      <c r="K157" s="3"/>
    </row>
    <row r="158" spans="1:11">
      <c r="A158" s="3"/>
      <c r="B158" s="3"/>
      <c r="C158" s="3"/>
      <c r="D158" s="4"/>
      <c r="E158" s="3"/>
      <c r="F158" s="6"/>
      <c r="G158" s="3"/>
      <c r="H158" s="4"/>
      <c r="I158" s="3"/>
      <c r="J158" s="4"/>
      <c r="K158" s="3"/>
    </row>
    <row r="159" spans="1:11">
      <c r="A159" s="3"/>
      <c r="B159" s="3"/>
      <c r="C159" s="3"/>
      <c r="D159" s="4"/>
      <c r="E159" s="3"/>
      <c r="F159" s="6"/>
      <c r="G159" s="3"/>
      <c r="H159" s="4"/>
      <c r="I159" s="3"/>
      <c r="J159" s="4"/>
      <c r="K159" s="3"/>
    </row>
    <row r="160" spans="1:11">
      <c r="A160" s="3"/>
      <c r="B160" s="3"/>
      <c r="C160" s="3"/>
      <c r="D160" s="4"/>
      <c r="E160" s="3"/>
      <c r="F160" s="6"/>
      <c r="G160" s="3"/>
      <c r="H160" s="4"/>
      <c r="I160" s="3"/>
      <c r="J160" s="4"/>
      <c r="K160" s="3"/>
    </row>
    <row r="161" spans="1:11">
      <c r="A161" s="3"/>
      <c r="B161" s="3"/>
      <c r="C161" s="3"/>
      <c r="D161" s="4"/>
      <c r="E161" s="3"/>
      <c r="F161" s="6"/>
      <c r="G161" s="3"/>
      <c r="H161" s="4"/>
      <c r="I161" s="3"/>
      <c r="J161" s="4"/>
      <c r="K161" s="3"/>
    </row>
    <row r="162" spans="1:11">
      <c r="A162" s="3"/>
      <c r="B162" s="3"/>
      <c r="C162" s="3"/>
      <c r="D162" s="4"/>
      <c r="E162" s="3"/>
      <c r="F162" s="6"/>
      <c r="G162" s="3"/>
      <c r="H162" s="4"/>
      <c r="I162" s="3"/>
      <c r="J162" s="4"/>
      <c r="K162" s="3"/>
    </row>
    <row r="163" spans="1:11">
      <c r="A163" s="3"/>
      <c r="B163" s="3"/>
      <c r="C163" s="3"/>
      <c r="D163" s="4"/>
      <c r="E163" s="3"/>
      <c r="F163" s="6"/>
      <c r="G163" s="3"/>
      <c r="H163" s="4"/>
      <c r="I163" s="3"/>
      <c r="J163" s="4"/>
      <c r="K163" s="3"/>
    </row>
    <row r="164" spans="1:11">
      <c r="A164" s="3"/>
      <c r="B164" s="3"/>
      <c r="C164" s="3"/>
      <c r="D164" s="4"/>
      <c r="E164" s="3"/>
      <c r="F164" s="6"/>
      <c r="G164" s="3"/>
      <c r="H164" s="4"/>
      <c r="I164" s="3"/>
      <c r="J164" s="4"/>
      <c r="K164" s="3"/>
    </row>
    <row r="165" spans="1:11">
      <c r="A165" s="3"/>
      <c r="B165" s="3"/>
      <c r="C165" s="3"/>
      <c r="D165" s="4"/>
      <c r="E165" s="3"/>
      <c r="F165" s="6"/>
      <c r="G165" s="3"/>
      <c r="H165" s="4"/>
      <c r="I165" s="3"/>
      <c r="J165" s="4"/>
      <c r="K165" s="3"/>
    </row>
    <row r="166" spans="1:11">
      <c r="A166" s="3"/>
      <c r="B166" s="3"/>
      <c r="C166" s="3"/>
      <c r="D166" s="4"/>
      <c r="E166" s="3"/>
      <c r="F166" s="6"/>
      <c r="G166" s="3"/>
      <c r="H166" s="4"/>
      <c r="I166" s="3"/>
      <c r="J166" s="4"/>
      <c r="K166" s="3"/>
    </row>
    <row r="167" spans="1:11">
      <c r="A167" s="3"/>
      <c r="B167" s="3"/>
      <c r="C167" s="3"/>
      <c r="D167" s="4"/>
      <c r="E167" s="3"/>
      <c r="F167" s="6"/>
      <c r="G167" s="3"/>
      <c r="H167" s="4"/>
      <c r="I167" s="3"/>
      <c r="J167" s="4"/>
      <c r="K167" s="3"/>
    </row>
    <row r="168" spans="1:11">
      <c r="A168" s="3"/>
      <c r="B168" s="3"/>
      <c r="C168" s="3"/>
      <c r="D168" s="4"/>
      <c r="E168" s="3"/>
      <c r="F168" s="6"/>
      <c r="G168" s="3"/>
      <c r="H168" s="4"/>
      <c r="I168" s="3"/>
      <c r="J168" s="4"/>
      <c r="K168" s="3"/>
    </row>
    <row r="169" spans="1:11">
      <c r="A169" s="3"/>
      <c r="B169" s="3"/>
      <c r="C169" s="3"/>
      <c r="D169" s="4"/>
      <c r="E169" s="3"/>
      <c r="F169" s="6"/>
      <c r="G169" s="3"/>
      <c r="H169" s="4"/>
      <c r="I169" s="3"/>
      <c r="J169" s="4"/>
      <c r="K169" s="3"/>
    </row>
    <row r="170" spans="1:11">
      <c r="A170" s="3"/>
      <c r="B170" s="3"/>
      <c r="C170" s="3"/>
      <c r="D170" s="4"/>
      <c r="E170" s="3"/>
      <c r="F170" s="6"/>
      <c r="G170" s="3"/>
      <c r="H170" s="4"/>
      <c r="I170" s="3"/>
      <c r="J170" s="4"/>
      <c r="K170" s="3"/>
    </row>
    <row r="171" spans="1:11">
      <c r="A171" s="3"/>
      <c r="B171" s="3"/>
      <c r="C171" s="3"/>
      <c r="D171" s="4"/>
      <c r="E171" s="3"/>
      <c r="F171" s="6"/>
      <c r="G171" s="3"/>
      <c r="H171" s="4"/>
      <c r="I171" s="3"/>
      <c r="J171" s="4"/>
      <c r="K171" s="3"/>
    </row>
    <row r="172" spans="1:11">
      <c r="A172" s="3"/>
      <c r="B172" s="3"/>
      <c r="C172" s="3"/>
      <c r="D172" s="4"/>
      <c r="E172" s="3"/>
      <c r="F172" s="6"/>
      <c r="G172" s="3"/>
      <c r="H172" s="4"/>
      <c r="I172" s="3"/>
      <c r="J172" s="4"/>
      <c r="K172" s="3"/>
    </row>
    <row r="173" spans="1:11">
      <c r="A173" s="3"/>
      <c r="B173" s="3"/>
      <c r="C173" s="3"/>
      <c r="D173" s="4"/>
      <c r="E173" s="3"/>
      <c r="F173" s="6"/>
      <c r="G173" s="3"/>
      <c r="H173" s="4"/>
      <c r="I173" s="3"/>
      <c r="J173" s="4"/>
      <c r="K173" s="3"/>
    </row>
    <row r="174" spans="1:11">
      <c r="A174" s="3"/>
      <c r="B174" s="3"/>
      <c r="C174" s="3"/>
      <c r="D174" s="4"/>
      <c r="E174" s="3"/>
      <c r="F174" s="6"/>
      <c r="G174" s="3"/>
      <c r="H174" s="4"/>
      <c r="I174" s="3"/>
      <c r="J174" s="4"/>
      <c r="K174" s="3"/>
    </row>
    <row r="175" spans="1:11">
      <c r="A175" s="3"/>
      <c r="B175" s="3"/>
      <c r="C175" s="3"/>
      <c r="D175" s="4"/>
      <c r="E175" s="3"/>
      <c r="F175" s="6"/>
      <c r="G175" s="3"/>
      <c r="H175" s="4"/>
      <c r="I175" s="3"/>
      <c r="J175" s="4"/>
      <c r="K175" s="3"/>
    </row>
    <row r="176" spans="1:11">
      <c r="A176" s="3"/>
      <c r="B176" s="3"/>
      <c r="C176" s="3"/>
      <c r="D176" s="4"/>
      <c r="E176" s="3"/>
      <c r="F176" s="6"/>
      <c r="G176" s="3"/>
      <c r="H176" s="4"/>
      <c r="I176" s="3"/>
      <c r="J176" s="4"/>
      <c r="K176" s="3"/>
    </row>
    <row r="177" spans="1:11">
      <c r="A177" s="3"/>
      <c r="B177" s="3"/>
      <c r="C177" s="3"/>
      <c r="D177" s="4"/>
      <c r="E177" s="3"/>
      <c r="F177" s="6"/>
      <c r="G177" s="3"/>
      <c r="H177" s="4"/>
      <c r="I177" s="3"/>
      <c r="J177" s="4"/>
      <c r="K177" s="3"/>
    </row>
    <row r="178" spans="1:11">
      <c r="A178" s="3"/>
      <c r="B178" s="3"/>
      <c r="C178" s="3"/>
      <c r="D178" s="4"/>
      <c r="E178" s="3"/>
      <c r="F178" s="6"/>
      <c r="G178" s="3"/>
      <c r="H178" s="4"/>
      <c r="I178" s="3"/>
      <c r="J178" s="4"/>
      <c r="K178" s="3"/>
    </row>
    <row r="179" spans="1:11">
      <c r="A179" s="3"/>
      <c r="B179" s="3"/>
      <c r="C179" s="3"/>
      <c r="D179" s="4"/>
      <c r="E179" s="3"/>
      <c r="F179" s="6"/>
      <c r="G179" s="3"/>
      <c r="H179" s="4"/>
      <c r="I179" s="3"/>
      <c r="J179" s="4"/>
      <c r="K179" s="3"/>
    </row>
    <row r="180" spans="1:11">
      <c r="A180" s="3"/>
      <c r="B180" s="3"/>
      <c r="C180" s="3"/>
      <c r="D180" s="4"/>
      <c r="E180" s="3"/>
      <c r="F180" s="6"/>
      <c r="G180" s="3"/>
      <c r="H180" s="4"/>
      <c r="I180" s="3"/>
      <c r="J180" s="4"/>
      <c r="K180" s="3"/>
    </row>
    <row r="181" spans="1:11">
      <c r="A181" s="3"/>
      <c r="B181" s="3"/>
      <c r="C181" s="3"/>
      <c r="D181" s="4"/>
      <c r="E181" s="3"/>
      <c r="F181" s="6"/>
      <c r="G181" s="3"/>
      <c r="H181" s="4"/>
      <c r="I181" s="3"/>
      <c r="J181" s="4"/>
      <c r="K181" s="3"/>
    </row>
    <row r="182" spans="1:11">
      <c r="A182" s="3"/>
      <c r="B182" s="3"/>
      <c r="C182" s="3"/>
      <c r="D182" s="4"/>
      <c r="E182" s="3"/>
      <c r="F182" s="6"/>
      <c r="G182" s="3"/>
      <c r="H182" s="4"/>
      <c r="I182" s="3"/>
      <c r="J182" s="4"/>
      <c r="K182" s="3"/>
    </row>
    <row r="183" spans="1:11">
      <c r="A183" s="3"/>
      <c r="B183" s="3"/>
      <c r="C183" s="3"/>
      <c r="D183" s="4"/>
      <c r="E183" s="3"/>
      <c r="F183" s="6"/>
      <c r="G183" s="3"/>
      <c r="H183" s="4"/>
      <c r="I183" s="3"/>
      <c r="J183" s="4"/>
      <c r="K183" s="3"/>
    </row>
    <row r="184" spans="1:11">
      <c r="A184" s="3"/>
      <c r="B184" s="3"/>
      <c r="C184" s="3"/>
      <c r="D184" s="4"/>
      <c r="E184" s="3"/>
      <c r="F184" s="6"/>
      <c r="G184" s="3"/>
      <c r="H184" s="4"/>
      <c r="I184" s="3"/>
      <c r="J184" s="4"/>
      <c r="K184" s="3"/>
    </row>
    <row r="185" spans="1:11">
      <c r="A185" s="3"/>
      <c r="B185" s="3"/>
      <c r="C185" s="3"/>
      <c r="D185" s="4"/>
      <c r="E185" s="3"/>
      <c r="F185" s="6"/>
      <c r="G185" s="3"/>
      <c r="H185" s="4"/>
      <c r="I185" s="3"/>
      <c r="J185" s="4"/>
      <c r="K185" s="3"/>
    </row>
    <row r="186" spans="1:11">
      <c r="A186" s="3"/>
      <c r="B186" s="3"/>
      <c r="C186" s="3"/>
      <c r="D186" s="4"/>
      <c r="E186" s="3"/>
      <c r="F186" s="6"/>
      <c r="G186" s="3"/>
      <c r="H186" s="4"/>
      <c r="I186" s="3"/>
      <c r="J186" s="4"/>
      <c r="K186" s="3"/>
    </row>
    <row r="187" spans="1:11">
      <c r="A187" s="3"/>
      <c r="B187" s="3"/>
      <c r="C187" s="3"/>
      <c r="D187" s="4"/>
      <c r="E187" s="3"/>
      <c r="F187" s="6"/>
      <c r="G187" s="3"/>
      <c r="H187" s="4"/>
      <c r="I187" s="3"/>
      <c r="J187" s="4"/>
      <c r="K187" s="3"/>
    </row>
    <row r="188" spans="1:11">
      <c r="A188" s="3"/>
      <c r="B188" s="3"/>
      <c r="C188" s="3"/>
      <c r="D188" s="4"/>
      <c r="E188" s="3"/>
      <c r="F188" s="6"/>
      <c r="G188" s="3"/>
      <c r="H188" s="4"/>
      <c r="I188" s="3"/>
      <c r="J188" s="4"/>
      <c r="K188" s="3"/>
    </row>
    <row r="189" spans="1:11">
      <c r="A189" s="3"/>
      <c r="B189" s="3"/>
      <c r="C189" s="3"/>
      <c r="D189" s="4"/>
      <c r="E189" s="3"/>
      <c r="F189" s="6"/>
      <c r="G189" s="3"/>
      <c r="H189" s="4"/>
      <c r="I189" s="3"/>
      <c r="J189" s="4"/>
      <c r="K189" s="3"/>
    </row>
    <row r="190" spans="1:11">
      <c r="A190" s="3"/>
      <c r="B190" s="3"/>
      <c r="C190" s="3"/>
      <c r="D190" s="4"/>
      <c r="E190" s="3"/>
      <c r="F190" s="6"/>
      <c r="G190" s="3"/>
      <c r="H190" s="4"/>
      <c r="I190" s="3"/>
      <c r="J190" s="4"/>
      <c r="K190" s="3"/>
    </row>
    <row r="191" spans="1:11">
      <c r="A191" s="3"/>
      <c r="B191" s="3"/>
      <c r="C191" s="3"/>
      <c r="D191" s="4"/>
      <c r="E191" s="3"/>
      <c r="F191" s="6"/>
      <c r="G191" s="3"/>
      <c r="H191" s="4"/>
      <c r="I191" s="3"/>
      <c r="J191" s="4"/>
      <c r="K191" s="3"/>
    </row>
    <row r="192" spans="1:11">
      <c r="A192" s="3"/>
      <c r="B192" s="3"/>
      <c r="C192" s="3"/>
      <c r="D192" s="4"/>
      <c r="E192" s="3"/>
      <c r="F192" s="6"/>
      <c r="G192" s="3"/>
      <c r="H192" s="4"/>
      <c r="I192" s="3"/>
      <c r="J192" s="4"/>
      <c r="K192" s="3"/>
    </row>
    <row r="193" spans="1:11">
      <c r="A193" s="3"/>
      <c r="B193" s="3"/>
      <c r="C193" s="3"/>
      <c r="D193" s="4"/>
      <c r="E193" s="3"/>
      <c r="F193" s="6"/>
      <c r="G193" s="3"/>
      <c r="H193" s="4"/>
      <c r="I193" s="3"/>
      <c r="J193" s="4"/>
      <c r="K193" s="3"/>
    </row>
    <row r="194" spans="1:11">
      <c r="A194" s="3"/>
      <c r="B194" s="3"/>
      <c r="C194" s="3"/>
      <c r="D194" s="4"/>
      <c r="E194" s="3"/>
      <c r="F194" s="6"/>
      <c r="G194" s="3"/>
      <c r="H194" s="4"/>
      <c r="I194" s="3"/>
      <c r="J194" s="4"/>
      <c r="K194" s="3"/>
    </row>
    <row r="195" spans="1:11">
      <c r="A195" s="3"/>
      <c r="B195" s="3"/>
      <c r="C195" s="3"/>
      <c r="D195" s="4"/>
      <c r="E195" s="3"/>
      <c r="F195" s="6"/>
      <c r="G195" s="3"/>
      <c r="H195" s="4"/>
      <c r="I195" s="3"/>
      <c r="J195" s="4"/>
      <c r="K195" s="3"/>
    </row>
    <row r="196" spans="1:11">
      <c r="A196" s="3"/>
      <c r="B196" s="3"/>
      <c r="C196" s="3"/>
      <c r="D196" s="4"/>
      <c r="E196" s="3"/>
      <c r="F196" s="6"/>
      <c r="G196" s="3"/>
      <c r="H196" s="4"/>
      <c r="I196" s="3"/>
      <c r="J196" s="4"/>
      <c r="K196" s="3"/>
    </row>
    <row r="197" spans="1:11">
      <c r="A197" s="3"/>
      <c r="B197" s="3"/>
      <c r="C197" s="3"/>
      <c r="D197" s="4"/>
      <c r="E197" s="3"/>
      <c r="F197" s="6"/>
      <c r="G197" s="3"/>
      <c r="H197" s="4"/>
      <c r="I197" s="3"/>
      <c r="J197" s="4"/>
      <c r="K197" s="3"/>
    </row>
    <row r="198" spans="1:11">
      <c r="A198" s="3"/>
      <c r="B198" s="3"/>
      <c r="C198" s="3"/>
      <c r="D198" s="4"/>
      <c r="E198" s="3"/>
      <c r="F198" s="6"/>
      <c r="G198" s="3"/>
      <c r="H198" s="4"/>
      <c r="I198" s="3"/>
      <c r="J198" s="4"/>
      <c r="K198" s="3"/>
    </row>
    <row r="199" spans="1:11">
      <c r="A199" s="3"/>
      <c r="B199" s="3"/>
      <c r="C199" s="3"/>
      <c r="D199" s="4"/>
      <c r="E199" s="3"/>
      <c r="F199" s="6"/>
      <c r="G199" s="3"/>
      <c r="H199" s="4"/>
      <c r="I199" s="3"/>
      <c r="J199" s="4"/>
      <c r="K199" s="3"/>
    </row>
    <row r="200" spans="1:11">
      <c r="A200" s="3"/>
      <c r="B200" s="3"/>
      <c r="C200" s="3"/>
      <c r="D200" s="4"/>
      <c r="E200" s="3"/>
      <c r="F200" s="6"/>
      <c r="G200" s="3"/>
      <c r="H200" s="4"/>
      <c r="I200" s="3"/>
      <c r="J200" s="4"/>
      <c r="K200" s="3"/>
    </row>
    <row r="201" spans="1:11">
      <c r="D201" s="5"/>
      <c r="F201" s="7"/>
      <c r="H201" s="5"/>
      <c r="J201" s="5"/>
    </row>
    <row r="202" spans="1:11">
      <c r="D202" s="5"/>
      <c r="F202" s="7"/>
      <c r="H202" s="5"/>
      <c r="J202" s="5"/>
    </row>
    <row r="203" spans="1:11">
      <c r="D203" s="5"/>
      <c r="F203" s="7"/>
      <c r="H203" s="5"/>
      <c r="J203" s="5"/>
    </row>
    <row r="204" spans="1:11">
      <c r="D204" s="5"/>
      <c r="F204" s="7"/>
      <c r="H204" s="5"/>
      <c r="J204" s="5"/>
    </row>
    <row r="205" spans="1:11">
      <c r="D205" s="5"/>
      <c r="F205" s="7"/>
      <c r="H205" s="5"/>
      <c r="J205" s="5"/>
    </row>
    <row r="206" spans="1:11">
      <c r="D206" s="5"/>
      <c r="F206" s="7"/>
      <c r="H206" s="5"/>
      <c r="J206" s="5"/>
    </row>
    <row r="207" spans="1:11">
      <c r="D207" s="5"/>
      <c r="F207" s="7"/>
      <c r="H207" s="5"/>
      <c r="J207" s="5"/>
    </row>
    <row r="208" spans="1:11">
      <c r="D208" s="5"/>
      <c r="F208" s="7"/>
      <c r="H208" s="5"/>
      <c r="J208" s="5"/>
    </row>
    <row r="209" spans="4:10">
      <c r="D209" s="5"/>
      <c r="F209" s="7"/>
      <c r="H209" s="5"/>
      <c r="J209" s="5"/>
    </row>
    <row r="210" spans="4:10">
      <c r="D210" s="5"/>
      <c r="F210" s="7"/>
      <c r="H210" s="5"/>
      <c r="J210" s="5"/>
    </row>
    <row r="211" spans="4:10">
      <c r="D211" s="5"/>
      <c r="F211" s="7"/>
      <c r="H211" s="5"/>
      <c r="J211" s="5"/>
    </row>
    <row r="212" spans="4:10">
      <c r="D212" s="5"/>
      <c r="F212" s="7"/>
      <c r="H212" s="5"/>
      <c r="J212" s="5"/>
    </row>
    <row r="213" spans="4:10">
      <c r="D213" s="5"/>
      <c r="F213" s="7"/>
      <c r="H213" s="5"/>
      <c r="J213" s="5"/>
    </row>
    <row r="214" spans="4:10">
      <c r="D214" s="5"/>
      <c r="F214" s="7"/>
      <c r="H214" s="5"/>
      <c r="J214" s="5"/>
    </row>
    <row r="215" spans="4:10">
      <c r="D215" s="5"/>
      <c r="F215" s="7"/>
      <c r="H215" s="5"/>
      <c r="J215" s="5"/>
    </row>
    <row r="216" spans="4:10">
      <c r="D216" s="5"/>
      <c r="F216" s="7"/>
      <c r="H216" s="5"/>
      <c r="J216" s="5"/>
    </row>
    <row r="217" spans="4:10">
      <c r="D217" s="5"/>
      <c r="F217" s="7"/>
      <c r="H217" s="5"/>
      <c r="J217" s="5"/>
    </row>
    <row r="218" spans="4:10">
      <c r="D218" s="5"/>
      <c r="F218" s="7"/>
      <c r="H218" s="5"/>
      <c r="J218" s="5"/>
    </row>
    <row r="219" spans="4:10">
      <c r="D219" s="5"/>
      <c r="F219" s="7"/>
      <c r="H219" s="5"/>
      <c r="J219" s="5"/>
    </row>
    <row r="220" spans="4:10">
      <c r="D220" s="5"/>
      <c r="F220" s="7"/>
      <c r="H220" s="5"/>
      <c r="J220" s="5"/>
    </row>
    <row r="221" spans="4:10">
      <c r="D221" s="5"/>
      <c r="F221" s="7"/>
      <c r="H221" s="5"/>
      <c r="J221" s="5"/>
    </row>
    <row r="222" spans="4:10">
      <c r="D222" s="5"/>
      <c r="F222" s="7"/>
      <c r="H222" s="5"/>
      <c r="J222" s="5"/>
    </row>
    <row r="223" spans="4:10">
      <c r="D223" s="5"/>
      <c r="F223" s="7"/>
      <c r="H223" s="5"/>
      <c r="J223" s="5"/>
    </row>
    <row r="224" spans="4:10">
      <c r="D224" s="5"/>
      <c r="F224" s="7"/>
      <c r="H224" s="5"/>
      <c r="J224" s="5"/>
    </row>
    <row r="225" spans="4:10">
      <c r="D225" s="5"/>
      <c r="F225" s="7"/>
      <c r="H225" s="5"/>
      <c r="J225" s="5"/>
    </row>
    <row r="226" spans="4:10">
      <c r="D226" s="5"/>
      <c r="F226" s="7"/>
      <c r="H226" s="5"/>
      <c r="J226" s="5"/>
    </row>
    <row r="227" spans="4:10">
      <c r="D227" s="5"/>
      <c r="F227" s="7"/>
      <c r="H227" s="5"/>
      <c r="J227" s="5"/>
    </row>
    <row r="228" spans="4:10">
      <c r="D228" s="5"/>
      <c r="F228" s="7"/>
      <c r="H228" s="5"/>
      <c r="J228" s="5"/>
    </row>
    <row r="229" spans="4:10">
      <c r="D229" s="5"/>
      <c r="F229" s="7"/>
      <c r="H229" s="5"/>
      <c r="J229" s="5"/>
    </row>
    <row r="230" spans="4:10">
      <c r="D230" s="5"/>
      <c r="F230" s="7"/>
      <c r="H230" s="5"/>
      <c r="J230" s="5"/>
    </row>
    <row r="231" spans="4:10">
      <c r="D231" s="5"/>
      <c r="F231" s="7"/>
      <c r="H231" s="5"/>
      <c r="J231" s="5"/>
    </row>
    <row r="232" spans="4:10">
      <c r="D232" s="5"/>
      <c r="F232" s="7"/>
      <c r="H232" s="5"/>
      <c r="J232" s="5"/>
    </row>
    <row r="233" spans="4:10">
      <c r="D233" s="5"/>
      <c r="F233" s="7"/>
      <c r="H233" s="5"/>
      <c r="J233" s="5"/>
    </row>
    <row r="234" spans="4:10">
      <c r="D234" s="5"/>
      <c r="F234" s="7"/>
      <c r="H234" s="5"/>
      <c r="J234" s="5"/>
    </row>
    <row r="235" spans="4:10">
      <c r="D235" s="5"/>
      <c r="F235" s="7"/>
      <c r="H235" s="5"/>
      <c r="J235" s="5"/>
    </row>
    <row r="236" spans="4:10">
      <c r="D236" s="5"/>
      <c r="F236" s="7"/>
      <c r="H236" s="5"/>
      <c r="J236" s="5"/>
    </row>
    <row r="237" spans="4:10">
      <c r="D237" s="5"/>
      <c r="F237" s="7"/>
      <c r="H237" s="5"/>
      <c r="J237" s="5"/>
    </row>
    <row r="238" spans="4:10">
      <c r="D238" s="5"/>
      <c r="F238" s="7"/>
      <c r="H238" s="5"/>
      <c r="J238" s="5"/>
    </row>
    <row r="239" spans="4:10">
      <c r="D239" s="5"/>
      <c r="F239" s="7"/>
      <c r="H239" s="5"/>
      <c r="J239" s="5"/>
    </row>
    <row r="240" spans="4:10">
      <c r="D240" s="5"/>
      <c r="F240" s="7"/>
      <c r="H240" s="5"/>
      <c r="J240" s="5"/>
    </row>
    <row r="241" spans="4:10">
      <c r="D241" s="5"/>
      <c r="F241" s="7"/>
      <c r="H241" s="5"/>
      <c r="J241" s="5"/>
    </row>
    <row r="242" spans="4:10">
      <c r="D242" s="5"/>
      <c r="F242" s="7"/>
      <c r="H242" s="5"/>
      <c r="J242" s="5"/>
    </row>
    <row r="243" spans="4:10">
      <c r="D243" s="5"/>
      <c r="F243" s="7"/>
      <c r="H243" s="5"/>
      <c r="J243" s="5"/>
    </row>
    <row r="244" spans="4:10">
      <c r="D244" s="5"/>
      <c r="F244" s="7"/>
      <c r="H244" s="5"/>
      <c r="J244" s="5"/>
    </row>
    <row r="245" spans="4:10">
      <c r="D245" s="5"/>
      <c r="F245" s="7"/>
      <c r="H245" s="5"/>
      <c r="J245" s="5"/>
    </row>
    <row r="246" spans="4:10">
      <c r="D246" s="5"/>
      <c r="F246" s="7"/>
      <c r="H246" s="5"/>
      <c r="J246" s="5"/>
    </row>
    <row r="247" spans="4:10">
      <c r="D247" s="5"/>
      <c r="F247" s="7"/>
      <c r="H247" s="5"/>
      <c r="J247" s="5"/>
    </row>
    <row r="248" spans="4:10">
      <c r="D248" s="5"/>
      <c r="F248" s="7"/>
      <c r="H248" s="5"/>
      <c r="J248" s="5"/>
    </row>
    <row r="249" spans="4:10">
      <c r="D249" s="5"/>
      <c r="F249" s="7"/>
      <c r="H249" s="5"/>
      <c r="J249" s="5"/>
    </row>
    <row r="250" spans="4:10">
      <c r="D250" s="5"/>
      <c r="F250" s="7"/>
      <c r="H250" s="5"/>
      <c r="J250" s="5"/>
    </row>
    <row r="251" spans="4:10">
      <c r="D251" s="5"/>
      <c r="F251" s="7"/>
      <c r="H251" s="5"/>
      <c r="J251" s="5"/>
    </row>
    <row r="252" spans="4:10">
      <c r="D252" s="5"/>
      <c r="F252" s="7"/>
      <c r="H252" s="5"/>
      <c r="J252" s="5"/>
    </row>
    <row r="253" spans="4:10">
      <c r="D253" s="5"/>
      <c r="F253" s="7"/>
      <c r="H253" s="5"/>
      <c r="J253" s="5"/>
    </row>
    <row r="254" spans="4:10">
      <c r="D254" s="5"/>
      <c r="F254" s="7"/>
      <c r="H254" s="5"/>
      <c r="J254" s="5"/>
    </row>
    <row r="255" spans="4:10">
      <c r="D255" s="5"/>
      <c r="F255" s="7"/>
      <c r="H255" s="5"/>
      <c r="J255" s="5"/>
    </row>
    <row r="256" spans="4:10">
      <c r="D256" s="5"/>
      <c r="F256" s="7"/>
      <c r="H256" s="5"/>
      <c r="J256" s="5"/>
    </row>
    <row r="257" spans="4:10">
      <c r="D257" s="5"/>
      <c r="F257" s="7"/>
      <c r="H257" s="5"/>
      <c r="J257" s="5"/>
    </row>
    <row r="258" spans="4:10">
      <c r="D258" s="5"/>
      <c r="F258" s="7"/>
      <c r="H258" s="5"/>
      <c r="J258" s="5"/>
    </row>
    <row r="259" spans="4:10">
      <c r="D259" s="5"/>
      <c r="F259" s="7"/>
      <c r="H259" s="5"/>
      <c r="J259" s="5"/>
    </row>
    <row r="260" spans="4:10">
      <c r="D260" s="5"/>
      <c r="F260" s="7"/>
      <c r="H260" s="5"/>
      <c r="J260" s="5"/>
    </row>
    <row r="261" spans="4:10">
      <c r="D261" s="5"/>
      <c r="F261" s="7"/>
      <c r="H261" s="5"/>
      <c r="J261" s="5"/>
    </row>
    <row r="262" spans="4:10">
      <c r="D262" s="5"/>
      <c r="F262" s="7"/>
      <c r="H262" s="5"/>
      <c r="J262" s="5"/>
    </row>
    <row r="263" spans="4:10">
      <c r="D263" s="5"/>
      <c r="F263" s="7"/>
      <c r="H263" s="5"/>
      <c r="J263" s="5"/>
    </row>
    <row r="264" spans="4:10">
      <c r="D264" s="5"/>
      <c r="F264" s="7"/>
      <c r="H264" s="5"/>
      <c r="J264" s="5"/>
    </row>
    <row r="265" spans="4:10">
      <c r="D265" s="5"/>
      <c r="F265" s="7"/>
      <c r="H265" s="5"/>
      <c r="J265" s="5"/>
    </row>
    <row r="266" spans="4:10">
      <c r="D266" s="5"/>
      <c r="F266" s="7"/>
      <c r="H266" s="5"/>
      <c r="J266" s="5"/>
    </row>
    <row r="267" spans="4:10">
      <c r="D267" s="5"/>
      <c r="F267" s="7"/>
      <c r="H267" s="5"/>
      <c r="J267" s="5"/>
    </row>
    <row r="268" spans="4:10">
      <c r="D268" s="5"/>
      <c r="F268" s="7"/>
      <c r="H268" s="5"/>
      <c r="J268" s="5"/>
    </row>
    <row r="269" spans="4:10">
      <c r="D269" s="5"/>
      <c r="F269" s="7"/>
      <c r="H269" s="5"/>
      <c r="J269" s="5"/>
    </row>
    <row r="270" spans="4:10">
      <c r="D270" s="5"/>
      <c r="F270" s="7"/>
      <c r="H270" s="5"/>
      <c r="J270" s="5"/>
    </row>
    <row r="271" spans="4:10">
      <c r="D271" s="5"/>
      <c r="F271" s="7"/>
      <c r="H271" s="5"/>
      <c r="J271" s="5"/>
    </row>
    <row r="272" spans="4:10">
      <c r="D272" s="5"/>
      <c r="F272" s="7"/>
      <c r="H272" s="5"/>
      <c r="J272" s="5"/>
    </row>
    <row r="273" spans="4:10">
      <c r="D273" s="5"/>
      <c r="F273" s="7"/>
      <c r="H273" s="5"/>
      <c r="J273" s="5"/>
    </row>
    <row r="274" spans="4:10">
      <c r="D274" s="5"/>
      <c r="F274" s="7"/>
      <c r="H274" s="5"/>
      <c r="J274" s="5"/>
    </row>
    <row r="275" spans="4:10">
      <c r="D275" s="5"/>
      <c r="F275" s="7"/>
      <c r="H275" s="5"/>
      <c r="J275" s="5"/>
    </row>
    <row r="276" spans="4:10">
      <c r="D276" s="5"/>
      <c r="F276" s="7"/>
      <c r="H276" s="5"/>
      <c r="J276" s="5"/>
    </row>
    <row r="277" spans="4:10">
      <c r="D277" s="5"/>
      <c r="F277" s="7"/>
      <c r="H277" s="5"/>
      <c r="J277" s="5"/>
    </row>
    <row r="278" spans="4:10">
      <c r="D278" s="5"/>
      <c r="F278" s="7"/>
      <c r="H278" s="5"/>
      <c r="J278" s="5"/>
    </row>
    <row r="279" spans="4:10">
      <c r="D279" s="5"/>
      <c r="F279" s="7"/>
      <c r="H279" s="5"/>
      <c r="J279" s="5"/>
    </row>
    <row r="280" spans="4:10">
      <c r="D280" s="5"/>
      <c r="F280" s="7"/>
      <c r="H280" s="5"/>
      <c r="J280" s="5"/>
    </row>
    <row r="281" spans="4:10">
      <c r="D281" s="5"/>
      <c r="F281" s="7"/>
      <c r="H281" s="5"/>
      <c r="J281" s="5"/>
    </row>
    <row r="282" spans="4:10">
      <c r="D282" s="5"/>
      <c r="F282" s="7"/>
      <c r="H282" s="5"/>
      <c r="J282" s="5"/>
    </row>
    <row r="283" spans="4:10">
      <c r="D283" s="5"/>
      <c r="F283" s="7"/>
      <c r="H283" s="5"/>
      <c r="J283" s="5"/>
    </row>
    <row r="284" spans="4:10">
      <c r="D284" s="5"/>
      <c r="F284" s="7"/>
      <c r="H284" s="5"/>
      <c r="J284" s="5"/>
    </row>
    <row r="285" spans="4:10">
      <c r="D285" s="5"/>
      <c r="F285" s="7"/>
      <c r="H285" s="5"/>
      <c r="J285" s="5"/>
    </row>
    <row r="286" spans="4:10">
      <c r="D286" s="5"/>
      <c r="F286" s="7"/>
      <c r="H286" s="5"/>
      <c r="J286" s="5"/>
    </row>
    <row r="287" spans="4:10">
      <c r="D287" s="5"/>
      <c r="F287" s="7"/>
      <c r="H287" s="5"/>
      <c r="J287" s="5"/>
    </row>
    <row r="288" spans="4:10">
      <c r="D288" s="5"/>
      <c r="F288" s="7"/>
      <c r="H288" s="5"/>
      <c r="J288" s="5"/>
    </row>
    <row r="289" spans="4:10">
      <c r="D289" s="5"/>
      <c r="F289" s="7"/>
      <c r="H289" s="5"/>
      <c r="J289" s="5"/>
    </row>
    <row r="290" spans="4:10">
      <c r="D290" s="5"/>
      <c r="F290" s="7"/>
      <c r="H290" s="5"/>
      <c r="J290" s="5"/>
    </row>
    <row r="291" spans="4:10">
      <c r="D291" s="5"/>
      <c r="F291" s="7"/>
      <c r="H291" s="5"/>
      <c r="J291" s="5"/>
    </row>
    <row r="292" spans="4:10">
      <c r="D292" s="5"/>
      <c r="F292" s="7"/>
      <c r="H292" s="5"/>
      <c r="J292" s="5"/>
    </row>
    <row r="293" spans="4:10">
      <c r="D293" s="5"/>
      <c r="F293" s="7"/>
      <c r="H293" s="5"/>
      <c r="J293" s="5"/>
    </row>
    <row r="294" spans="4:10">
      <c r="D294" s="5"/>
      <c r="F294" s="7"/>
      <c r="H294" s="5"/>
      <c r="J294" s="5"/>
    </row>
    <row r="295" spans="4:10">
      <c r="D295" s="5"/>
      <c r="F295" s="7"/>
      <c r="H295" s="5"/>
      <c r="J295" s="5"/>
    </row>
    <row r="296" spans="4:10">
      <c r="D296" s="5"/>
      <c r="F296" s="7"/>
      <c r="H296" s="5"/>
      <c r="J296" s="5"/>
    </row>
    <row r="297" spans="4:10">
      <c r="D297" s="5"/>
      <c r="F297" s="7"/>
      <c r="H297" s="5"/>
      <c r="J297" s="5"/>
    </row>
    <row r="298" spans="4:10">
      <c r="D298" s="5"/>
      <c r="F298" s="7"/>
      <c r="H298" s="5"/>
      <c r="J298" s="5"/>
    </row>
    <row r="299" spans="4:10">
      <c r="D299" s="5"/>
      <c r="F299" s="7"/>
      <c r="H299" s="5"/>
      <c r="J299" s="5"/>
    </row>
    <row r="300" spans="4:10">
      <c r="D300" s="5"/>
      <c r="F300" s="7"/>
      <c r="H300" s="5"/>
      <c r="J300" s="5"/>
    </row>
    <row r="301" spans="4:10">
      <c r="D301" s="5"/>
      <c r="F301" s="7"/>
      <c r="H301" s="5"/>
      <c r="J301" s="5"/>
    </row>
    <row r="302" spans="4:10">
      <c r="D302" s="5"/>
      <c r="F302" s="7"/>
      <c r="H302" s="5"/>
      <c r="J302" s="5"/>
    </row>
    <row r="303" spans="4:10">
      <c r="D303" s="5"/>
      <c r="F303" s="7"/>
      <c r="H303" s="5"/>
      <c r="J303" s="5"/>
    </row>
    <row r="304" spans="4:10">
      <c r="D304" s="5"/>
      <c r="F304" s="7"/>
      <c r="H304" s="5"/>
      <c r="J304" s="5"/>
    </row>
    <row r="305" spans="4:10">
      <c r="D305" s="5"/>
      <c r="F305" s="7"/>
      <c r="H305" s="5"/>
      <c r="J305" s="5"/>
    </row>
    <row r="306" spans="4:10">
      <c r="D306" s="5"/>
      <c r="F306" s="7"/>
      <c r="H306" s="5"/>
      <c r="J306" s="5"/>
    </row>
    <row r="307" spans="4:10">
      <c r="D307" s="5"/>
      <c r="F307" s="7"/>
      <c r="H307" s="5"/>
      <c r="J307" s="5"/>
    </row>
    <row r="308" spans="4:10">
      <c r="D308" s="5"/>
      <c r="F308" s="7"/>
      <c r="H308" s="5"/>
      <c r="J308" s="5"/>
    </row>
    <row r="309" spans="4:10">
      <c r="D309" s="5"/>
      <c r="F309" s="7"/>
      <c r="H309" s="5"/>
      <c r="J309" s="5"/>
    </row>
    <row r="310" spans="4:10">
      <c r="D310" s="5"/>
      <c r="F310" s="7"/>
      <c r="H310" s="5"/>
      <c r="J310" s="5"/>
    </row>
    <row r="311" spans="4:10">
      <c r="D311" s="5"/>
      <c r="F311" s="7"/>
      <c r="H311" s="5"/>
      <c r="J311" s="5"/>
    </row>
    <row r="312" spans="4:10">
      <c r="D312" s="5"/>
      <c r="F312" s="7"/>
      <c r="H312" s="5"/>
      <c r="J312" s="5"/>
    </row>
    <row r="313" spans="4:10">
      <c r="D313" s="5"/>
      <c r="F313" s="7"/>
      <c r="H313" s="5"/>
      <c r="J313" s="5"/>
    </row>
    <row r="314" spans="4:10">
      <c r="D314" s="5"/>
      <c r="F314" s="7"/>
      <c r="H314" s="5"/>
      <c r="J314" s="5"/>
    </row>
    <row r="315" spans="4:10">
      <c r="D315" s="5"/>
      <c r="F315" s="7"/>
      <c r="H315" s="5"/>
      <c r="J315" s="5"/>
    </row>
    <row r="316" spans="4:10">
      <c r="D316" s="5"/>
      <c r="F316" s="7"/>
      <c r="H316" s="5"/>
      <c r="J316" s="5"/>
    </row>
    <row r="317" spans="4:10">
      <c r="D317" s="5"/>
      <c r="F317" s="7"/>
      <c r="H317" s="5"/>
      <c r="J317" s="5"/>
    </row>
    <row r="318" spans="4:10">
      <c r="D318" s="5"/>
      <c r="F318" s="7"/>
      <c r="H318" s="5"/>
      <c r="J318" s="5"/>
    </row>
    <row r="319" spans="4:10">
      <c r="D319" s="5"/>
      <c r="F319" s="7"/>
      <c r="H319" s="5"/>
      <c r="J319" s="5"/>
    </row>
    <row r="320" spans="4:10">
      <c r="D320" s="5"/>
      <c r="F320" s="7"/>
      <c r="H320" s="5"/>
      <c r="J320" s="5"/>
    </row>
    <row r="321" spans="4:10">
      <c r="D321" s="5"/>
      <c r="F321" s="7"/>
      <c r="H321" s="5"/>
      <c r="J321" s="5"/>
    </row>
    <row r="322" spans="4:10">
      <c r="D322" s="5"/>
      <c r="F322" s="7"/>
      <c r="H322" s="5"/>
      <c r="J322" s="5"/>
    </row>
    <row r="323" spans="4:10">
      <c r="D323" s="5"/>
      <c r="F323" s="7"/>
      <c r="H323" s="5"/>
      <c r="J323" s="5"/>
    </row>
    <row r="324" spans="4:10">
      <c r="D324" s="5"/>
      <c r="F324" s="7"/>
      <c r="H324" s="5"/>
      <c r="J324" s="5"/>
    </row>
    <row r="325" spans="4:10">
      <c r="D325" s="5"/>
      <c r="F325" s="7"/>
      <c r="H325" s="5"/>
      <c r="J325" s="5"/>
    </row>
    <row r="326" spans="4:10">
      <c r="D326" s="5"/>
      <c r="F326" s="7"/>
      <c r="H326" s="5"/>
      <c r="J326" s="5"/>
    </row>
    <row r="327" spans="4:10">
      <c r="D327" s="5"/>
      <c r="F327" s="7"/>
      <c r="H327" s="5"/>
      <c r="J327" s="5"/>
    </row>
    <row r="328" spans="4:10">
      <c r="D328" s="5"/>
      <c r="F328" s="7"/>
      <c r="H328" s="5"/>
      <c r="J328" s="5"/>
    </row>
    <row r="329" spans="4:10">
      <c r="D329" s="5"/>
      <c r="F329" s="7"/>
      <c r="H329" s="5"/>
      <c r="J329" s="5"/>
    </row>
    <row r="330" spans="4:10">
      <c r="D330" s="5"/>
      <c r="F330" s="7"/>
      <c r="H330" s="5"/>
      <c r="J330" s="5"/>
    </row>
    <row r="331" spans="4:10">
      <c r="D331" s="5"/>
      <c r="F331" s="7"/>
      <c r="H331" s="5"/>
      <c r="J331" s="5"/>
    </row>
    <row r="332" spans="4:10">
      <c r="D332" s="5"/>
      <c r="F332" s="7"/>
      <c r="H332" s="5"/>
      <c r="J332" s="5"/>
    </row>
    <row r="333" spans="4:10">
      <c r="D333" s="5"/>
      <c r="F333" s="7"/>
      <c r="H333" s="5"/>
      <c r="J333" s="5"/>
    </row>
    <row r="334" spans="4:10">
      <c r="D334" s="5"/>
      <c r="F334" s="7"/>
      <c r="H334" s="5"/>
      <c r="J334" s="5"/>
    </row>
    <row r="335" spans="4:10">
      <c r="D335" s="5"/>
      <c r="F335" s="7"/>
      <c r="H335" s="5"/>
      <c r="J335" s="5"/>
    </row>
    <row r="336" spans="4:10">
      <c r="D336" s="5"/>
      <c r="F336" s="7"/>
      <c r="H336" s="5"/>
      <c r="J336" s="5"/>
    </row>
    <row r="337" spans="4:10">
      <c r="D337" s="5"/>
      <c r="F337" s="7"/>
      <c r="H337" s="5"/>
      <c r="J337" s="5"/>
    </row>
    <row r="338" spans="4:10">
      <c r="D338" s="5"/>
      <c r="F338" s="7"/>
      <c r="H338" s="5"/>
      <c r="J338" s="5"/>
    </row>
    <row r="339" spans="4:10">
      <c r="D339" s="5"/>
      <c r="F339" s="7"/>
      <c r="H339" s="5"/>
      <c r="J339" s="5"/>
    </row>
    <row r="340" spans="4:10">
      <c r="D340" s="5"/>
      <c r="F340" s="7"/>
      <c r="H340" s="5"/>
      <c r="J340" s="5"/>
    </row>
    <row r="341" spans="4:10">
      <c r="D341" s="5"/>
      <c r="F341" s="7"/>
      <c r="H341" s="5"/>
      <c r="J341" s="5"/>
    </row>
    <row r="342" spans="4:10">
      <c r="D342" s="5"/>
      <c r="F342" s="7"/>
      <c r="H342" s="5"/>
      <c r="J342" s="5"/>
    </row>
    <row r="343" spans="4:10">
      <c r="D343" s="5"/>
      <c r="F343" s="7"/>
      <c r="H343" s="5"/>
      <c r="J343" s="5"/>
    </row>
    <row r="344" spans="4:10">
      <c r="D344" s="5"/>
      <c r="F344" s="7"/>
      <c r="H344" s="5"/>
      <c r="J344" s="5"/>
    </row>
    <row r="345" spans="4:10">
      <c r="D345" s="5"/>
      <c r="F345" s="7"/>
      <c r="H345" s="5"/>
      <c r="J345" s="5"/>
    </row>
    <row r="346" spans="4:10">
      <c r="D346" s="5"/>
      <c r="F346" s="7"/>
      <c r="H346" s="5"/>
      <c r="J346" s="5"/>
    </row>
    <row r="347" spans="4:10">
      <c r="D347" s="5"/>
      <c r="F347" s="7"/>
      <c r="H347" s="5"/>
      <c r="J347" s="5"/>
    </row>
    <row r="348" spans="4:10">
      <c r="D348" s="5"/>
      <c r="F348" s="7"/>
      <c r="H348" s="5"/>
      <c r="J348" s="5"/>
    </row>
    <row r="349" spans="4:10">
      <c r="D349" s="5"/>
      <c r="F349" s="7"/>
      <c r="H349" s="5"/>
      <c r="J349" s="5"/>
    </row>
    <row r="350" spans="4:10">
      <c r="D350" s="5"/>
      <c r="F350" s="7"/>
      <c r="H350" s="5"/>
      <c r="J350" s="5"/>
    </row>
    <row r="351" spans="4:10">
      <c r="D351" s="5"/>
      <c r="F351" s="7"/>
      <c r="H351" s="5"/>
      <c r="J351" s="5"/>
    </row>
    <row r="352" spans="4:10">
      <c r="D352" s="5"/>
      <c r="F352" s="7"/>
      <c r="H352" s="5"/>
      <c r="J352" s="5"/>
    </row>
    <row r="353" spans="4:10">
      <c r="D353" s="5"/>
      <c r="F353" s="7"/>
      <c r="H353" s="5"/>
      <c r="J353" s="5"/>
    </row>
    <row r="354" spans="4:10">
      <c r="D354" s="5"/>
      <c r="F354" s="7"/>
      <c r="H354" s="5"/>
      <c r="J354" s="5"/>
    </row>
    <row r="355" spans="4:10">
      <c r="D355" s="5"/>
      <c r="F355" s="7"/>
      <c r="H355" s="5"/>
      <c r="J355" s="5"/>
    </row>
    <row r="356" spans="4:10">
      <c r="D356" s="5"/>
      <c r="F356" s="7"/>
      <c r="H356" s="5"/>
      <c r="J356" s="5"/>
    </row>
    <row r="357" spans="4:10">
      <c r="D357" s="5"/>
      <c r="F357" s="7"/>
      <c r="H357" s="5"/>
      <c r="J357" s="5"/>
    </row>
    <row r="358" spans="4:10">
      <c r="D358" s="5"/>
      <c r="F358" s="7"/>
      <c r="H358" s="5"/>
      <c r="J358" s="5"/>
    </row>
    <row r="359" spans="4:10">
      <c r="D359" s="5"/>
      <c r="F359" s="7"/>
      <c r="H359" s="5"/>
      <c r="J359" s="5"/>
    </row>
    <row r="360" spans="4:10">
      <c r="D360" s="5"/>
      <c r="F360" s="7"/>
      <c r="H360" s="5"/>
      <c r="J360" s="5"/>
    </row>
    <row r="361" spans="4:10">
      <c r="D361" s="5"/>
      <c r="F361" s="7"/>
      <c r="H361" s="5"/>
      <c r="J361" s="5"/>
    </row>
    <row r="362" spans="4:10">
      <c r="D362" s="5"/>
      <c r="F362" s="7"/>
      <c r="H362" s="5"/>
      <c r="J362" s="5"/>
    </row>
    <row r="363" spans="4:10">
      <c r="D363" s="5"/>
      <c r="F363" s="7"/>
      <c r="H363" s="5"/>
      <c r="J363" s="5"/>
    </row>
    <row r="364" spans="4:10">
      <c r="D364" s="5"/>
      <c r="F364" s="7"/>
      <c r="H364" s="5"/>
      <c r="J364" s="5"/>
    </row>
    <row r="365" spans="4:10">
      <c r="D365" s="5"/>
      <c r="F365" s="7"/>
      <c r="H365" s="5"/>
      <c r="J365" s="5"/>
    </row>
    <row r="366" spans="4:10">
      <c r="D366" s="5"/>
      <c r="F366" s="7"/>
      <c r="H366" s="5"/>
      <c r="J366" s="5"/>
    </row>
    <row r="367" spans="4:10">
      <c r="D367" s="5"/>
      <c r="F367" s="7"/>
      <c r="H367" s="5"/>
      <c r="J367" s="5"/>
    </row>
    <row r="368" spans="4:10">
      <c r="D368" s="5"/>
      <c r="F368" s="7"/>
      <c r="H368" s="5"/>
      <c r="J368" s="5"/>
    </row>
    <row r="369" spans="4:10">
      <c r="D369" s="5"/>
      <c r="F369" s="7"/>
      <c r="H369" s="5"/>
      <c r="J369" s="5"/>
    </row>
    <row r="370" spans="4:10">
      <c r="D370" s="5"/>
      <c r="F370" s="7"/>
      <c r="H370" s="5"/>
      <c r="J370" s="5"/>
    </row>
    <row r="371" spans="4:10">
      <c r="D371" s="5"/>
      <c r="F371" s="7"/>
      <c r="H371" s="5"/>
      <c r="J371" s="5"/>
    </row>
    <row r="372" spans="4:10">
      <c r="D372" s="5"/>
      <c r="F372" s="7"/>
      <c r="H372" s="5"/>
      <c r="J372" s="5"/>
    </row>
    <row r="373" spans="4:10">
      <c r="D373" s="5"/>
      <c r="F373" s="7"/>
      <c r="H373" s="5"/>
      <c r="J373" s="5"/>
    </row>
    <row r="374" spans="4:10">
      <c r="D374" s="5"/>
      <c r="F374" s="7"/>
      <c r="H374" s="5"/>
      <c r="J374" s="5"/>
    </row>
    <row r="375" spans="4:10">
      <c r="D375" s="5"/>
      <c r="F375" s="7"/>
      <c r="H375" s="5"/>
      <c r="J375" s="5"/>
    </row>
    <row r="376" spans="4:10">
      <c r="D376" s="5"/>
      <c r="F376" s="7"/>
      <c r="H376" s="5"/>
      <c r="J376" s="5"/>
    </row>
    <row r="377" spans="4:10">
      <c r="D377" s="5"/>
      <c r="F377" s="7"/>
      <c r="H377" s="5"/>
      <c r="J377" s="5"/>
    </row>
    <row r="378" spans="4:10">
      <c r="D378" s="5"/>
      <c r="F378" s="7"/>
      <c r="H378" s="5"/>
      <c r="J378" s="5"/>
    </row>
    <row r="379" spans="4:10">
      <c r="D379" s="5"/>
      <c r="F379" s="7"/>
      <c r="H379" s="5"/>
      <c r="J379" s="5"/>
    </row>
    <row r="380" spans="4:10">
      <c r="D380" s="5"/>
      <c r="F380" s="7"/>
      <c r="H380" s="5"/>
      <c r="J380" s="5"/>
    </row>
    <row r="381" spans="4:10">
      <c r="D381" s="5"/>
      <c r="F381" s="7"/>
      <c r="H381" s="5"/>
      <c r="J381" s="5"/>
    </row>
    <row r="382" spans="4:10">
      <c r="D382" s="5"/>
      <c r="F382" s="7"/>
      <c r="H382" s="5"/>
      <c r="J382" s="5"/>
    </row>
    <row r="383" spans="4:10">
      <c r="D383" s="5"/>
      <c r="F383" s="7"/>
      <c r="H383" s="5"/>
      <c r="J383" s="5"/>
    </row>
    <row r="384" spans="4:10">
      <c r="D384" s="5"/>
      <c r="F384" s="7"/>
      <c r="H384" s="5"/>
      <c r="J384" s="5"/>
    </row>
    <row r="385" spans="4:10">
      <c r="D385" s="5"/>
      <c r="F385" s="7"/>
      <c r="H385" s="5"/>
      <c r="J385" s="5"/>
    </row>
    <row r="386" spans="4:10">
      <c r="D386" s="5"/>
      <c r="F386" s="7"/>
      <c r="H386" s="5"/>
      <c r="J386" s="5"/>
    </row>
    <row r="387" spans="4:10">
      <c r="D387" s="5"/>
      <c r="F387" s="7"/>
      <c r="H387" s="5"/>
      <c r="J387" s="5"/>
    </row>
    <row r="388" spans="4:10">
      <c r="D388" s="5"/>
      <c r="F388" s="7"/>
      <c r="H388" s="5"/>
      <c r="J388" s="5"/>
    </row>
    <row r="389" spans="4:10">
      <c r="D389" s="5"/>
      <c r="F389" s="7"/>
      <c r="H389" s="5"/>
      <c r="J389" s="5"/>
    </row>
    <row r="390" spans="4:10">
      <c r="D390" s="5"/>
      <c r="F390" s="7"/>
      <c r="H390" s="5"/>
      <c r="J390" s="5"/>
    </row>
    <row r="391" spans="4:10">
      <c r="D391" s="5"/>
      <c r="F391" s="7"/>
      <c r="H391" s="5"/>
      <c r="J391" s="5"/>
    </row>
    <row r="392" spans="4:10">
      <c r="D392" s="5"/>
      <c r="F392" s="7"/>
      <c r="H392" s="5"/>
      <c r="J392" s="5"/>
    </row>
    <row r="393" spans="4:10">
      <c r="D393" s="5"/>
      <c r="F393" s="7"/>
      <c r="H393" s="5"/>
      <c r="J393" s="5"/>
    </row>
    <row r="394" spans="4:10">
      <c r="D394" s="5"/>
      <c r="F394" s="7"/>
      <c r="H394" s="5"/>
      <c r="J394" s="5"/>
    </row>
    <row r="395" spans="4:10">
      <c r="D395" s="5"/>
      <c r="F395" s="7"/>
      <c r="H395" s="5"/>
      <c r="J395" s="5"/>
    </row>
    <row r="396" spans="4:10">
      <c r="D396" s="5"/>
      <c r="F396" s="7"/>
      <c r="H396" s="5"/>
      <c r="J396" s="5"/>
    </row>
    <row r="397" spans="4:10">
      <c r="D397" s="5"/>
      <c r="F397" s="7"/>
      <c r="H397" s="5"/>
      <c r="J397" s="5"/>
    </row>
    <row r="398" spans="4:10">
      <c r="D398" s="5"/>
      <c r="F398" s="7"/>
      <c r="H398" s="5"/>
      <c r="J398" s="5"/>
    </row>
    <row r="399" spans="4:10">
      <c r="D399" s="5"/>
      <c r="F399" s="7"/>
      <c r="H399" s="5"/>
      <c r="J399" s="5"/>
    </row>
    <row r="400" spans="4:10">
      <c r="D400" s="5"/>
      <c r="F400" s="7"/>
      <c r="H400" s="5"/>
      <c r="J400" s="5"/>
    </row>
    <row r="401" spans="4:10">
      <c r="D401" s="5"/>
      <c r="F401" s="7"/>
      <c r="H401" s="5"/>
      <c r="J401" s="5"/>
    </row>
    <row r="402" spans="4:10">
      <c r="D402" s="5"/>
      <c r="F402" s="7"/>
      <c r="H402" s="5"/>
      <c r="J402" s="5"/>
    </row>
    <row r="403" spans="4:10">
      <c r="D403" s="5"/>
      <c r="F403" s="7"/>
      <c r="H403" s="5"/>
      <c r="J403" s="5"/>
    </row>
    <row r="404" spans="4:10">
      <c r="D404" s="5"/>
      <c r="F404" s="7"/>
      <c r="H404" s="5"/>
      <c r="J404" s="5"/>
    </row>
    <row r="405" spans="4:10">
      <c r="D405" s="5"/>
      <c r="F405" s="7"/>
      <c r="H405" s="5"/>
      <c r="J405" s="5"/>
    </row>
    <row r="406" spans="4:10">
      <c r="D406" s="5"/>
      <c r="F406" s="7"/>
      <c r="H406" s="5"/>
      <c r="J406" s="5"/>
    </row>
    <row r="407" spans="4:10">
      <c r="D407" s="5"/>
      <c r="F407" s="7"/>
      <c r="H407" s="5"/>
      <c r="J407" s="5"/>
    </row>
    <row r="408" spans="4:10">
      <c r="D408" s="5"/>
      <c r="F408" s="7"/>
      <c r="H408" s="5"/>
      <c r="J408" s="5"/>
    </row>
    <row r="409" spans="4:10">
      <c r="D409" s="5"/>
      <c r="F409" s="7"/>
      <c r="H409" s="5"/>
      <c r="J409" s="5"/>
    </row>
    <row r="410" spans="4:10">
      <c r="D410" s="5"/>
      <c r="F410" s="7"/>
      <c r="H410" s="5"/>
      <c r="J410" s="5"/>
    </row>
    <row r="411" spans="4:10">
      <c r="D411" s="5"/>
      <c r="F411" s="7"/>
      <c r="H411" s="5"/>
      <c r="J411" s="5"/>
    </row>
    <row r="412" spans="4:10">
      <c r="D412" s="5"/>
      <c r="F412" s="7"/>
      <c r="H412" s="5"/>
      <c r="J412" s="5"/>
    </row>
    <row r="413" spans="4:10">
      <c r="D413" s="5"/>
      <c r="F413" s="7"/>
      <c r="H413" s="5"/>
      <c r="J413" s="5"/>
    </row>
    <row r="414" spans="4:10">
      <c r="D414" s="5"/>
      <c r="F414" s="7"/>
      <c r="H414" s="5"/>
      <c r="J414" s="5"/>
    </row>
    <row r="415" spans="4:10">
      <c r="D415" s="5"/>
      <c r="F415" s="7"/>
      <c r="H415" s="5"/>
      <c r="J415" s="5"/>
    </row>
    <row r="416" spans="4:10">
      <c r="D416" s="5"/>
      <c r="F416" s="7"/>
      <c r="H416" s="5"/>
      <c r="J416" s="5"/>
    </row>
    <row r="417" spans="4:10">
      <c r="D417" s="5"/>
      <c r="F417" s="7"/>
      <c r="H417" s="5"/>
      <c r="J417" s="5"/>
    </row>
    <row r="418" spans="4:10">
      <c r="D418" s="5"/>
      <c r="F418" s="7"/>
      <c r="H418" s="5"/>
      <c r="J418" s="5"/>
    </row>
    <row r="419" spans="4:10">
      <c r="D419" s="5"/>
      <c r="F419" s="7"/>
      <c r="H419" s="5"/>
      <c r="J419" s="5"/>
    </row>
    <row r="420" spans="4:10">
      <c r="D420" s="5"/>
      <c r="F420" s="7"/>
      <c r="H420" s="5"/>
      <c r="J420" s="5"/>
    </row>
    <row r="421" spans="4:10">
      <c r="D421" s="5"/>
      <c r="F421" s="7"/>
      <c r="H421" s="5"/>
      <c r="J421" s="5"/>
    </row>
    <row r="422" spans="4:10">
      <c r="D422" s="5"/>
      <c r="F422" s="7"/>
      <c r="H422" s="5"/>
      <c r="J422" s="5"/>
    </row>
    <row r="423" spans="4:10">
      <c r="D423" s="5"/>
      <c r="F423" s="7"/>
      <c r="H423" s="5"/>
      <c r="J423" s="5"/>
    </row>
    <row r="424" spans="4:10">
      <c r="D424" s="5"/>
      <c r="F424" s="7"/>
      <c r="H424" s="5"/>
      <c r="J424" s="5"/>
    </row>
    <row r="425" spans="4:10">
      <c r="D425" s="5"/>
      <c r="F425" s="7"/>
      <c r="H425" s="5"/>
      <c r="J425" s="5"/>
    </row>
    <row r="426" spans="4:10">
      <c r="D426" s="5"/>
      <c r="F426" s="7"/>
      <c r="H426" s="5"/>
      <c r="J426" s="5"/>
    </row>
    <row r="427" spans="4:10">
      <c r="D427" s="5"/>
      <c r="F427" s="7"/>
      <c r="H427" s="5"/>
      <c r="J427" s="5"/>
    </row>
    <row r="428" spans="4:10">
      <c r="D428" s="5"/>
      <c r="F428" s="7"/>
      <c r="H428" s="5"/>
      <c r="J428" s="5"/>
    </row>
    <row r="429" spans="4:10">
      <c r="D429" s="5"/>
      <c r="F429" s="7"/>
      <c r="H429" s="5"/>
      <c r="J429" s="5"/>
    </row>
    <row r="430" spans="4:10">
      <c r="D430" s="5"/>
      <c r="F430" s="7"/>
      <c r="H430" s="5"/>
      <c r="J430" s="5"/>
    </row>
    <row r="431" spans="4:10">
      <c r="D431" s="5"/>
      <c r="F431" s="7"/>
      <c r="H431" s="5"/>
      <c r="J431" s="5"/>
    </row>
    <row r="432" spans="4:10">
      <c r="D432" s="5"/>
      <c r="F432" s="7"/>
      <c r="H432" s="5"/>
      <c r="J432" s="5"/>
    </row>
    <row r="433" spans="4:10">
      <c r="D433" s="5"/>
      <c r="F433" s="7"/>
      <c r="H433" s="5"/>
      <c r="J433" s="5"/>
    </row>
    <row r="434" spans="4:10">
      <c r="D434" s="5"/>
      <c r="F434" s="7"/>
      <c r="H434" s="5"/>
      <c r="J434" s="5"/>
    </row>
    <row r="435" spans="4:10">
      <c r="D435" s="5"/>
      <c r="F435" s="7"/>
      <c r="H435" s="5"/>
      <c r="J435" s="5"/>
    </row>
    <row r="436" spans="4:10">
      <c r="D436" s="5"/>
      <c r="F436" s="7"/>
      <c r="H436" s="5"/>
      <c r="J436" s="5"/>
    </row>
    <row r="437" spans="4:10">
      <c r="D437" s="5"/>
      <c r="F437" s="7"/>
      <c r="H437" s="5"/>
      <c r="J437" s="5"/>
    </row>
    <row r="438" spans="4:10">
      <c r="D438" s="5"/>
      <c r="F438" s="7"/>
      <c r="H438" s="5"/>
      <c r="J438" s="5"/>
    </row>
    <row r="439" spans="4:10">
      <c r="D439" s="5"/>
      <c r="F439" s="7"/>
      <c r="H439" s="5"/>
      <c r="J439" s="5"/>
    </row>
    <row r="440" spans="4:10">
      <c r="D440" s="5"/>
      <c r="F440" s="7"/>
      <c r="H440" s="5"/>
      <c r="J440" s="5"/>
    </row>
    <row r="441" spans="4:10">
      <c r="D441" s="5"/>
      <c r="F441" s="7"/>
      <c r="H441" s="5"/>
      <c r="J441" s="5"/>
    </row>
    <row r="442" spans="4:10">
      <c r="D442" s="5"/>
      <c r="F442" s="7"/>
      <c r="H442" s="5"/>
      <c r="J442" s="5"/>
    </row>
    <row r="443" spans="4:10">
      <c r="D443" s="5"/>
      <c r="F443" s="7"/>
      <c r="H443" s="5"/>
      <c r="J443" s="5"/>
    </row>
    <row r="444" spans="4:10">
      <c r="D444" s="5"/>
      <c r="F444" s="7"/>
      <c r="H444" s="5"/>
      <c r="J444" s="5"/>
    </row>
    <row r="445" spans="4:10">
      <c r="D445" s="5"/>
      <c r="F445" s="7"/>
      <c r="H445" s="5"/>
      <c r="J445" s="5"/>
    </row>
    <row r="446" spans="4:10">
      <c r="D446" s="5"/>
      <c r="F446" s="7"/>
      <c r="H446" s="5"/>
      <c r="J446" s="5"/>
    </row>
    <row r="447" spans="4:10">
      <c r="D447" s="5"/>
      <c r="F447" s="7"/>
      <c r="H447" s="5"/>
      <c r="J447" s="5"/>
    </row>
    <row r="448" spans="4:10">
      <c r="D448" s="5"/>
      <c r="F448" s="7"/>
      <c r="H448" s="5"/>
      <c r="J448" s="5"/>
    </row>
    <row r="449" spans="4:10">
      <c r="D449" s="5"/>
      <c r="F449" s="7"/>
      <c r="H449" s="5"/>
      <c r="J449" s="5"/>
    </row>
    <row r="450" spans="4:10">
      <c r="D450" s="5"/>
      <c r="F450" s="7"/>
      <c r="H450" s="5"/>
      <c r="J450" s="5"/>
    </row>
    <row r="451" spans="4:10">
      <c r="D451" s="5"/>
      <c r="F451" s="7"/>
      <c r="H451" s="5"/>
      <c r="J451" s="5"/>
    </row>
    <row r="452" spans="4:10">
      <c r="D452" s="5"/>
      <c r="F452" s="7"/>
      <c r="H452" s="5"/>
      <c r="J452" s="5"/>
    </row>
    <row r="453" spans="4:10">
      <c r="D453" s="5"/>
      <c r="F453" s="7"/>
      <c r="H453" s="5"/>
      <c r="J453" s="5"/>
    </row>
    <row r="454" spans="4:10">
      <c r="D454" s="5"/>
      <c r="F454" s="7"/>
      <c r="H454" s="5"/>
      <c r="J454" s="5"/>
    </row>
    <row r="455" spans="4:10">
      <c r="D455" s="5"/>
      <c r="F455" s="7"/>
      <c r="H455" s="5"/>
      <c r="J455" s="5"/>
    </row>
    <row r="456" spans="4:10">
      <c r="D456" s="5"/>
      <c r="F456" s="7"/>
      <c r="H456" s="5"/>
      <c r="J456" s="5"/>
    </row>
    <row r="457" spans="4:10">
      <c r="D457" s="5"/>
      <c r="F457" s="7"/>
      <c r="H457" s="5"/>
      <c r="J457" s="5"/>
    </row>
    <row r="458" spans="4:10">
      <c r="D458" s="5"/>
      <c r="F458" s="7"/>
      <c r="H458" s="5"/>
      <c r="J458" s="5"/>
    </row>
    <row r="459" spans="4:10">
      <c r="D459" s="5"/>
      <c r="F459" s="7"/>
      <c r="H459" s="5"/>
      <c r="J459" s="5"/>
    </row>
    <row r="460" spans="4:10">
      <c r="D460" s="5"/>
      <c r="F460" s="7"/>
      <c r="H460" s="5"/>
      <c r="J460" s="5"/>
    </row>
    <row r="461" spans="4:10">
      <c r="D461" s="5"/>
      <c r="F461" s="7"/>
      <c r="H461" s="5"/>
      <c r="J461" s="5"/>
    </row>
    <row r="462" spans="4:10">
      <c r="D462" s="5"/>
      <c r="F462" s="7"/>
      <c r="H462" s="5"/>
      <c r="J462" s="5"/>
    </row>
    <row r="463" spans="4:10">
      <c r="D463" s="5"/>
      <c r="F463" s="7"/>
      <c r="H463" s="5"/>
      <c r="J463" s="5"/>
    </row>
    <row r="464" spans="4:10">
      <c r="D464" s="5"/>
      <c r="F464" s="7"/>
      <c r="H464" s="5"/>
      <c r="J464" s="5"/>
    </row>
    <row r="465" spans="4:10">
      <c r="D465" s="5"/>
      <c r="F465" s="7"/>
      <c r="H465" s="5"/>
      <c r="J465" s="5"/>
    </row>
    <row r="466" spans="4:10">
      <c r="D466" s="5"/>
      <c r="F466" s="7"/>
      <c r="H466" s="5"/>
      <c r="J466" s="5"/>
    </row>
    <row r="467" spans="4:10">
      <c r="D467" s="5"/>
      <c r="F467" s="7"/>
      <c r="H467" s="5"/>
      <c r="J467" s="5"/>
    </row>
    <row r="468" spans="4:10">
      <c r="D468" s="5"/>
      <c r="F468" s="7"/>
      <c r="H468" s="5"/>
      <c r="J468" s="5"/>
    </row>
    <row r="469" spans="4:10">
      <c r="D469" s="5"/>
      <c r="F469" s="7"/>
      <c r="H469" s="5"/>
      <c r="J469" s="5"/>
    </row>
    <row r="470" spans="4:10">
      <c r="D470" s="5"/>
      <c r="F470" s="7"/>
      <c r="H470" s="5"/>
      <c r="J470" s="5"/>
    </row>
    <row r="471" spans="4:10">
      <c r="D471" s="5"/>
      <c r="F471" s="7"/>
      <c r="H471" s="5"/>
      <c r="J471" s="5"/>
    </row>
    <row r="472" spans="4:10">
      <c r="D472" s="5"/>
      <c r="F472" s="7"/>
      <c r="H472" s="5"/>
      <c r="J472" s="5"/>
    </row>
    <row r="473" spans="4:10">
      <c r="D473" s="5"/>
      <c r="F473" s="7"/>
      <c r="H473" s="5"/>
      <c r="J473" s="5"/>
    </row>
    <row r="474" spans="4:10">
      <c r="D474" s="5"/>
      <c r="F474" s="7"/>
      <c r="H474" s="5"/>
      <c r="J474" s="5"/>
    </row>
    <row r="475" spans="4:10">
      <c r="D475" s="5"/>
      <c r="F475" s="7"/>
      <c r="H475" s="5"/>
      <c r="J475" s="5"/>
    </row>
    <row r="476" spans="4:10">
      <c r="D476" s="5"/>
      <c r="F476" s="7"/>
      <c r="H476" s="5"/>
      <c r="J476" s="5"/>
    </row>
    <row r="477" spans="4:10">
      <c r="D477" s="5"/>
      <c r="F477" s="7"/>
      <c r="H477" s="5"/>
      <c r="J477" s="5"/>
    </row>
    <row r="478" spans="4:10">
      <c r="D478" s="5"/>
      <c r="F478" s="7"/>
      <c r="H478" s="5"/>
      <c r="J478" s="5"/>
    </row>
    <row r="479" spans="4:10">
      <c r="D479" s="5"/>
      <c r="F479" s="7"/>
      <c r="H479" s="5"/>
      <c r="J479" s="5"/>
    </row>
    <row r="480" spans="4:10">
      <c r="D480" s="5"/>
      <c r="F480" s="7"/>
      <c r="H480" s="5"/>
      <c r="J480" s="5"/>
    </row>
    <row r="481" spans="4:10">
      <c r="D481" s="5"/>
      <c r="F481" s="7"/>
      <c r="H481" s="5"/>
      <c r="J481" s="5"/>
    </row>
    <row r="482" spans="4:10">
      <c r="D482" s="5"/>
      <c r="F482" s="7"/>
      <c r="H482" s="5"/>
      <c r="J482" s="5"/>
    </row>
    <row r="483" spans="4:10">
      <c r="D483" s="5"/>
      <c r="F483" s="7"/>
      <c r="H483" s="5"/>
      <c r="J483" s="5"/>
    </row>
    <row r="484" spans="4:10">
      <c r="D484" s="5"/>
      <c r="F484" s="7"/>
      <c r="H484" s="5"/>
      <c r="J484" s="5"/>
    </row>
    <row r="485" spans="4:10">
      <c r="D485" s="5"/>
      <c r="F485" s="7"/>
      <c r="H485" s="5"/>
      <c r="J485" s="5"/>
    </row>
    <row r="486" spans="4:10">
      <c r="D486" s="5"/>
      <c r="F486" s="7"/>
      <c r="H486" s="5"/>
      <c r="J486" s="5"/>
    </row>
    <row r="487" spans="4:10">
      <c r="D487" s="5"/>
      <c r="F487" s="7"/>
      <c r="H487" s="5"/>
      <c r="J487" s="5"/>
    </row>
    <row r="488" spans="4:10">
      <c r="D488" s="5"/>
      <c r="F488" s="7"/>
      <c r="H488" s="5"/>
      <c r="J488" s="5"/>
    </row>
    <row r="489" spans="4:10">
      <c r="D489" s="5"/>
      <c r="F489" s="7"/>
      <c r="H489" s="5"/>
      <c r="J489" s="5"/>
    </row>
    <row r="490" spans="4:10">
      <c r="D490" s="5"/>
      <c r="F490" s="7"/>
      <c r="H490" s="5"/>
      <c r="J490" s="5"/>
    </row>
    <row r="491" spans="4:10">
      <c r="D491" s="5"/>
      <c r="F491" s="7"/>
      <c r="H491" s="5"/>
      <c r="J491" s="5"/>
    </row>
    <row r="492" spans="4:10">
      <c r="D492" s="5"/>
      <c r="F492" s="7"/>
      <c r="H492" s="5"/>
      <c r="J492" s="5"/>
    </row>
    <row r="493" spans="4:10">
      <c r="D493" s="5"/>
      <c r="F493" s="7"/>
      <c r="H493" s="5"/>
      <c r="J493" s="5"/>
    </row>
    <row r="494" spans="4:10">
      <c r="D494" s="5"/>
      <c r="F494" s="7"/>
      <c r="H494" s="5"/>
      <c r="J494" s="5"/>
    </row>
    <row r="495" spans="4:10">
      <c r="D495" s="5"/>
      <c r="F495" s="7"/>
      <c r="H495" s="5"/>
      <c r="J495" s="5"/>
    </row>
    <row r="496" spans="4:10">
      <c r="D496" s="5"/>
      <c r="F496" s="7"/>
      <c r="H496" s="5"/>
      <c r="J496" s="5"/>
    </row>
    <row r="497" spans="4:10">
      <c r="D497" s="5"/>
      <c r="F497" s="7"/>
      <c r="H497" s="5"/>
      <c r="J497" s="5"/>
    </row>
    <row r="498" spans="4:10">
      <c r="D498" s="5"/>
      <c r="F498" s="7"/>
      <c r="H498" s="5"/>
      <c r="J498" s="5"/>
    </row>
    <row r="499" spans="4:10">
      <c r="D499" s="5"/>
      <c r="F499" s="7"/>
      <c r="H499" s="5"/>
      <c r="J499" s="5"/>
    </row>
    <row r="500" spans="4:10">
      <c r="D500" s="5"/>
      <c r="F500" s="7"/>
      <c r="H500" s="5"/>
      <c r="J500" s="5"/>
    </row>
  </sheetData>
  <phoneticPr fontId="6" type="noConversion"/>
  <conditionalFormatting sqref="J2:J500">
    <cfRule type="expression" dxfId="3" priority="1">
      <formula>AND($J2&lt;&gt;"",$J2&lt;TODAY())</formula>
    </cfRule>
    <cfRule type="expression" dxfId="2" priority="2">
      <formula>AND($J2&gt;=TODAY(),$J2&lt;=TODAY()+7)</formula>
    </cfRule>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xr:uid="{00000000-0002-0000-0500-000000000000}">
          <x14:formula1>
            <xm:f>Lists!$I$2:$I$8</xm:f>
          </x14:formula1>
          <xm:sqref>G2:G500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500"/>
  <sheetViews>
    <sheetView topLeftCell="A67" workbookViewId="0">
      <selection activeCell="A2" sqref="A2:A100"/>
    </sheetView>
  </sheetViews>
  <sheetFormatPr defaultRowHeight="14.25"/>
  <cols>
    <col min="1" max="1" width="14" customWidth="1"/>
    <col min="2" max="2" width="28" customWidth="1"/>
    <col min="3" max="10" width="14" customWidth="1"/>
    <col min="11" max="11" width="28" customWidth="1"/>
  </cols>
  <sheetData>
    <row r="1" spans="1:11" ht="32.1" customHeight="1">
      <c r="A1" s="2" t="s">
        <v>134</v>
      </c>
      <c r="B1" s="2" t="s">
        <v>31</v>
      </c>
      <c r="C1" s="2" t="s">
        <v>135</v>
      </c>
      <c r="D1" s="2" t="s">
        <v>136</v>
      </c>
      <c r="E1" s="2" t="s">
        <v>137</v>
      </c>
      <c r="F1" s="2" t="s">
        <v>98</v>
      </c>
      <c r="G1" s="2" t="s">
        <v>138</v>
      </c>
      <c r="H1" s="2" t="s">
        <v>139</v>
      </c>
      <c r="I1" s="2" t="s">
        <v>140</v>
      </c>
      <c r="J1" s="2" t="s">
        <v>141</v>
      </c>
      <c r="K1" s="2" t="s">
        <v>15</v>
      </c>
    </row>
    <row r="2" spans="1:11" ht="42.75">
      <c r="A2" s="3" t="s">
        <v>142</v>
      </c>
      <c r="B2" s="3" t="s">
        <v>54</v>
      </c>
      <c r="C2" s="3" t="s">
        <v>101</v>
      </c>
      <c r="D2" s="4">
        <v>46277</v>
      </c>
      <c r="E2" s="4">
        <v>46277</v>
      </c>
      <c r="F2" s="3" t="s">
        <v>143</v>
      </c>
      <c r="G2" s="3" t="s">
        <v>144</v>
      </c>
      <c r="H2" s="3" t="s">
        <v>145</v>
      </c>
      <c r="I2" s="6">
        <v>15000</v>
      </c>
      <c r="J2" s="3" t="s">
        <v>146</v>
      </c>
      <c r="K2" s="3" t="s">
        <v>147</v>
      </c>
    </row>
    <row r="3" spans="1:11">
      <c r="A3" s="3" t="s">
        <v>676</v>
      </c>
      <c r="B3" s="3"/>
      <c r="C3" s="3"/>
      <c r="D3" s="4"/>
      <c r="E3" s="4"/>
      <c r="F3" s="3"/>
      <c r="G3" s="3"/>
      <c r="H3" s="3"/>
      <c r="I3" s="6"/>
      <c r="J3" s="3"/>
      <c r="K3" s="3"/>
    </row>
    <row r="4" spans="1:11">
      <c r="A4" s="3" t="s">
        <v>677</v>
      </c>
      <c r="B4" s="3"/>
      <c r="C4" s="3"/>
      <c r="D4" s="4"/>
      <c r="E4" s="4"/>
      <c r="F4" s="3"/>
      <c r="G4" s="3"/>
      <c r="H4" s="3"/>
      <c r="I4" s="6"/>
      <c r="J4" s="3"/>
      <c r="K4" s="3"/>
    </row>
    <row r="5" spans="1:11">
      <c r="A5" s="3" t="s">
        <v>678</v>
      </c>
      <c r="B5" s="3"/>
      <c r="C5" s="3"/>
      <c r="D5" s="4"/>
      <c r="E5" s="4"/>
      <c r="F5" s="3"/>
      <c r="G5" s="3"/>
      <c r="H5" s="3"/>
      <c r="I5" s="6"/>
      <c r="J5" s="3"/>
      <c r="K5" s="3"/>
    </row>
    <row r="6" spans="1:11">
      <c r="A6" s="3" t="s">
        <v>679</v>
      </c>
      <c r="B6" s="3"/>
      <c r="C6" s="3"/>
      <c r="D6" s="4"/>
      <c r="E6" s="4"/>
      <c r="F6" s="3"/>
      <c r="G6" s="3"/>
      <c r="H6" s="3"/>
      <c r="I6" s="6"/>
      <c r="J6" s="3"/>
      <c r="K6" s="3"/>
    </row>
    <row r="7" spans="1:11">
      <c r="A7" s="3" t="s">
        <v>680</v>
      </c>
      <c r="B7" s="3"/>
      <c r="C7" s="3"/>
      <c r="D7" s="4"/>
      <c r="E7" s="4"/>
      <c r="F7" s="3"/>
      <c r="G7" s="3"/>
      <c r="H7" s="3"/>
      <c r="I7" s="6"/>
      <c r="J7" s="3"/>
      <c r="K7" s="3"/>
    </row>
    <row r="8" spans="1:11">
      <c r="A8" s="3" t="s">
        <v>681</v>
      </c>
      <c r="B8" s="3"/>
      <c r="C8" s="3"/>
      <c r="D8" s="4"/>
      <c r="E8" s="4"/>
      <c r="F8" s="3"/>
      <c r="G8" s="3"/>
      <c r="H8" s="3"/>
      <c r="I8" s="6"/>
      <c r="J8" s="3"/>
      <c r="K8" s="3"/>
    </row>
    <row r="9" spans="1:11">
      <c r="A9" s="3" t="s">
        <v>682</v>
      </c>
      <c r="B9" s="3"/>
      <c r="C9" s="3"/>
      <c r="D9" s="4"/>
      <c r="E9" s="4"/>
      <c r="F9" s="3"/>
      <c r="G9" s="3"/>
      <c r="H9" s="3"/>
      <c r="I9" s="6"/>
      <c r="J9" s="3"/>
      <c r="K9" s="3"/>
    </row>
    <row r="10" spans="1:11">
      <c r="A10" s="3" t="s">
        <v>683</v>
      </c>
      <c r="B10" s="3"/>
      <c r="C10" s="3"/>
      <c r="D10" s="4"/>
      <c r="E10" s="4"/>
      <c r="F10" s="3"/>
      <c r="G10" s="3"/>
      <c r="H10" s="3"/>
      <c r="I10" s="6"/>
      <c r="J10" s="3"/>
      <c r="K10" s="3"/>
    </row>
    <row r="11" spans="1:11">
      <c r="A11" s="3" t="s">
        <v>684</v>
      </c>
      <c r="B11" s="3"/>
      <c r="C11" s="3"/>
      <c r="D11" s="4"/>
      <c r="E11" s="4"/>
      <c r="F11" s="3"/>
      <c r="G11" s="3"/>
      <c r="H11" s="3"/>
      <c r="I11" s="6"/>
      <c r="J11" s="3"/>
      <c r="K11" s="3"/>
    </row>
    <row r="12" spans="1:11">
      <c r="A12" s="3" t="s">
        <v>685</v>
      </c>
      <c r="B12" s="3"/>
      <c r="C12" s="3"/>
      <c r="D12" s="4"/>
      <c r="E12" s="4"/>
      <c r="F12" s="3"/>
      <c r="G12" s="3"/>
      <c r="H12" s="3"/>
      <c r="I12" s="6"/>
      <c r="J12" s="3"/>
      <c r="K12" s="3"/>
    </row>
    <row r="13" spans="1:11">
      <c r="A13" s="3" t="s">
        <v>686</v>
      </c>
      <c r="B13" s="3"/>
      <c r="C13" s="3"/>
      <c r="D13" s="4"/>
      <c r="E13" s="4"/>
      <c r="F13" s="3"/>
      <c r="G13" s="3"/>
      <c r="H13" s="3"/>
      <c r="I13" s="6"/>
      <c r="J13" s="3"/>
      <c r="K13" s="3"/>
    </row>
    <row r="14" spans="1:11">
      <c r="A14" s="3" t="s">
        <v>687</v>
      </c>
      <c r="B14" s="3"/>
      <c r="C14" s="3"/>
      <c r="D14" s="4"/>
      <c r="E14" s="4"/>
      <c r="F14" s="3"/>
      <c r="G14" s="3"/>
      <c r="H14" s="3"/>
      <c r="I14" s="6"/>
      <c r="J14" s="3"/>
      <c r="K14" s="3"/>
    </row>
    <row r="15" spans="1:11">
      <c r="A15" s="3" t="s">
        <v>688</v>
      </c>
      <c r="B15" s="3"/>
      <c r="C15" s="3"/>
      <c r="D15" s="4"/>
      <c r="E15" s="4"/>
      <c r="F15" s="3"/>
      <c r="G15" s="3"/>
      <c r="H15" s="3"/>
      <c r="I15" s="6"/>
      <c r="J15" s="3"/>
      <c r="K15" s="3"/>
    </row>
    <row r="16" spans="1:11">
      <c r="A16" s="3" t="s">
        <v>689</v>
      </c>
      <c r="B16" s="3"/>
      <c r="C16" s="3"/>
      <c r="D16" s="4"/>
      <c r="E16" s="4"/>
      <c r="F16" s="3"/>
      <c r="G16" s="3"/>
      <c r="H16" s="3"/>
      <c r="I16" s="6"/>
      <c r="J16" s="3"/>
      <c r="K16" s="3"/>
    </row>
    <row r="17" spans="1:11">
      <c r="A17" s="3" t="s">
        <v>690</v>
      </c>
      <c r="B17" s="3"/>
      <c r="C17" s="3"/>
      <c r="D17" s="4"/>
      <c r="E17" s="4"/>
      <c r="F17" s="3"/>
      <c r="G17" s="3"/>
      <c r="H17" s="3"/>
      <c r="I17" s="6"/>
      <c r="J17" s="3"/>
      <c r="K17" s="3"/>
    </row>
    <row r="18" spans="1:11">
      <c r="A18" s="3" t="s">
        <v>691</v>
      </c>
      <c r="B18" s="3"/>
      <c r="C18" s="3"/>
      <c r="D18" s="4"/>
      <c r="E18" s="4"/>
      <c r="F18" s="3"/>
      <c r="G18" s="3"/>
      <c r="H18" s="3"/>
      <c r="I18" s="6"/>
      <c r="J18" s="3"/>
      <c r="K18" s="3"/>
    </row>
    <row r="19" spans="1:11">
      <c r="A19" s="3" t="s">
        <v>692</v>
      </c>
      <c r="B19" s="3"/>
      <c r="C19" s="3"/>
      <c r="D19" s="4"/>
      <c r="E19" s="4"/>
      <c r="F19" s="3"/>
      <c r="G19" s="3"/>
      <c r="H19" s="3"/>
      <c r="I19" s="6"/>
      <c r="J19" s="3"/>
      <c r="K19" s="3"/>
    </row>
    <row r="20" spans="1:11">
      <c r="A20" s="3" t="s">
        <v>693</v>
      </c>
      <c r="B20" s="3"/>
      <c r="C20" s="3"/>
      <c r="D20" s="4"/>
      <c r="E20" s="4"/>
      <c r="F20" s="3"/>
      <c r="G20" s="3"/>
      <c r="H20" s="3"/>
      <c r="I20" s="6"/>
      <c r="J20" s="3"/>
      <c r="K20" s="3"/>
    </row>
    <row r="21" spans="1:11">
      <c r="A21" s="3" t="s">
        <v>694</v>
      </c>
      <c r="B21" s="3"/>
      <c r="C21" s="3"/>
      <c r="D21" s="4"/>
      <c r="E21" s="4"/>
      <c r="F21" s="3"/>
      <c r="G21" s="3"/>
      <c r="H21" s="3"/>
      <c r="I21" s="6"/>
      <c r="J21" s="3"/>
      <c r="K21" s="3"/>
    </row>
    <row r="22" spans="1:11">
      <c r="A22" s="3" t="s">
        <v>695</v>
      </c>
      <c r="B22" s="3"/>
      <c r="C22" s="3"/>
      <c r="D22" s="4"/>
      <c r="E22" s="4"/>
      <c r="F22" s="3"/>
      <c r="G22" s="3"/>
      <c r="H22" s="3"/>
      <c r="I22" s="6"/>
      <c r="J22" s="3"/>
      <c r="K22" s="3"/>
    </row>
    <row r="23" spans="1:11">
      <c r="A23" s="3" t="s">
        <v>696</v>
      </c>
      <c r="B23" s="3"/>
      <c r="C23" s="3"/>
      <c r="D23" s="4"/>
      <c r="E23" s="4"/>
      <c r="F23" s="3"/>
      <c r="G23" s="3"/>
      <c r="H23" s="3"/>
      <c r="I23" s="6"/>
      <c r="J23" s="3"/>
      <c r="K23" s="3"/>
    </row>
    <row r="24" spans="1:11">
      <c r="A24" s="3" t="s">
        <v>697</v>
      </c>
      <c r="B24" s="3"/>
      <c r="C24" s="3"/>
      <c r="D24" s="4"/>
      <c r="E24" s="4"/>
      <c r="F24" s="3"/>
      <c r="G24" s="3"/>
      <c r="H24" s="3"/>
      <c r="I24" s="6"/>
      <c r="J24" s="3"/>
      <c r="K24" s="3"/>
    </row>
    <row r="25" spans="1:11">
      <c r="A25" s="3" t="s">
        <v>698</v>
      </c>
      <c r="B25" s="3"/>
      <c r="C25" s="3"/>
      <c r="D25" s="4"/>
      <c r="E25" s="4"/>
      <c r="F25" s="3"/>
      <c r="G25" s="3"/>
      <c r="H25" s="3"/>
      <c r="I25" s="6"/>
      <c r="J25" s="3"/>
      <c r="K25" s="3"/>
    </row>
    <row r="26" spans="1:11">
      <c r="A26" s="3" t="s">
        <v>699</v>
      </c>
      <c r="B26" s="3"/>
      <c r="C26" s="3"/>
      <c r="D26" s="4"/>
      <c r="E26" s="4"/>
      <c r="F26" s="3"/>
      <c r="G26" s="3"/>
      <c r="H26" s="3"/>
      <c r="I26" s="6"/>
      <c r="J26" s="3"/>
      <c r="K26" s="3"/>
    </row>
    <row r="27" spans="1:11">
      <c r="A27" s="3" t="s">
        <v>700</v>
      </c>
      <c r="B27" s="3"/>
      <c r="C27" s="3"/>
      <c r="D27" s="4"/>
      <c r="E27" s="4"/>
      <c r="F27" s="3"/>
      <c r="G27" s="3"/>
      <c r="H27" s="3"/>
      <c r="I27" s="6"/>
      <c r="J27" s="3"/>
      <c r="K27" s="3"/>
    </row>
    <row r="28" spans="1:11">
      <c r="A28" s="3" t="s">
        <v>701</v>
      </c>
      <c r="B28" s="3"/>
      <c r="C28" s="3"/>
      <c r="D28" s="4"/>
      <c r="E28" s="4"/>
      <c r="F28" s="3"/>
      <c r="G28" s="3"/>
      <c r="H28" s="3"/>
      <c r="I28" s="6"/>
      <c r="J28" s="3"/>
      <c r="K28" s="3"/>
    </row>
    <row r="29" spans="1:11">
      <c r="A29" s="3" t="s">
        <v>702</v>
      </c>
      <c r="B29" s="3"/>
      <c r="C29" s="3"/>
      <c r="D29" s="4"/>
      <c r="E29" s="4"/>
      <c r="F29" s="3"/>
      <c r="G29" s="3"/>
      <c r="H29" s="3"/>
      <c r="I29" s="6"/>
      <c r="J29" s="3"/>
      <c r="K29" s="3"/>
    </row>
    <row r="30" spans="1:11">
      <c r="A30" s="3" t="s">
        <v>703</v>
      </c>
      <c r="B30" s="3"/>
      <c r="C30" s="3"/>
      <c r="D30" s="4"/>
      <c r="E30" s="4"/>
      <c r="F30" s="3"/>
      <c r="G30" s="3"/>
      <c r="H30" s="3"/>
      <c r="I30" s="6"/>
      <c r="J30" s="3"/>
      <c r="K30" s="3"/>
    </row>
    <row r="31" spans="1:11">
      <c r="A31" s="3" t="s">
        <v>704</v>
      </c>
      <c r="B31" s="3"/>
      <c r="C31" s="3"/>
      <c r="D31" s="4"/>
      <c r="E31" s="4"/>
      <c r="F31" s="3"/>
      <c r="G31" s="3"/>
      <c r="H31" s="3"/>
      <c r="I31" s="6"/>
      <c r="J31" s="3"/>
      <c r="K31" s="3"/>
    </row>
    <row r="32" spans="1:11">
      <c r="A32" s="3" t="s">
        <v>705</v>
      </c>
      <c r="B32" s="3"/>
      <c r="C32" s="3"/>
      <c r="D32" s="4"/>
      <c r="E32" s="4"/>
      <c r="F32" s="3"/>
      <c r="G32" s="3"/>
      <c r="H32" s="3"/>
      <c r="I32" s="6"/>
      <c r="J32" s="3"/>
      <c r="K32" s="3"/>
    </row>
    <row r="33" spans="1:11">
      <c r="A33" s="3" t="s">
        <v>706</v>
      </c>
      <c r="B33" s="3"/>
      <c r="C33" s="3"/>
      <c r="D33" s="4"/>
      <c r="E33" s="4"/>
      <c r="F33" s="3"/>
      <c r="G33" s="3"/>
      <c r="H33" s="3"/>
      <c r="I33" s="6"/>
      <c r="J33" s="3"/>
      <c r="K33" s="3"/>
    </row>
    <row r="34" spans="1:11">
      <c r="A34" s="3" t="s">
        <v>707</v>
      </c>
      <c r="B34" s="3"/>
      <c r="C34" s="3"/>
      <c r="D34" s="4"/>
      <c r="E34" s="4"/>
      <c r="F34" s="3"/>
      <c r="G34" s="3"/>
      <c r="H34" s="3"/>
      <c r="I34" s="6"/>
      <c r="J34" s="3"/>
      <c r="K34" s="3"/>
    </row>
    <row r="35" spans="1:11">
      <c r="A35" s="3" t="s">
        <v>708</v>
      </c>
      <c r="B35" s="3"/>
      <c r="C35" s="3"/>
      <c r="D35" s="4"/>
      <c r="E35" s="4"/>
      <c r="F35" s="3"/>
      <c r="G35" s="3"/>
      <c r="H35" s="3"/>
      <c r="I35" s="6"/>
      <c r="J35" s="3"/>
      <c r="K35" s="3"/>
    </row>
    <row r="36" spans="1:11">
      <c r="A36" s="3" t="s">
        <v>709</v>
      </c>
      <c r="B36" s="3"/>
      <c r="C36" s="3"/>
      <c r="D36" s="4"/>
      <c r="E36" s="4"/>
      <c r="F36" s="3"/>
      <c r="G36" s="3"/>
      <c r="H36" s="3"/>
      <c r="I36" s="6"/>
      <c r="J36" s="3"/>
      <c r="K36" s="3"/>
    </row>
    <row r="37" spans="1:11">
      <c r="A37" s="3" t="s">
        <v>710</v>
      </c>
      <c r="B37" s="3"/>
      <c r="C37" s="3"/>
      <c r="D37" s="4"/>
      <c r="E37" s="4"/>
      <c r="F37" s="3"/>
      <c r="G37" s="3"/>
      <c r="H37" s="3"/>
      <c r="I37" s="6"/>
      <c r="J37" s="3"/>
      <c r="K37" s="3"/>
    </row>
    <row r="38" spans="1:11">
      <c r="A38" s="3" t="s">
        <v>711</v>
      </c>
      <c r="B38" s="3"/>
      <c r="C38" s="3"/>
      <c r="D38" s="4"/>
      <c r="E38" s="4"/>
      <c r="F38" s="3"/>
      <c r="G38" s="3"/>
      <c r="H38" s="3"/>
      <c r="I38" s="6"/>
      <c r="J38" s="3"/>
      <c r="K38" s="3"/>
    </row>
    <row r="39" spans="1:11">
      <c r="A39" s="3" t="s">
        <v>712</v>
      </c>
      <c r="B39" s="3"/>
      <c r="C39" s="3"/>
      <c r="D39" s="4"/>
      <c r="E39" s="4"/>
      <c r="F39" s="3"/>
      <c r="G39" s="3"/>
      <c r="H39" s="3"/>
      <c r="I39" s="6"/>
      <c r="J39" s="3"/>
      <c r="K39" s="3"/>
    </row>
    <row r="40" spans="1:11">
      <c r="A40" s="3" t="s">
        <v>713</v>
      </c>
      <c r="B40" s="3"/>
      <c r="C40" s="3"/>
      <c r="D40" s="4"/>
      <c r="E40" s="4"/>
      <c r="F40" s="3"/>
      <c r="G40" s="3"/>
      <c r="H40" s="3"/>
      <c r="I40" s="6"/>
      <c r="J40" s="3"/>
      <c r="K40" s="3"/>
    </row>
    <row r="41" spans="1:11">
      <c r="A41" s="3" t="s">
        <v>714</v>
      </c>
      <c r="B41" s="3"/>
      <c r="C41" s="3"/>
      <c r="D41" s="4"/>
      <c r="E41" s="4"/>
      <c r="F41" s="3"/>
      <c r="G41" s="3"/>
      <c r="H41" s="3"/>
      <c r="I41" s="6"/>
      <c r="J41" s="3"/>
      <c r="K41" s="3"/>
    </row>
    <row r="42" spans="1:11">
      <c r="A42" s="3" t="s">
        <v>715</v>
      </c>
      <c r="B42" s="3"/>
      <c r="C42" s="3"/>
      <c r="D42" s="4"/>
      <c r="E42" s="4"/>
      <c r="F42" s="3"/>
      <c r="G42" s="3"/>
      <c r="H42" s="3"/>
      <c r="I42" s="6"/>
      <c r="J42" s="3"/>
      <c r="K42" s="3"/>
    </row>
    <row r="43" spans="1:11">
      <c r="A43" s="3" t="s">
        <v>716</v>
      </c>
      <c r="B43" s="3"/>
      <c r="C43" s="3"/>
      <c r="D43" s="4"/>
      <c r="E43" s="4"/>
      <c r="F43" s="3"/>
      <c r="G43" s="3"/>
      <c r="H43" s="3"/>
      <c r="I43" s="6"/>
      <c r="J43" s="3"/>
      <c r="K43" s="3"/>
    </row>
    <row r="44" spans="1:11">
      <c r="A44" s="3" t="s">
        <v>717</v>
      </c>
      <c r="B44" s="3"/>
      <c r="C44" s="3"/>
      <c r="D44" s="4"/>
      <c r="E44" s="4"/>
      <c r="F44" s="3"/>
      <c r="G44" s="3"/>
      <c r="H44" s="3"/>
      <c r="I44" s="6"/>
      <c r="J44" s="3"/>
      <c r="K44" s="3"/>
    </row>
    <row r="45" spans="1:11">
      <c r="A45" s="3" t="s">
        <v>718</v>
      </c>
      <c r="B45" s="3"/>
      <c r="C45" s="3"/>
      <c r="D45" s="4"/>
      <c r="E45" s="4"/>
      <c r="F45" s="3"/>
      <c r="G45" s="3"/>
      <c r="H45" s="3"/>
      <c r="I45" s="6"/>
      <c r="J45" s="3"/>
      <c r="K45" s="3"/>
    </row>
    <row r="46" spans="1:11">
      <c r="A46" s="3" t="s">
        <v>719</v>
      </c>
      <c r="B46" s="3"/>
      <c r="C46" s="3"/>
      <c r="D46" s="4"/>
      <c r="E46" s="4"/>
      <c r="F46" s="3"/>
      <c r="G46" s="3"/>
      <c r="H46" s="3"/>
      <c r="I46" s="6"/>
      <c r="J46" s="3"/>
      <c r="K46" s="3"/>
    </row>
    <row r="47" spans="1:11">
      <c r="A47" s="3" t="s">
        <v>720</v>
      </c>
      <c r="B47" s="3"/>
      <c r="C47" s="3"/>
      <c r="D47" s="4"/>
      <c r="E47" s="4"/>
      <c r="F47" s="3"/>
      <c r="G47" s="3"/>
      <c r="H47" s="3"/>
      <c r="I47" s="6"/>
      <c r="J47" s="3"/>
      <c r="K47" s="3"/>
    </row>
    <row r="48" spans="1:11">
      <c r="A48" s="3" t="s">
        <v>721</v>
      </c>
      <c r="B48" s="3"/>
      <c r="C48" s="3"/>
      <c r="D48" s="4"/>
      <c r="E48" s="4"/>
      <c r="F48" s="3"/>
      <c r="G48" s="3"/>
      <c r="H48" s="3"/>
      <c r="I48" s="6"/>
      <c r="J48" s="3"/>
      <c r="K48" s="3"/>
    </row>
    <row r="49" spans="1:11">
      <c r="A49" s="3" t="s">
        <v>722</v>
      </c>
      <c r="B49" s="3"/>
      <c r="C49" s="3"/>
      <c r="D49" s="4"/>
      <c r="E49" s="4"/>
      <c r="F49" s="3"/>
      <c r="G49" s="3"/>
      <c r="H49" s="3"/>
      <c r="I49" s="6"/>
      <c r="J49" s="3"/>
      <c r="K49" s="3"/>
    </row>
    <row r="50" spans="1:11">
      <c r="A50" s="3" t="s">
        <v>723</v>
      </c>
      <c r="B50" s="3"/>
      <c r="C50" s="3"/>
      <c r="D50" s="4"/>
      <c r="E50" s="4"/>
      <c r="F50" s="3"/>
      <c r="G50" s="3"/>
      <c r="H50" s="3"/>
      <c r="I50" s="6"/>
      <c r="J50" s="3"/>
      <c r="K50" s="3"/>
    </row>
    <row r="51" spans="1:11">
      <c r="A51" s="3" t="s">
        <v>724</v>
      </c>
      <c r="B51" s="3"/>
      <c r="C51" s="3"/>
      <c r="D51" s="4"/>
      <c r="E51" s="4"/>
      <c r="F51" s="3"/>
      <c r="G51" s="3"/>
      <c r="H51" s="3"/>
      <c r="I51" s="6"/>
      <c r="J51" s="3"/>
      <c r="K51" s="3"/>
    </row>
    <row r="52" spans="1:11">
      <c r="A52" s="3" t="s">
        <v>725</v>
      </c>
      <c r="B52" s="3"/>
      <c r="C52" s="3"/>
      <c r="D52" s="4"/>
      <c r="E52" s="4"/>
      <c r="F52" s="3"/>
      <c r="G52" s="3"/>
      <c r="H52" s="3"/>
      <c r="I52" s="6"/>
      <c r="J52" s="3"/>
      <c r="K52" s="3"/>
    </row>
    <row r="53" spans="1:11">
      <c r="A53" s="3" t="s">
        <v>726</v>
      </c>
      <c r="B53" s="3"/>
      <c r="C53" s="3"/>
      <c r="D53" s="4"/>
      <c r="E53" s="4"/>
      <c r="F53" s="3"/>
      <c r="G53" s="3"/>
      <c r="H53" s="3"/>
      <c r="I53" s="6"/>
      <c r="J53" s="3"/>
      <c r="K53" s="3"/>
    </row>
    <row r="54" spans="1:11">
      <c r="A54" s="3" t="s">
        <v>727</v>
      </c>
      <c r="B54" s="3"/>
      <c r="C54" s="3"/>
      <c r="D54" s="4"/>
      <c r="E54" s="4"/>
      <c r="F54" s="3"/>
      <c r="G54" s="3"/>
      <c r="H54" s="3"/>
      <c r="I54" s="6"/>
      <c r="J54" s="3"/>
      <c r="K54" s="3"/>
    </row>
    <row r="55" spans="1:11">
      <c r="A55" s="3" t="s">
        <v>728</v>
      </c>
      <c r="B55" s="3"/>
      <c r="C55" s="3"/>
      <c r="D55" s="4"/>
      <c r="E55" s="4"/>
      <c r="F55" s="3"/>
      <c r="G55" s="3"/>
      <c r="H55" s="3"/>
      <c r="I55" s="6"/>
      <c r="J55" s="3"/>
      <c r="K55" s="3"/>
    </row>
    <row r="56" spans="1:11">
      <c r="A56" s="3" t="s">
        <v>729</v>
      </c>
      <c r="B56" s="3"/>
      <c r="C56" s="3"/>
      <c r="D56" s="4"/>
      <c r="E56" s="4"/>
      <c r="F56" s="3"/>
      <c r="G56" s="3"/>
      <c r="H56" s="3"/>
      <c r="I56" s="6"/>
      <c r="J56" s="3"/>
      <c r="K56" s="3"/>
    </row>
    <row r="57" spans="1:11">
      <c r="A57" s="3" t="s">
        <v>730</v>
      </c>
      <c r="B57" s="3"/>
      <c r="C57" s="3"/>
      <c r="D57" s="4"/>
      <c r="E57" s="4"/>
      <c r="F57" s="3"/>
      <c r="G57" s="3"/>
      <c r="H57" s="3"/>
      <c r="I57" s="6"/>
      <c r="J57" s="3"/>
      <c r="K57" s="3"/>
    </row>
    <row r="58" spans="1:11">
      <c r="A58" s="3" t="s">
        <v>731</v>
      </c>
      <c r="B58" s="3"/>
      <c r="C58" s="3"/>
      <c r="D58" s="4"/>
      <c r="E58" s="4"/>
      <c r="F58" s="3"/>
      <c r="G58" s="3"/>
      <c r="H58" s="3"/>
      <c r="I58" s="6"/>
      <c r="J58" s="3"/>
      <c r="K58" s="3"/>
    </row>
    <row r="59" spans="1:11">
      <c r="A59" s="3" t="s">
        <v>732</v>
      </c>
      <c r="B59" s="3"/>
      <c r="C59" s="3"/>
      <c r="D59" s="4"/>
      <c r="E59" s="4"/>
      <c r="F59" s="3"/>
      <c r="G59" s="3"/>
      <c r="H59" s="3"/>
      <c r="I59" s="6"/>
      <c r="J59" s="3"/>
      <c r="K59" s="3"/>
    </row>
    <row r="60" spans="1:11">
      <c r="A60" s="3" t="s">
        <v>733</v>
      </c>
      <c r="B60" s="3"/>
      <c r="C60" s="3"/>
      <c r="D60" s="4"/>
      <c r="E60" s="4"/>
      <c r="F60" s="3"/>
      <c r="G60" s="3"/>
      <c r="H60" s="3"/>
      <c r="I60" s="6"/>
      <c r="J60" s="3"/>
      <c r="K60" s="3"/>
    </row>
    <row r="61" spans="1:11">
      <c r="A61" s="3" t="s">
        <v>734</v>
      </c>
      <c r="B61" s="3"/>
      <c r="C61" s="3"/>
      <c r="D61" s="4"/>
      <c r="E61" s="4"/>
      <c r="F61" s="3"/>
      <c r="G61" s="3"/>
      <c r="H61" s="3"/>
      <c r="I61" s="6"/>
      <c r="J61" s="3"/>
      <c r="K61" s="3"/>
    </row>
    <row r="62" spans="1:11">
      <c r="A62" s="3" t="s">
        <v>735</v>
      </c>
      <c r="B62" s="3"/>
      <c r="C62" s="3"/>
      <c r="D62" s="4"/>
      <c r="E62" s="4"/>
      <c r="F62" s="3"/>
      <c r="G62" s="3"/>
      <c r="H62" s="3"/>
      <c r="I62" s="6"/>
      <c r="J62" s="3"/>
      <c r="K62" s="3"/>
    </row>
    <row r="63" spans="1:11">
      <c r="A63" s="3" t="s">
        <v>736</v>
      </c>
      <c r="B63" s="3"/>
      <c r="C63" s="3"/>
      <c r="D63" s="4"/>
      <c r="E63" s="4"/>
      <c r="F63" s="3"/>
      <c r="G63" s="3"/>
      <c r="H63" s="3"/>
      <c r="I63" s="6"/>
      <c r="J63" s="3"/>
      <c r="K63" s="3"/>
    </row>
    <row r="64" spans="1:11">
      <c r="A64" s="3" t="s">
        <v>737</v>
      </c>
      <c r="B64" s="3"/>
      <c r="C64" s="3"/>
      <c r="D64" s="4"/>
      <c r="E64" s="4"/>
      <c r="F64" s="3"/>
      <c r="G64" s="3"/>
      <c r="H64" s="3"/>
      <c r="I64" s="6"/>
      <c r="J64" s="3"/>
      <c r="K64" s="3"/>
    </row>
    <row r="65" spans="1:11">
      <c r="A65" s="3" t="s">
        <v>738</v>
      </c>
      <c r="B65" s="3"/>
      <c r="C65" s="3"/>
      <c r="D65" s="4"/>
      <c r="E65" s="4"/>
      <c r="F65" s="3"/>
      <c r="G65" s="3"/>
      <c r="H65" s="3"/>
      <c r="I65" s="6"/>
      <c r="J65" s="3"/>
      <c r="K65" s="3"/>
    </row>
    <row r="66" spans="1:11">
      <c r="A66" s="3" t="s">
        <v>739</v>
      </c>
      <c r="B66" s="3"/>
      <c r="C66" s="3"/>
      <c r="D66" s="4"/>
      <c r="E66" s="4"/>
      <c r="F66" s="3"/>
      <c r="G66" s="3"/>
      <c r="H66" s="3"/>
      <c r="I66" s="6"/>
      <c r="J66" s="3"/>
      <c r="K66" s="3"/>
    </row>
    <row r="67" spans="1:11">
      <c r="A67" s="3" t="s">
        <v>740</v>
      </c>
      <c r="B67" s="3"/>
      <c r="C67" s="3"/>
      <c r="D67" s="4"/>
      <c r="E67" s="4"/>
      <c r="F67" s="3"/>
      <c r="G67" s="3"/>
      <c r="H67" s="3"/>
      <c r="I67" s="6"/>
      <c r="J67" s="3"/>
      <c r="K67" s="3"/>
    </row>
    <row r="68" spans="1:11">
      <c r="A68" s="3" t="s">
        <v>741</v>
      </c>
      <c r="B68" s="3"/>
      <c r="C68" s="3"/>
      <c r="D68" s="4"/>
      <c r="E68" s="4"/>
      <c r="F68" s="3"/>
      <c r="G68" s="3"/>
      <c r="H68" s="3"/>
      <c r="I68" s="6"/>
      <c r="J68" s="3"/>
      <c r="K68" s="3"/>
    </row>
    <row r="69" spans="1:11">
      <c r="A69" s="3" t="s">
        <v>742</v>
      </c>
      <c r="B69" s="3"/>
      <c r="C69" s="3"/>
      <c r="D69" s="4"/>
      <c r="E69" s="4"/>
      <c r="F69" s="3"/>
      <c r="G69" s="3"/>
      <c r="H69" s="3"/>
      <c r="I69" s="6"/>
      <c r="J69" s="3"/>
      <c r="K69" s="3"/>
    </row>
    <row r="70" spans="1:11">
      <c r="A70" s="3" t="s">
        <v>743</v>
      </c>
      <c r="B70" s="3"/>
      <c r="C70" s="3"/>
      <c r="D70" s="4"/>
      <c r="E70" s="4"/>
      <c r="F70" s="3"/>
      <c r="G70" s="3"/>
      <c r="H70" s="3"/>
      <c r="I70" s="6"/>
      <c r="J70" s="3"/>
      <c r="K70" s="3"/>
    </row>
    <row r="71" spans="1:11">
      <c r="A71" s="3" t="s">
        <v>744</v>
      </c>
      <c r="B71" s="3"/>
      <c r="C71" s="3"/>
      <c r="D71" s="4"/>
      <c r="E71" s="4"/>
      <c r="F71" s="3"/>
      <c r="G71" s="3"/>
      <c r="H71" s="3"/>
      <c r="I71" s="6"/>
      <c r="J71" s="3"/>
      <c r="K71" s="3"/>
    </row>
    <row r="72" spans="1:11">
      <c r="A72" s="3" t="s">
        <v>745</v>
      </c>
      <c r="B72" s="3"/>
      <c r="C72" s="3"/>
      <c r="D72" s="4"/>
      <c r="E72" s="4"/>
      <c r="F72" s="3"/>
      <c r="G72" s="3"/>
      <c r="H72" s="3"/>
      <c r="I72" s="6"/>
      <c r="J72" s="3"/>
      <c r="K72" s="3"/>
    </row>
    <row r="73" spans="1:11">
      <c r="A73" s="3" t="s">
        <v>746</v>
      </c>
      <c r="B73" s="3"/>
      <c r="C73" s="3"/>
      <c r="D73" s="4"/>
      <c r="E73" s="4"/>
      <c r="F73" s="3"/>
      <c r="G73" s="3"/>
      <c r="H73" s="3"/>
      <c r="I73" s="6"/>
      <c r="J73" s="3"/>
      <c r="K73" s="3"/>
    </row>
    <row r="74" spans="1:11">
      <c r="A74" s="3" t="s">
        <v>747</v>
      </c>
      <c r="B74" s="3"/>
      <c r="C74" s="3"/>
      <c r="D74" s="4"/>
      <c r="E74" s="4"/>
      <c r="F74" s="3"/>
      <c r="G74" s="3"/>
      <c r="H74" s="3"/>
      <c r="I74" s="6"/>
      <c r="J74" s="3"/>
      <c r="K74" s="3"/>
    </row>
    <row r="75" spans="1:11">
      <c r="A75" s="3" t="s">
        <v>748</v>
      </c>
      <c r="B75" s="3"/>
      <c r="C75" s="3"/>
      <c r="D75" s="4"/>
      <c r="E75" s="4"/>
      <c r="F75" s="3"/>
      <c r="G75" s="3"/>
      <c r="H75" s="3"/>
      <c r="I75" s="6"/>
      <c r="J75" s="3"/>
      <c r="K75" s="3"/>
    </row>
    <row r="76" spans="1:11">
      <c r="A76" s="3" t="s">
        <v>749</v>
      </c>
      <c r="B76" s="3"/>
      <c r="C76" s="3"/>
      <c r="D76" s="4"/>
      <c r="E76" s="4"/>
      <c r="F76" s="3"/>
      <c r="G76" s="3"/>
      <c r="H76" s="3"/>
      <c r="I76" s="6"/>
      <c r="J76" s="3"/>
      <c r="K76" s="3"/>
    </row>
    <row r="77" spans="1:11">
      <c r="A77" s="3" t="s">
        <v>750</v>
      </c>
      <c r="B77" s="3"/>
      <c r="C77" s="3"/>
      <c r="D77" s="4"/>
      <c r="E77" s="4"/>
      <c r="F77" s="3"/>
      <c r="G77" s="3"/>
      <c r="H77" s="3"/>
      <c r="I77" s="6"/>
      <c r="J77" s="3"/>
      <c r="K77" s="3"/>
    </row>
    <row r="78" spans="1:11">
      <c r="A78" s="3" t="s">
        <v>751</v>
      </c>
      <c r="B78" s="3"/>
      <c r="C78" s="3"/>
      <c r="D78" s="4"/>
      <c r="E78" s="4"/>
      <c r="F78" s="3"/>
      <c r="G78" s="3"/>
      <c r="H78" s="3"/>
      <c r="I78" s="6"/>
      <c r="J78" s="3"/>
      <c r="K78" s="3"/>
    </row>
    <row r="79" spans="1:11">
      <c r="A79" s="3" t="s">
        <v>752</v>
      </c>
      <c r="B79" s="3"/>
      <c r="C79" s="3"/>
      <c r="D79" s="4"/>
      <c r="E79" s="4"/>
      <c r="F79" s="3"/>
      <c r="G79" s="3"/>
      <c r="H79" s="3"/>
      <c r="I79" s="6"/>
      <c r="J79" s="3"/>
      <c r="K79" s="3"/>
    </row>
    <row r="80" spans="1:11">
      <c r="A80" s="3" t="s">
        <v>753</v>
      </c>
      <c r="B80" s="3"/>
      <c r="C80" s="3"/>
      <c r="D80" s="4"/>
      <c r="E80" s="4"/>
      <c r="F80" s="3"/>
      <c r="G80" s="3"/>
      <c r="H80" s="3"/>
      <c r="I80" s="6"/>
      <c r="J80" s="3"/>
      <c r="K80" s="3"/>
    </row>
    <row r="81" spans="1:11">
      <c r="A81" s="3" t="s">
        <v>754</v>
      </c>
      <c r="B81" s="3"/>
      <c r="C81" s="3"/>
      <c r="D81" s="4"/>
      <c r="E81" s="4"/>
      <c r="F81" s="3"/>
      <c r="G81" s="3"/>
      <c r="H81" s="3"/>
      <c r="I81" s="6"/>
      <c r="J81" s="3"/>
      <c r="K81" s="3"/>
    </row>
    <row r="82" spans="1:11">
      <c r="A82" s="3" t="s">
        <v>755</v>
      </c>
      <c r="B82" s="3"/>
      <c r="C82" s="3"/>
      <c r="D82" s="4"/>
      <c r="E82" s="4"/>
      <c r="F82" s="3"/>
      <c r="G82" s="3"/>
      <c r="H82" s="3"/>
      <c r="I82" s="6"/>
      <c r="J82" s="3"/>
      <c r="K82" s="3"/>
    </row>
    <row r="83" spans="1:11">
      <c r="A83" s="3" t="s">
        <v>756</v>
      </c>
      <c r="B83" s="3"/>
      <c r="C83" s="3"/>
      <c r="D83" s="4"/>
      <c r="E83" s="4"/>
      <c r="F83" s="3"/>
      <c r="G83" s="3"/>
      <c r="H83" s="3"/>
      <c r="I83" s="6"/>
      <c r="J83" s="3"/>
      <c r="K83" s="3"/>
    </row>
    <row r="84" spans="1:11">
      <c r="A84" s="3" t="s">
        <v>757</v>
      </c>
      <c r="B84" s="3"/>
      <c r="C84" s="3"/>
      <c r="D84" s="4"/>
      <c r="E84" s="4"/>
      <c r="F84" s="3"/>
      <c r="G84" s="3"/>
      <c r="H84" s="3"/>
      <c r="I84" s="6"/>
      <c r="J84" s="3"/>
      <c r="K84" s="3"/>
    </row>
    <row r="85" spans="1:11">
      <c r="A85" s="3" t="s">
        <v>758</v>
      </c>
      <c r="B85" s="3"/>
      <c r="C85" s="3"/>
      <c r="D85" s="4"/>
      <c r="E85" s="4"/>
      <c r="F85" s="3"/>
      <c r="G85" s="3"/>
      <c r="H85" s="3"/>
      <c r="I85" s="6"/>
      <c r="J85" s="3"/>
      <c r="K85" s="3"/>
    </row>
    <row r="86" spans="1:11">
      <c r="A86" s="3" t="s">
        <v>759</v>
      </c>
      <c r="B86" s="3"/>
      <c r="C86" s="3"/>
      <c r="D86" s="4"/>
      <c r="E86" s="4"/>
      <c r="F86" s="3"/>
      <c r="G86" s="3"/>
      <c r="H86" s="3"/>
      <c r="I86" s="6"/>
      <c r="J86" s="3"/>
      <c r="K86" s="3"/>
    </row>
    <row r="87" spans="1:11">
      <c r="A87" s="3" t="s">
        <v>760</v>
      </c>
      <c r="B87" s="3"/>
      <c r="C87" s="3"/>
      <c r="D87" s="4"/>
      <c r="E87" s="4"/>
      <c r="F87" s="3"/>
      <c r="G87" s="3"/>
      <c r="H87" s="3"/>
      <c r="I87" s="6"/>
      <c r="J87" s="3"/>
      <c r="K87" s="3"/>
    </row>
    <row r="88" spans="1:11">
      <c r="A88" s="3" t="s">
        <v>761</v>
      </c>
      <c r="B88" s="3"/>
      <c r="C88" s="3"/>
      <c r="D88" s="4"/>
      <c r="E88" s="4"/>
      <c r="F88" s="3"/>
      <c r="G88" s="3"/>
      <c r="H88" s="3"/>
      <c r="I88" s="6"/>
      <c r="J88" s="3"/>
      <c r="K88" s="3"/>
    </row>
    <row r="89" spans="1:11">
      <c r="A89" s="3" t="s">
        <v>762</v>
      </c>
      <c r="B89" s="3"/>
      <c r="C89" s="3"/>
      <c r="D89" s="4"/>
      <c r="E89" s="4"/>
      <c r="F89" s="3"/>
      <c r="G89" s="3"/>
      <c r="H89" s="3"/>
      <c r="I89" s="6"/>
      <c r="J89" s="3"/>
      <c r="K89" s="3"/>
    </row>
    <row r="90" spans="1:11">
      <c r="A90" s="3" t="s">
        <v>763</v>
      </c>
      <c r="B90" s="3"/>
      <c r="C90" s="3"/>
      <c r="D90" s="4"/>
      <c r="E90" s="4"/>
      <c r="F90" s="3"/>
      <c r="G90" s="3"/>
      <c r="H90" s="3"/>
      <c r="I90" s="6"/>
      <c r="J90" s="3"/>
      <c r="K90" s="3"/>
    </row>
    <row r="91" spans="1:11">
      <c r="A91" s="3" t="s">
        <v>764</v>
      </c>
      <c r="B91" s="3"/>
      <c r="C91" s="3"/>
      <c r="D91" s="4"/>
      <c r="E91" s="4"/>
      <c r="F91" s="3"/>
      <c r="G91" s="3"/>
      <c r="H91" s="3"/>
      <c r="I91" s="6"/>
      <c r="J91" s="3"/>
      <c r="K91" s="3"/>
    </row>
    <row r="92" spans="1:11">
      <c r="A92" s="3" t="s">
        <v>765</v>
      </c>
      <c r="B92" s="3"/>
      <c r="C92" s="3"/>
      <c r="D92" s="4"/>
      <c r="E92" s="4"/>
      <c r="F92" s="3"/>
      <c r="G92" s="3"/>
      <c r="H92" s="3"/>
      <c r="I92" s="6"/>
      <c r="J92" s="3"/>
      <c r="K92" s="3"/>
    </row>
    <row r="93" spans="1:11">
      <c r="A93" s="3" t="s">
        <v>766</v>
      </c>
      <c r="B93" s="3"/>
      <c r="C93" s="3"/>
      <c r="D93" s="4"/>
      <c r="E93" s="4"/>
      <c r="F93" s="3"/>
      <c r="G93" s="3"/>
      <c r="H93" s="3"/>
      <c r="I93" s="6"/>
      <c r="J93" s="3"/>
      <c r="K93" s="3"/>
    </row>
    <row r="94" spans="1:11">
      <c r="A94" s="3" t="s">
        <v>767</v>
      </c>
      <c r="B94" s="3"/>
      <c r="C94" s="3"/>
      <c r="D94" s="4"/>
      <c r="E94" s="4"/>
      <c r="F94" s="3"/>
      <c r="G94" s="3"/>
      <c r="H94" s="3"/>
      <c r="I94" s="6"/>
      <c r="J94" s="3"/>
      <c r="K94" s="3"/>
    </row>
    <row r="95" spans="1:11">
      <c r="A95" s="3" t="s">
        <v>768</v>
      </c>
      <c r="B95" s="3"/>
      <c r="C95" s="3"/>
      <c r="D95" s="4"/>
      <c r="E95" s="4"/>
      <c r="F95" s="3"/>
      <c r="G95" s="3"/>
      <c r="H95" s="3"/>
      <c r="I95" s="6"/>
      <c r="J95" s="3"/>
      <c r="K95" s="3"/>
    </row>
    <row r="96" spans="1:11">
      <c r="A96" s="3" t="s">
        <v>769</v>
      </c>
      <c r="B96" s="3"/>
      <c r="C96" s="3"/>
      <c r="D96" s="4"/>
      <c r="E96" s="4"/>
      <c r="F96" s="3"/>
      <c r="G96" s="3"/>
      <c r="H96" s="3"/>
      <c r="I96" s="6"/>
      <c r="J96" s="3"/>
      <c r="K96" s="3"/>
    </row>
    <row r="97" spans="1:11">
      <c r="A97" s="3" t="s">
        <v>770</v>
      </c>
      <c r="B97" s="3"/>
      <c r="C97" s="3"/>
      <c r="D97" s="4"/>
      <c r="E97" s="4"/>
      <c r="F97" s="3"/>
      <c r="G97" s="3"/>
      <c r="H97" s="3"/>
      <c r="I97" s="6"/>
      <c r="J97" s="3"/>
      <c r="K97" s="3"/>
    </row>
    <row r="98" spans="1:11">
      <c r="A98" s="3" t="s">
        <v>771</v>
      </c>
      <c r="B98" s="3"/>
      <c r="C98" s="3"/>
      <c r="D98" s="4"/>
      <c r="E98" s="4"/>
      <c r="F98" s="3"/>
      <c r="G98" s="3"/>
      <c r="H98" s="3"/>
      <c r="I98" s="6"/>
      <c r="J98" s="3"/>
      <c r="K98" s="3"/>
    </row>
    <row r="99" spans="1:11">
      <c r="A99" s="3" t="s">
        <v>772</v>
      </c>
      <c r="B99" s="3"/>
      <c r="C99" s="3"/>
      <c r="D99" s="4"/>
      <c r="E99" s="4"/>
      <c r="F99" s="3"/>
      <c r="G99" s="3"/>
      <c r="H99" s="3"/>
      <c r="I99" s="6"/>
      <c r="J99" s="3"/>
      <c r="K99" s="3"/>
    </row>
    <row r="100" spans="1:11">
      <c r="A100" s="3" t="s">
        <v>773</v>
      </c>
      <c r="B100" s="3"/>
      <c r="C100" s="3"/>
      <c r="D100" s="4"/>
      <c r="E100" s="4"/>
      <c r="F100" s="3"/>
      <c r="G100" s="3"/>
      <c r="H100" s="3"/>
      <c r="I100" s="6"/>
      <c r="J100" s="3"/>
      <c r="K100" s="3"/>
    </row>
    <row r="101" spans="1:11">
      <c r="A101" s="3"/>
      <c r="B101" s="3"/>
      <c r="C101" s="3"/>
      <c r="D101" s="4"/>
      <c r="E101" s="4"/>
      <c r="F101" s="3"/>
      <c r="G101" s="3"/>
      <c r="H101" s="3"/>
      <c r="I101" s="6"/>
      <c r="J101" s="3"/>
      <c r="K101" s="3"/>
    </row>
    <row r="102" spans="1:11">
      <c r="A102" s="3"/>
      <c r="B102" s="3"/>
      <c r="C102" s="3"/>
      <c r="D102" s="4"/>
      <c r="E102" s="4"/>
      <c r="F102" s="3"/>
      <c r="G102" s="3"/>
      <c r="H102" s="3"/>
      <c r="I102" s="6"/>
      <c r="J102" s="3"/>
      <c r="K102" s="3"/>
    </row>
    <row r="103" spans="1:11">
      <c r="A103" s="3"/>
      <c r="B103" s="3"/>
      <c r="C103" s="3"/>
      <c r="D103" s="4"/>
      <c r="E103" s="4"/>
      <c r="F103" s="3"/>
      <c r="G103" s="3"/>
      <c r="H103" s="3"/>
      <c r="I103" s="6"/>
      <c r="J103" s="3"/>
      <c r="K103" s="3"/>
    </row>
    <row r="104" spans="1:11">
      <c r="A104" s="3"/>
      <c r="B104" s="3"/>
      <c r="C104" s="3"/>
      <c r="D104" s="4"/>
      <c r="E104" s="4"/>
      <c r="F104" s="3"/>
      <c r="G104" s="3"/>
      <c r="H104" s="3"/>
      <c r="I104" s="6"/>
      <c r="J104" s="3"/>
      <c r="K104" s="3"/>
    </row>
    <row r="105" spans="1:11">
      <c r="A105" s="3"/>
      <c r="B105" s="3"/>
      <c r="C105" s="3"/>
      <c r="D105" s="4"/>
      <c r="E105" s="4"/>
      <c r="F105" s="3"/>
      <c r="G105" s="3"/>
      <c r="H105" s="3"/>
      <c r="I105" s="6"/>
      <c r="J105" s="3"/>
      <c r="K105" s="3"/>
    </row>
    <row r="106" spans="1:11">
      <c r="A106" s="3"/>
      <c r="B106" s="3"/>
      <c r="C106" s="3"/>
      <c r="D106" s="4"/>
      <c r="E106" s="4"/>
      <c r="F106" s="3"/>
      <c r="G106" s="3"/>
      <c r="H106" s="3"/>
      <c r="I106" s="6"/>
      <c r="J106" s="3"/>
      <c r="K106" s="3"/>
    </row>
    <row r="107" spans="1:11">
      <c r="A107" s="3"/>
      <c r="B107" s="3"/>
      <c r="C107" s="3"/>
      <c r="D107" s="4"/>
      <c r="E107" s="4"/>
      <c r="F107" s="3"/>
      <c r="G107" s="3"/>
      <c r="H107" s="3"/>
      <c r="I107" s="6"/>
      <c r="J107" s="3"/>
      <c r="K107" s="3"/>
    </row>
    <row r="108" spans="1:11">
      <c r="A108" s="3"/>
      <c r="B108" s="3"/>
      <c r="C108" s="3"/>
      <c r="D108" s="4"/>
      <c r="E108" s="4"/>
      <c r="F108" s="3"/>
      <c r="G108" s="3"/>
      <c r="H108" s="3"/>
      <c r="I108" s="6"/>
      <c r="J108" s="3"/>
      <c r="K108" s="3"/>
    </row>
    <row r="109" spans="1:11">
      <c r="A109" s="3"/>
      <c r="B109" s="3"/>
      <c r="C109" s="3"/>
      <c r="D109" s="4"/>
      <c r="E109" s="4"/>
      <c r="F109" s="3"/>
      <c r="G109" s="3"/>
      <c r="H109" s="3"/>
      <c r="I109" s="6"/>
      <c r="J109" s="3"/>
      <c r="K109" s="3"/>
    </row>
    <row r="110" spans="1:11">
      <c r="A110" s="3"/>
      <c r="B110" s="3"/>
      <c r="C110" s="3"/>
      <c r="D110" s="4"/>
      <c r="E110" s="4"/>
      <c r="F110" s="3"/>
      <c r="G110" s="3"/>
      <c r="H110" s="3"/>
      <c r="I110" s="6"/>
      <c r="J110" s="3"/>
      <c r="K110" s="3"/>
    </row>
    <row r="111" spans="1:11">
      <c r="A111" s="3"/>
      <c r="B111" s="3"/>
      <c r="C111" s="3"/>
      <c r="D111" s="4"/>
      <c r="E111" s="4"/>
      <c r="F111" s="3"/>
      <c r="G111" s="3"/>
      <c r="H111" s="3"/>
      <c r="I111" s="6"/>
      <c r="J111" s="3"/>
      <c r="K111" s="3"/>
    </row>
    <row r="112" spans="1:11">
      <c r="A112" s="3"/>
      <c r="B112" s="3"/>
      <c r="C112" s="3"/>
      <c r="D112" s="4"/>
      <c r="E112" s="4"/>
      <c r="F112" s="3"/>
      <c r="G112" s="3"/>
      <c r="H112" s="3"/>
      <c r="I112" s="6"/>
      <c r="J112" s="3"/>
      <c r="K112" s="3"/>
    </row>
    <row r="113" spans="1:11">
      <c r="A113" s="3"/>
      <c r="B113" s="3"/>
      <c r="C113" s="3"/>
      <c r="D113" s="4"/>
      <c r="E113" s="4"/>
      <c r="F113" s="3"/>
      <c r="G113" s="3"/>
      <c r="H113" s="3"/>
      <c r="I113" s="6"/>
      <c r="J113" s="3"/>
      <c r="K113" s="3"/>
    </row>
    <row r="114" spans="1:11">
      <c r="A114" s="3"/>
      <c r="B114" s="3"/>
      <c r="C114" s="3"/>
      <c r="D114" s="4"/>
      <c r="E114" s="4"/>
      <c r="F114" s="3"/>
      <c r="G114" s="3"/>
      <c r="H114" s="3"/>
      <c r="I114" s="6"/>
      <c r="J114" s="3"/>
      <c r="K114" s="3"/>
    </row>
    <row r="115" spans="1:11">
      <c r="A115" s="3"/>
      <c r="B115" s="3"/>
      <c r="C115" s="3"/>
      <c r="D115" s="4"/>
      <c r="E115" s="4"/>
      <c r="F115" s="3"/>
      <c r="G115" s="3"/>
      <c r="H115" s="3"/>
      <c r="I115" s="6"/>
      <c r="J115" s="3"/>
      <c r="K115" s="3"/>
    </row>
    <row r="116" spans="1:11">
      <c r="A116" s="3"/>
      <c r="B116" s="3"/>
      <c r="C116" s="3"/>
      <c r="D116" s="4"/>
      <c r="E116" s="4"/>
      <c r="F116" s="3"/>
      <c r="G116" s="3"/>
      <c r="H116" s="3"/>
      <c r="I116" s="6"/>
      <c r="J116" s="3"/>
      <c r="K116" s="3"/>
    </row>
    <row r="117" spans="1:11">
      <c r="A117" s="3"/>
      <c r="B117" s="3"/>
      <c r="C117" s="3"/>
      <c r="D117" s="4"/>
      <c r="E117" s="4"/>
      <c r="F117" s="3"/>
      <c r="G117" s="3"/>
      <c r="H117" s="3"/>
      <c r="I117" s="6"/>
      <c r="J117" s="3"/>
      <c r="K117" s="3"/>
    </row>
    <row r="118" spans="1:11">
      <c r="A118" s="3"/>
      <c r="B118" s="3"/>
      <c r="C118" s="3"/>
      <c r="D118" s="4"/>
      <c r="E118" s="4"/>
      <c r="F118" s="3"/>
      <c r="G118" s="3"/>
      <c r="H118" s="3"/>
      <c r="I118" s="6"/>
      <c r="J118" s="3"/>
      <c r="K118" s="3"/>
    </row>
    <row r="119" spans="1:11">
      <c r="A119" s="3"/>
      <c r="B119" s="3"/>
      <c r="C119" s="3"/>
      <c r="D119" s="4"/>
      <c r="E119" s="4"/>
      <c r="F119" s="3"/>
      <c r="G119" s="3"/>
      <c r="H119" s="3"/>
      <c r="I119" s="6"/>
      <c r="J119" s="3"/>
      <c r="K119" s="3"/>
    </row>
    <row r="120" spans="1:11">
      <c r="A120" s="3"/>
      <c r="B120" s="3"/>
      <c r="C120" s="3"/>
      <c r="D120" s="4"/>
      <c r="E120" s="4"/>
      <c r="F120" s="3"/>
      <c r="G120" s="3"/>
      <c r="H120" s="3"/>
      <c r="I120" s="6"/>
      <c r="J120" s="3"/>
      <c r="K120" s="3"/>
    </row>
    <row r="121" spans="1:11">
      <c r="A121" s="3"/>
      <c r="B121" s="3"/>
      <c r="C121" s="3"/>
      <c r="D121" s="4"/>
      <c r="E121" s="4"/>
      <c r="F121" s="3"/>
      <c r="G121" s="3"/>
      <c r="H121" s="3"/>
      <c r="I121" s="6"/>
      <c r="J121" s="3"/>
      <c r="K121" s="3"/>
    </row>
    <row r="122" spans="1:11">
      <c r="A122" s="3"/>
      <c r="B122" s="3"/>
      <c r="C122" s="3"/>
      <c r="D122" s="4"/>
      <c r="E122" s="4"/>
      <c r="F122" s="3"/>
      <c r="G122" s="3"/>
      <c r="H122" s="3"/>
      <c r="I122" s="6"/>
      <c r="J122" s="3"/>
      <c r="K122" s="3"/>
    </row>
    <row r="123" spans="1:11">
      <c r="A123" s="3"/>
      <c r="B123" s="3"/>
      <c r="C123" s="3"/>
      <c r="D123" s="4"/>
      <c r="E123" s="4"/>
      <c r="F123" s="3"/>
      <c r="G123" s="3"/>
      <c r="H123" s="3"/>
      <c r="I123" s="6"/>
      <c r="J123" s="3"/>
      <c r="K123" s="3"/>
    </row>
    <row r="124" spans="1:11">
      <c r="A124" s="3"/>
      <c r="B124" s="3"/>
      <c r="C124" s="3"/>
      <c r="D124" s="4"/>
      <c r="E124" s="4"/>
      <c r="F124" s="3"/>
      <c r="G124" s="3"/>
      <c r="H124" s="3"/>
      <c r="I124" s="6"/>
      <c r="J124" s="3"/>
      <c r="K124" s="3"/>
    </row>
    <row r="125" spans="1:11">
      <c r="A125" s="3"/>
      <c r="B125" s="3"/>
      <c r="C125" s="3"/>
      <c r="D125" s="4"/>
      <c r="E125" s="4"/>
      <c r="F125" s="3"/>
      <c r="G125" s="3"/>
      <c r="H125" s="3"/>
      <c r="I125" s="6"/>
      <c r="J125" s="3"/>
      <c r="K125" s="3"/>
    </row>
    <row r="126" spans="1:11">
      <c r="A126" s="3"/>
      <c r="B126" s="3"/>
      <c r="C126" s="3"/>
      <c r="D126" s="4"/>
      <c r="E126" s="4"/>
      <c r="F126" s="3"/>
      <c r="G126" s="3"/>
      <c r="H126" s="3"/>
      <c r="I126" s="6"/>
      <c r="J126" s="3"/>
      <c r="K126" s="3"/>
    </row>
    <row r="127" spans="1:11">
      <c r="A127" s="3"/>
      <c r="B127" s="3"/>
      <c r="C127" s="3"/>
      <c r="D127" s="4"/>
      <c r="E127" s="4"/>
      <c r="F127" s="3"/>
      <c r="G127" s="3"/>
      <c r="H127" s="3"/>
      <c r="I127" s="6"/>
      <c r="J127" s="3"/>
      <c r="K127" s="3"/>
    </row>
    <row r="128" spans="1:11">
      <c r="A128" s="3"/>
      <c r="B128" s="3"/>
      <c r="C128" s="3"/>
      <c r="D128" s="4"/>
      <c r="E128" s="4"/>
      <c r="F128" s="3"/>
      <c r="G128" s="3"/>
      <c r="H128" s="3"/>
      <c r="I128" s="6"/>
      <c r="J128" s="3"/>
      <c r="K128" s="3"/>
    </row>
    <row r="129" spans="1:11">
      <c r="A129" s="3"/>
      <c r="B129" s="3"/>
      <c r="C129" s="3"/>
      <c r="D129" s="4"/>
      <c r="E129" s="4"/>
      <c r="F129" s="3"/>
      <c r="G129" s="3"/>
      <c r="H129" s="3"/>
      <c r="I129" s="6"/>
      <c r="J129" s="3"/>
      <c r="K129" s="3"/>
    </row>
    <row r="130" spans="1:11">
      <c r="A130" s="3"/>
      <c r="B130" s="3"/>
      <c r="C130" s="3"/>
      <c r="D130" s="4"/>
      <c r="E130" s="4"/>
      <c r="F130" s="3"/>
      <c r="G130" s="3"/>
      <c r="H130" s="3"/>
      <c r="I130" s="6"/>
      <c r="J130" s="3"/>
      <c r="K130" s="3"/>
    </row>
    <row r="131" spans="1:11">
      <c r="A131" s="3"/>
      <c r="B131" s="3"/>
      <c r="C131" s="3"/>
      <c r="D131" s="4"/>
      <c r="E131" s="4"/>
      <c r="F131" s="3"/>
      <c r="G131" s="3"/>
      <c r="H131" s="3"/>
      <c r="I131" s="6"/>
      <c r="J131" s="3"/>
      <c r="K131" s="3"/>
    </row>
    <row r="132" spans="1:11">
      <c r="A132" s="3"/>
      <c r="B132" s="3"/>
      <c r="C132" s="3"/>
      <c r="D132" s="4"/>
      <c r="E132" s="4"/>
      <c r="F132" s="3"/>
      <c r="G132" s="3"/>
      <c r="H132" s="3"/>
      <c r="I132" s="6"/>
      <c r="J132" s="3"/>
      <c r="K132" s="3"/>
    </row>
    <row r="133" spans="1:11">
      <c r="A133" s="3"/>
      <c r="B133" s="3"/>
      <c r="C133" s="3"/>
      <c r="D133" s="4"/>
      <c r="E133" s="4"/>
      <c r="F133" s="3"/>
      <c r="G133" s="3"/>
      <c r="H133" s="3"/>
      <c r="I133" s="6"/>
      <c r="J133" s="3"/>
      <c r="K133" s="3"/>
    </row>
    <row r="134" spans="1:11">
      <c r="A134" s="3"/>
      <c r="B134" s="3"/>
      <c r="C134" s="3"/>
      <c r="D134" s="4"/>
      <c r="E134" s="4"/>
      <c r="F134" s="3"/>
      <c r="G134" s="3"/>
      <c r="H134" s="3"/>
      <c r="I134" s="6"/>
      <c r="J134" s="3"/>
      <c r="K134" s="3"/>
    </row>
    <row r="135" spans="1:11">
      <c r="A135" s="3"/>
      <c r="B135" s="3"/>
      <c r="C135" s="3"/>
      <c r="D135" s="4"/>
      <c r="E135" s="4"/>
      <c r="F135" s="3"/>
      <c r="G135" s="3"/>
      <c r="H135" s="3"/>
      <c r="I135" s="6"/>
      <c r="J135" s="3"/>
      <c r="K135" s="3"/>
    </row>
    <row r="136" spans="1:11">
      <c r="A136" s="3"/>
      <c r="B136" s="3"/>
      <c r="C136" s="3"/>
      <c r="D136" s="4"/>
      <c r="E136" s="4"/>
      <c r="F136" s="3"/>
      <c r="G136" s="3"/>
      <c r="H136" s="3"/>
      <c r="I136" s="6"/>
      <c r="J136" s="3"/>
      <c r="K136" s="3"/>
    </row>
    <row r="137" spans="1:11">
      <c r="A137" s="3"/>
      <c r="B137" s="3"/>
      <c r="C137" s="3"/>
      <c r="D137" s="4"/>
      <c r="E137" s="4"/>
      <c r="F137" s="3"/>
      <c r="G137" s="3"/>
      <c r="H137" s="3"/>
      <c r="I137" s="6"/>
      <c r="J137" s="3"/>
      <c r="K137" s="3"/>
    </row>
    <row r="138" spans="1:11">
      <c r="A138" s="3"/>
      <c r="B138" s="3"/>
      <c r="C138" s="3"/>
      <c r="D138" s="4"/>
      <c r="E138" s="4"/>
      <c r="F138" s="3"/>
      <c r="G138" s="3"/>
      <c r="H138" s="3"/>
      <c r="I138" s="6"/>
      <c r="J138" s="3"/>
      <c r="K138" s="3"/>
    </row>
    <row r="139" spans="1:11">
      <c r="A139" s="3"/>
      <c r="B139" s="3"/>
      <c r="C139" s="3"/>
      <c r="D139" s="4"/>
      <c r="E139" s="4"/>
      <c r="F139" s="3"/>
      <c r="G139" s="3"/>
      <c r="H139" s="3"/>
      <c r="I139" s="6"/>
      <c r="J139" s="3"/>
      <c r="K139" s="3"/>
    </row>
    <row r="140" spans="1:11">
      <c r="A140" s="3"/>
      <c r="B140" s="3"/>
      <c r="C140" s="3"/>
      <c r="D140" s="4"/>
      <c r="E140" s="4"/>
      <c r="F140" s="3"/>
      <c r="G140" s="3"/>
      <c r="H140" s="3"/>
      <c r="I140" s="6"/>
      <c r="J140" s="3"/>
      <c r="K140" s="3"/>
    </row>
    <row r="141" spans="1:11">
      <c r="A141" s="3"/>
      <c r="B141" s="3"/>
      <c r="C141" s="3"/>
      <c r="D141" s="4"/>
      <c r="E141" s="4"/>
      <c r="F141" s="3"/>
      <c r="G141" s="3"/>
      <c r="H141" s="3"/>
      <c r="I141" s="6"/>
      <c r="J141" s="3"/>
      <c r="K141" s="3"/>
    </row>
    <row r="142" spans="1:11">
      <c r="A142" s="3"/>
      <c r="B142" s="3"/>
      <c r="C142" s="3"/>
      <c r="D142" s="4"/>
      <c r="E142" s="4"/>
      <c r="F142" s="3"/>
      <c r="G142" s="3"/>
      <c r="H142" s="3"/>
      <c r="I142" s="6"/>
      <c r="J142" s="3"/>
      <c r="K142" s="3"/>
    </row>
    <row r="143" spans="1:11">
      <c r="A143" s="3"/>
      <c r="B143" s="3"/>
      <c r="C143" s="3"/>
      <c r="D143" s="4"/>
      <c r="E143" s="4"/>
      <c r="F143" s="3"/>
      <c r="G143" s="3"/>
      <c r="H143" s="3"/>
      <c r="I143" s="6"/>
      <c r="J143" s="3"/>
      <c r="K143" s="3"/>
    </row>
    <row r="144" spans="1:11">
      <c r="A144" s="3"/>
      <c r="B144" s="3"/>
      <c r="C144" s="3"/>
      <c r="D144" s="4"/>
      <c r="E144" s="4"/>
      <c r="F144" s="3"/>
      <c r="G144" s="3"/>
      <c r="H144" s="3"/>
      <c r="I144" s="6"/>
      <c r="J144" s="3"/>
      <c r="K144" s="3"/>
    </row>
    <row r="145" spans="1:11">
      <c r="A145" s="3"/>
      <c r="B145" s="3"/>
      <c r="C145" s="3"/>
      <c r="D145" s="4"/>
      <c r="E145" s="4"/>
      <c r="F145" s="3"/>
      <c r="G145" s="3"/>
      <c r="H145" s="3"/>
      <c r="I145" s="6"/>
      <c r="J145" s="3"/>
      <c r="K145" s="3"/>
    </row>
    <row r="146" spans="1:11">
      <c r="A146" s="3"/>
      <c r="B146" s="3"/>
      <c r="C146" s="3"/>
      <c r="D146" s="4"/>
      <c r="E146" s="4"/>
      <c r="F146" s="3"/>
      <c r="G146" s="3"/>
      <c r="H146" s="3"/>
      <c r="I146" s="6"/>
      <c r="J146" s="3"/>
      <c r="K146" s="3"/>
    </row>
    <row r="147" spans="1:11">
      <c r="A147" s="3"/>
      <c r="B147" s="3"/>
      <c r="C147" s="3"/>
      <c r="D147" s="4"/>
      <c r="E147" s="4"/>
      <c r="F147" s="3"/>
      <c r="G147" s="3"/>
      <c r="H147" s="3"/>
      <c r="I147" s="6"/>
      <c r="J147" s="3"/>
      <c r="K147" s="3"/>
    </row>
    <row r="148" spans="1:11">
      <c r="A148" s="3"/>
      <c r="B148" s="3"/>
      <c r="C148" s="3"/>
      <c r="D148" s="4"/>
      <c r="E148" s="4"/>
      <c r="F148" s="3"/>
      <c r="G148" s="3"/>
      <c r="H148" s="3"/>
      <c r="I148" s="6"/>
      <c r="J148" s="3"/>
      <c r="K148" s="3"/>
    </row>
    <row r="149" spans="1:11">
      <c r="A149" s="3"/>
      <c r="B149" s="3"/>
      <c r="C149" s="3"/>
      <c r="D149" s="4"/>
      <c r="E149" s="4"/>
      <c r="F149" s="3"/>
      <c r="G149" s="3"/>
      <c r="H149" s="3"/>
      <c r="I149" s="6"/>
      <c r="J149" s="3"/>
      <c r="K149" s="3"/>
    </row>
    <row r="150" spans="1:11">
      <c r="A150" s="3"/>
      <c r="B150" s="3"/>
      <c r="C150" s="3"/>
      <c r="D150" s="4"/>
      <c r="E150" s="4"/>
      <c r="F150" s="3"/>
      <c r="G150" s="3"/>
      <c r="H150" s="3"/>
      <c r="I150" s="6"/>
      <c r="J150" s="3"/>
      <c r="K150" s="3"/>
    </row>
    <row r="151" spans="1:11">
      <c r="A151" s="3"/>
      <c r="B151" s="3"/>
      <c r="C151" s="3"/>
      <c r="D151" s="4"/>
      <c r="E151" s="4"/>
      <c r="F151" s="3"/>
      <c r="G151" s="3"/>
      <c r="H151" s="3"/>
      <c r="I151" s="6"/>
      <c r="J151" s="3"/>
      <c r="K151" s="3"/>
    </row>
    <row r="152" spans="1:11">
      <c r="A152" s="3"/>
      <c r="B152" s="3"/>
      <c r="C152" s="3"/>
      <c r="D152" s="4"/>
      <c r="E152" s="4"/>
      <c r="F152" s="3"/>
      <c r="G152" s="3"/>
      <c r="H152" s="3"/>
      <c r="I152" s="6"/>
      <c r="J152" s="3"/>
      <c r="K152" s="3"/>
    </row>
    <row r="153" spans="1:11">
      <c r="A153" s="3"/>
      <c r="B153" s="3"/>
      <c r="C153" s="3"/>
      <c r="D153" s="4"/>
      <c r="E153" s="4"/>
      <c r="F153" s="3"/>
      <c r="G153" s="3"/>
      <c r="H153" s="3"/>
      <c r="I153" s="6"/>
      <c r="J153" s="3"/>
      <c r="K153" s="3"/>
    </row>
    <row r="154" spans="1:11">
      <c r="A154" s="3"/>
      <c r="B154" s="3"/>
      <c r="C154" s="3"/>
      <c r="D154" s="4"/>
      <c r="E154" s="4"/>
      <c r="F154" s="3"/>
      <c r="G154" s="3"/>
      <c r="H154" s="3"/>
      <c r="I154" s="6"/>
      <c r="J154" s="3"/>
      <c r="K154" s="3"/>
    </row>
    <row r="155" spans="1:11">
      <c r="A155" s="3"/>
      <c r="B155" s="3"/>
      <c r="C155" s="3"/>
      <c r="D155" s="4"/>
      <c r="E155" s="4"/>
      <c r="F155" s="3"/>
      <c r="G155" s="3"/>
      <c r="H155" s="3"/>
      <c r="I155" s="6"/>
      <c r="J155" s="3"/>
      <c r="K155" s="3"/>
    </row>
    <row r="156" spans="1:11">
      <c r="A156" s="3"/>
      <c r="B156" s="3"/>
      <c r="C156" s="3"/>
      <c r="D156" s="4"/>
      <c r="E156" s="4"/>
      <c r="F156" s="3"/>
      <c r="G156" s="3"/>
      <c r="H156" s="3"/>
      <c r="I156" s="6"/>
      <c r="J156" s="3"/>
      <c r="K156" s="3"/>
    </row>
    <row r="157" spans="1:11">
      <c r="A157" s="3"/>
      <c r="B157" s="3"/>
      <c r="C157" s="3"/>
      <c r="D157" s="4"/>
      <c r="E157" s="4"/>
      <c r="F157" s="3"/>
      <c r="G157" s="3"/>
      <c r="H157" s="3"/>
      <c r="I157" s="6"/>
      <c r="J157" s="3"/>
      <c r="K157" s="3"/>
    </row>
    <row r="158" spans="1:11">
      <c r="A158" s="3"/>
      <c r="B158" s="3"/>
      <c r="C158" s="3"/>
      <c r="D158" s="4"/>
      <c r="E158" s="4"/>
      <c r="F158" s="3"/>
      <c r="G158" s="3"/>
      <c r="H158" s="3"/>
      <c r="I158" s="6"/>
      <c r="J158" s="3"/>
      <c r="K158" s="3"/>
    </row>
    <row r="159" spans="1:11">
      <c r="A159" s="3"/>
      <c r="B159" s="3"/>
      <c r="C159" s="3"/>
      <c r="D159" s="4"/>
      <c r="E159" s="4"/>
      <c r="F159" s="3"/>
      <c r="G159" s="3"/>
      <c r="H159" s="3"/>
      <c r="I159" s="6"/>
      <c r="J159" s="3"/>
      <c r="K159" s="3"/>
    </row>
    <row r="160" spans="1:11">
      <c r="A160" s="3"/>
      <c r="B160" s="3"/>
      <c r="C160" s="3"/>
      <c r="D160" s="4"/>
      <c r="E160" s="4"/>
      <c r="F160" s="3"/>
      <c r="G160" s="3"/>
      <c r="H160" s="3"/>
      <c r="I160" s="6"/>
      <c r="J160" s="3"/>
      <c r="K160" s="3"/>
    </row>
    <row r="161" spans="1:11">
      <c r="A161" s="3"/>
      <c r="B161" s="3"/>
      <c r="C161" s="3"/>
      <c r="D161" s="4"/>
      <c r="E161" s="4"/>
      <c r="F161" s="3"/>
      <c r="G161" s="3"/>
      <c r="H161" s="3"/>
      <c r="I161" s="6"/>
      <c r="J161" s="3"/>
      <c r="K161" s="3"/>
    </row>
    <row r="162" spans="1:11">
      <c r="A162" s="3"/>
      <c r="B162" s="3"/>
      <c r="C162" s="3"/>
      <c r="D162" s="4"/>
      <c r="E162" s="4"/>
      <c r="F162" s="3"/>
      <c r="G162" s="3"/>
      <c r="H162" s="3"/>
      <c r="I162" s="6"/>
      <c r="J162" s="3"/>
      <c r="K162" s="3"/>
    </row>
    <row r="163" spans="1:11">
      <c r="A163" s="3"/>
      <c r="B163" s="3"/>
      <c r="C163" s="3"/>
      <c r="D163" s="4"/>
      <c r="E163" s="4"/>
      <c r="F163" s="3"/>
      <c r="G163" s="3"/>
      <c r="H163" s="3"/>
      <c r="I163" s="6"/>
      <c r="J163" s="3"/>
      <c r="K163" s="3"/>
    </row>
    <row r="164" spans="1:11">
      <c r="A164" s="3"/>
      <c r="B164" s="3"/>
      <c r="C164" s="3"/>
      <c r="D164" s="4"/>
      <c r="E164" s="4"/>
      <c r="F164" s="3"/>
      <c r="G164" s="3"/>
      <c r="H164" s="3"/>
      <c r="I164" s="6"/>
      <c r="J164" s="3"/>
      <c r="K164" s="3"/>
    </row>
    <row r="165" spans="1:11">
      <c r="A165" s="3"/>
      <c r="B165" s="3"/>
      <c r="C165" s="3"/>
      <c r="D165" s="4"/>
      <c r="E165" s="4"/>
      <c r="F165" s="3"/>
      <c r="G165" s="3"/>
      <c r="H165" s="3"/>
      <c r="I165" s="6"/>
      <c r="J165" s="3"/>
      <c r="K165" s="3"/>
    </row>
    <row r="166" spans="1:11">
      <c r="A166" s="3"/>
      <c r="B166" s="3"/>
      <c r="C166" s="3"/>
      <c r="D166" s="4"/>
      <c r="E166" s="4"/>
      <c r="F166" s="3"/>
      <c r="G166" s="3"/>
      <c r="H166" s="3"/>
      <c r="I166" s="6"/>
      <c r="J166" s="3"/>
      <c r="K166" s="3"/>
    </row>
    <row r="167" spans="1:11">
      <c r="A167" s="3"/>
      <c r="B167" s="3"/>
      <c r="C167" s="3"/>
      <c r="D167" s="4"/>
      <c r="E167" s="4"/>
      <c r="F167" s="3"/>
      <c r="G167" s="3"/>
      <c r="H167" s="3"/>
      <c r="I167" s="6"/>
      <c r="J167" s="3"/>
      <c r="K167" s="3"/>
    </row>
    <row r="168" spans="1:11">
      <c r="A168" s="3"/>
      <c r="B168" s="3"/>
      <c r="C168" s="3"/>
      <c r="D168" s="4"/>
      <c r="E168" s="4"/>
      <c r="F168" s="3"/>
      <c r="G168" s="3"/>
      <c r="H168" s="3"/>
      <c r="I168" s="6"/>
      <c r="J168" s="3"/>
      <c r="K168" s="3"/>
    </row>
    <row r="169" spans="1:11">
      <c r="A169" s="3"/>
      <c r="B169" s="3"/>
      <c r="C169" s="3"/>
      <c r="D169" s="4"/>
      <c r="E169" s="4"/>
      <c r="F169" s="3"/>
      <c r="G169" s="3"/>
      <c r="H169" s="3"/>
      <c r="I169" s="6"/>
      <c r="J169" s="3"/>
      <c r="K169" s="3"/>
    </row>
    <row r="170" spans="1:11">
      <c r="A170" s="3"/>
      <c r="B170" s="3"/>
      <c r="C170" s="3"/>
      <c r="D170" s="4"/>
      <c r="E170" s="4"/>
      <c r="F170" s="3"/>
      <c r="G170" s="3"/>
      <c r="H170" s="3"/>
      <c r="I170" s="6"/>
      <c r="J170" s="3"/>
      <c r="K170" s="3"/>
    </row>
    <row r="171" spans="1:11">
      <c r="A171" s="3"/>
      <c r="B171" s="3"/>
      <c r="C171" s="3"/>
      <c r="D171" s="4"/>
      <c r="E171" s="4"/>
      <c r="F171" s="3"/>
      <c r="G171" s="3"/>
      <c r="H171" s="3"/>
      <c r="I171" s="6"/>
      <c r="J171" s="3"/>
      <c r="K171" s="3"/>
    </row>
    <row r="172" spans="1:11">
      <c r="A172" s="3"/>
      <c r="B172" s="3"/>
      <c r="C172" s="3"/>
      <c r="D172" s="4"/>
      <c r="E172" s="4"/>
      <c r="F172" s="3"/>
      <c r="G172" s="3"/>
      <c r="H172" s="3"/>
      <c r="I172" s="6"/>
      <c r="J172" s="3"/>
      <c r="K172" s="3"/>
    </row>
    <row r="173" spans="1:11">
      <c r="A173" s="3"/>
      <c r="B173" s="3"/>
      <c r="C173" s="3"/>
      <c r="D173" s="4"/>
      <c r="E173" s="4"/>
      <c r="F173" s="3"/>
      <c r="G173" s="3"/>
      <c r="H173" s="3"/>
      <c r="I173" s="6"/>
      <c r="J173" s="3"/>
      <c r="K173" s="3"/>
    </row>
    <row r="174" spans="1:11">
      <c r="A174" s="3"/>
      <c r="B174" s="3"/>
      <c r="C174" s="3"/>
      <c r="D174" s="4"/>
      <c r="E174" s="4"/>
      <c r="F174" s="3"/>
      <c r="G174" s="3"/>
      <c r="H174" s="3"/>
      <c r="I174" s="6"/>
      <c r="J174" s="3"/>
      <c r="K174" s="3"/>
    </row>
    <row r="175" spans="1:11">
      <c r="A175" s="3"/>
      <c r="B175" s="3"/>
      <c r="C175" s="3"/>
      <c r="D175" s="4"/>
      <c r="E175" s="4"/>
      <c r="F175" s="3"/>
      <c r="G175" s="3"/>
      <c r="H175" s="3"/>
      <c r="I175" s="6"/>
      <c r="J175" s="3"/>
      <c r="K175" s="3"/>
    </row>
    <row r="176" spans="1:11">
      <c r="A176" s="3"/>
      <c r="B176" s="3"/>
      <c r="C176" s="3"/>
      <c r="D176" s="4"/>
      <c r="E176" s="4"/>
      <c r="F176" s="3"/>
      <c r="G176" s="3"/>
      <c r="H176" s="3"/>
      <c r="I176" s="6"/>
      <c r="J176" s="3"/>
      <c r="K176" s="3"/>
    </row>
    <row r="177" spans="1:11">
      <c r="A177" s="3"/>
      <c r="B177" s="3"/>
      <c r="C177" s="3"/>
      <c r="D177" s="4"/>
      <c r="E177" s="4"/>
      <c r="F177" s="3"/>
      <c r="G177" s="3"/>
      <c r="H177" s="3"/>
      <c r="I177" s="6"/>
      <c r="J177" s="3"/>
      <c r="K177" s="3"/>
    </row>
    <row r="178" spans="1:11">
      <c r="A178" s="3"/>
      <c r="B178" s="3"/>
      <c r="C178" s="3"/>
      <c r="D178" s="4"/>
      <c r="E178" s="4"/>
      <c r="F178" s="3"/>
      <c r="G178" s="3"/>
      <c r="H178" s="3"/>
      <c r="I178" s="6"/>
      <c r="J178" s="3"/>
      <c r="K178" s="3"/>
    </row>
    <row r="179" spans="1:11">
      <c r="A179" s="3"/>
      <c r="B179" s="3"/>
      <c r="C179" s="3"/>
      <c r="D179" s="4"/>
      <c r="E179" s="4"/>
      <c r="F179" s="3"/>
      <c r="G179" s="3"/>
      <c r="H179" s="3"/>
      <c r="I179" s="6"/>
      <c r="J179" s="3"/>
      <c r="K179" s="3"/>
    </row>
    <row r="180" spans="1:11">
      <c r="A180" s="3"/>
      <c r="B180" s="3"/>
      <c r="C180" s="3"/>
      <c r="D180" s="4"/>
      <c r="E180" s="4"/>
      <c r="F180" s="3"/>
      <c r="G180" s="3"/>
      <c r="H180" s="3"/>
      <c r="I180" s="6"/>
      <c r="J180" s="3"/>
      <c r="K180" s="3"/>
    </row>
    <row r="181" spans="1:11">
      <c r="A181" s="3"/>
      <c r="B181" s="3"/>
      <c r="C181" s="3"/>
      <c r="D181" s="4"/>
      <c r="E181" s="4"/>
      <c r="F181" s="3"/>
      <c r="G181" s="3"/>
      <c r="H181" s="3"/>
      <c r="I181" s="6"/>
      <c r="J181" s="3"/>
      <c r="K181" s="3"/>
    </row>
    <row r="182" spans="1:11">
      <c r="A182" s="3"/>
      <c r="B182" s="3"/>
      <c r="C182" s="3"/>
      <c r="D182" s="4"/>
      <c r="E182" s="4"/>
      <c r="F182" s="3"/>
      <c r="G182" s="3"/>
      <c r="H182" s="3"/>
      <c r="I182" s="6"/>
      <c r="J182" s="3"/>
      <c r="K182" s="3"/>
    </row>
    <row r="183" spans="1:11">
      <c r="A183" s="3"/>
      <c r="B183" s="3"/>
      <c r="C183" s="3"/>
      <c r="D183" s="4"/>
      <c r="E183" s="4"/>
      <c r="F183" s="3"/>
      <c r="G183" s="3"/>
      <c r="H183" s="3"/>
      <c r="I183" s="6"/>
      <c r="J183" s="3"/>
      <c r="K183" s="3"/>
    </row>
    <row r="184" spans="1:11">
      <c r="A184" s="3"/>
      <c r="B184" s="3"/>
      <c r="C184" s="3"/>
      <c r="D184" s="4"/>
      <c r="E184" s="4"/>
      <c r="F184" s="3"/>
      <c r="G184" s="3"/>
      <c r="H184" s="3"/>
      <c r="I184" s="6"/>
      <c r="J184" s="3"/>
      <c r="K184" s="3"/>
    </row>
    <row r="185" spans="1:11">
      <c r="A185" s="3"/>
      <c r="B185" s="3"/>
      <c r="C185" s="3"/>
      <c r="D185" s="4"/>
      <c r="E185" s="4"/>
      <c r="F185" s="3"/>
      <c r="G185" s="3"/>
      <c r="H185" s="3"/>
      <c r="I185" s="6"/>
      <c r="J185" s="3"/>
      <c r="K185" s="3"/>
    </row>
    <row r="186" spans="1:11">
      <c r="A186" s="3"/>
      <c r="B186" s="3"/>
      <c r="C186" s="3"/>
      <c r="D186" s="4"/>
      <c r="E186" s="4"/>
      <c r="F186" s="3"/>
      <c r="G186" s="3"/>
      <c r="H186" s="3"/>
      <c r="I186" s="6"/>
      <c r="J186" s="3"/>
      <c r="K186" s="3"/>
    </row>
    <row r="187" spans="1:11">
      <c r="A187" s="3"/>
      <c r="B187" s="3"/>
      <c r="C187" s="3"/>
      <c r="D187" s="4"/>
      <c r="E187" s="4"/>
      <c r="F187" s="3"/>
      <c r="G187" s="3"/>
      <c r="H187" s="3"/>
      <c r="I187" s="6"/>
      <c r="J187" s="3"/>
      <c r="K187" s="3"/>
    </row>
    <row r="188" spans="1:11">
      <c r="A188" s="3"/>
      <c r="B188" s="3"/>
      <c r="C188" s="3"/>
      <c r="D188" s="4"/>
      <c r="E188" s="4"/>
      <c r="F188" s="3"/>
      <c r="G188" s="3"/>
      <c r="H188" s="3"/>
      <c r="I188" s="6"/>
      <c r="J188" s="3"/>
      <c r="K188" s="3"/>
    </row>
    <row r="189" spans="1:11">
      <c r="A189" s="3"/>
      <c r="B189" s="3"/>
      <c r="C189" s="3"/>
      <c r="D189" s="4"/>
      <c r="E189" s="4"/>
      <c r="F189" s="3"/>
      <c r="G189" s="3"/>
      <c r="H189" s="3"/>
      <c r="I189" s="6"/>
      <c r="J189" s="3"/>
      <c r="K189" s="3"/>
    </row>
    <row r="190" spans="1:11">
      <c r="A190" s="3"/>
      <c r="B190" s="3"/>
      <c r="C190" s="3"/>
      <c r="D190" s="4"/>
      <c r="E190" s="4"/>
      <c r="F190" s="3"/>
      <c r="G190" s="3"/>
      <c r="H190" s="3"/>
      <c r="I190" s="6"/>
      <c r="J190" s="3"/>
      <c r="K190" s="3"/>
    </row>
    <row r="191" spans="1:11">
      <c r="A191" s="3"/>
      <c r="B191" s="3"/>
      <c r="C191" s="3"/>
      <c r="D191" s="4"/>
      <c r="E191" s="4"/>
      <c r="F191" s="3"/>
      <c r="G191" s="3"/>
      <c r="H191" s="3"/>
      <c r="I191" s="6"/>
      <c r="J191" s="3"/>
      <c r="K191" s="3"/>
    </row>
    <row r="192" spans="1:11">
      <c r="A192" s="3"/>
      <c r="B192" s="3"/>
      <c r="C192" s="3"/>
      <c r="D192" s="4"/>
      <c r="E192" s="4"/>
      <c r="F192" s="3"/>
      <c r="G192" s="3"/>
      <c r="H192" s="3"/>
      <c r="I192" s="6"/>
      <c r="J192" s="3"/>
      <c r="K192" s="3"/>
    </row>
    <row r="193" spans="1:11">
      <c r="A193" s="3"/>
      <c r="B193" s="3"/>
      <c r="C193" s="3"/>
      <c r="D193" s="4"/>
      <c r="E193" s="4"/>
      <c r="F193" s="3"/>
      <c r="G193" s="3"/>
      <c r="H193" s="3"/>
      <c r="I193" s="6"/>
      <c r="J193" s="3"/>
      <c r="K193" s="3"/>
    </row>
    <row r="194" spans="1:11">
      <c r="A194" s="3"/>
      <c r="B194" s="3"/>
      <c r="C194" s="3"/>
      <c r="D194" s="4"/>
      <c r="E194" s="4"/>
      <c r="F194" s="3"/>
      <c r="G194" s="3"/>
      <c r="H194" s="3"/>
      <c r="I194" s="6"/>
      <c r="J194" s="3"/>
      <c r="K194" s="3"/>
    </row>
    <row r="195" spans="1:11">
      <c r="A195" s="3"/>
      <c r="B195" s="3"/>
      <c r="C195" s="3"/>
      <c r="D195" s="4"/>
      <c r="E195" s="4"/>
      <c r="F195" s="3"/>
      <c r="G195" s="3"/>
      <c r="H195" s="3"/>
      <c r="I195" s="6"/>
      <c r="J195" s="3"/>
      <c r="K195" s="3"/>
    </row>
    <row r="196" spans="1:11">
      <c r="A196" s="3"/>
      <c r="B196" s="3"/>
      <c r="C196" s="3"/>
      <c r="D196" s="4"/>
      <c r="E196" s="4"/>
      <c r="F196" s="3"/>
      <c r="G196" s="3"/>
      <c r="H196" s="3"/>
      <c r="I196" s="6"/>
      <c r="J196" s="3"/>
      <c r="K196" s="3"/>
    </row>
    <row r="197" spans="1:11">
      <c r="A197" s="3"/>
      <c r="B197" s="3"/>
      <c r="C197" s="3"/>
      <c r="D197" s="4"/>
      <c r="E197" s="4"/>
      <c r="F197" s="3"/>
      <c r="G197" s="3"/>
      <c r="H197" s="3"/>
      <c r="I197" s="6"/>
      <c r="J197" s="3"/>
      <c r="K197" s="3"/>
    </row>
    <row r="198" spans="1:11">
      <c r="A198" s="3"/>
      <c r="B198" s="3"/>
      <c r="C198" s="3"/>
      <c r="D198" s="4"/>
      <c r="E198" s="4"/>
      <c r="F198" s="3"/>
      <c r="G198" s="3"/>
      <c r="H198" s="3"/>
      <c r="I198" s="6"/>
      <c r="J198" s="3"/>
      <c r="K198" s="3"/>
    </row>
    <row r="199" spans="1:11">
      <c r="A199" s="3"/>
      <c r="B199" s="3"/>
      <c r="C199" s="3"/>
      <c r="D199" s="4"/>
      <c r="E199" s="4"/>
      <c r="F199" s="3"/>
      <c r="G199" s="3"/>
      <c r="H199" s="3"/>
      <c r="I199" s="6"/>
      <c r="J199" s="3"/>
      <c r="K199" s="3"/>
    </row>
    <row r="200" spans="1:11">
      <c r="A200" s="3"/>
      <c r="B200" s="3"/>
      <c r="C200" s="3"/>
      <c r="D200" s="4"/>
      <c r="E200" s="4"/>
      <c r="F200" s="3"/>
      <c r="G200" s="3"/>
      <c r="H200" s="3"/>
      <c r="I200" s="6"/>
      <c r="J200" s="3"/>
      <c r="K200" s="3"/>
    </row>
    <row r="201" spans="1:11">
      <c r="D201" s="5"/>
      <c r="E201" s="5"/>
      <c r="I201" s="7"/>
    </row>
    <row r="202" spans="1:11">
      <c r="D202" s="5"/>
      <c r="E202" s="5"/>
      <c r="I202" s="7"/>
    </row>
    <row r="203" spans="1:11">
      <c r="D203" s="5"/>
      <c r="E203" s="5"/>
      <c r="I203" s="7"/>
    </row>
    <row r="204" spans="1:11">
      <c r="D204" s="5"/>
      <c r="E204" s="5"/>
      <c r="I204" s="7"/>
    </row>
    <row r="205" spans="1:11">
      <c r="D205" s="5"/>
      <c r="E205" s="5"/>
      <c r="I205" s="7"/>
    </row>
    <row r="206" spans="1:11">
      <c r="D206" s="5"/>
      <c r="E206" s="5"/>
      <c r="I206" s="7"/>
    </row>
    <row r="207" spans="1:11">
      <c r="D207" s="5"/>
      <c r="E207" s="5"/>
      <c r="I207" s="7"/>
    </row>
    <row r="208" spans="1:11">
      <c r="D208" s="5"/>
      <c r="E208" s="5"/>
      <c r="I208" s="7"/>
    </row>
    <row r="209" spans="4:9">
      <c r="D209" s="5"/>
      <c r="E209" s="5"/>
      <c r="I209" s="7"/>
    </row>
    <row r="210" spans="4:9">
      <c r="D210" s="5"/>
      <c r="E210" s="5"/>
      <c r="I210" s="7"/>
    </row>
    <row r="211" spans="4:9">
      <c r="D211" s="5"/>
      <c r="E211" s="5"/>
      <c r="I211" s="7"/>
    </row>
    <row r="212" spans="4:9">
      <c r="D212" s="5"/>
      <c r="E212" s="5"/>
      <c r="I212" s="7"/>
    </row>
    <row r="213" spans="4:9">
      <c r="D213" s="5"/>
      <c r="E213" s="5"/>
      <c r="I213" s="7"/>
    </row>
    <row r="214" spans="4:9">
      <c r="D214" s="5"/>
      <c r="E214" s="5"/>
      <c r="I214" s="7"/>
    </row>
    <row r="215" spans="4:9">
      <c r="D215" s="5"/>
      <c r="E215" s="5"/>
      <c r="I215" s="7"/>
    </row>
    <row r="216" spans="4:9">
      <c r="D216" s="5"/>
      <c r="E216" s="5"/>
      <c r="I216" s="7"/>
    </row>
    <row r="217" spans="4:9">
      <c r="D217" s="5"/>
      <c r="E217" s="5"/>
      <c r="I217" s="7"/>
    </row>
    <row r="218" spans="4:9">
      <c r="D218" s="5"/>
      <c r="E218" s="5"/>
      <c r="I218" s="7"/>
    </row>
    <row r="219" spans="4:9">
      <c r="D219" s="5"/>
      <c r="E219" s="5"/>
      <c r="I219" s="7"/>
    </row>
    <row r="220" spans="4:9">
      <c r="D220" s="5"/>
      <c r="E220" s="5"/>
      <c r="I220" s="7"/>
    </row>
    <row r="221" spans="4:9">
      <c r="D221" s="5"/>
      <c r="E221" s="5"/>
      <c r="I221" s="7"/>
    </row>
    <row r="222" spans="4:9">
      <c r="D222" s="5"/>
      <c r="E222" s="5"/>
      <c r="I222" s="7"/>
    </row>
    <row r="223" spans="4:9">
      <c r="D223" s="5"/>
      <c r="E223" s="5"/>
      <c r="I223" s="7"/>
    </row>
    <row r="224" spans="4:9">
      <c r="D224" s="5"/>
      <c r="E224" s="5"/>
      <c r="I224" s="7"/>
    </row>
    <row r="225" spans="4:9">
      <c r="D225" s="5"/>
      <c r="E225" s="5"/>
      <c r="I225" s="7"/>
    </row>
    <row r="226" spans="4:9">
      <c r="D226" s="5"/>
      <c r="E226" s="5"/>
      <c r="I226" s="7"/>
    </row>
    <row r="227" spans="4:9">
      <c r="D227" s="5"/>
      <c r="E227" s="5"/>
      <c r="I227" s="7"/>
    </row>
    <row r="228" spans="4:9">
      <c r="D228" s="5"/>
      <c r="E228" s="5"/>
      <c r="I228" s="7"/>
    </row>
    <row r="229" spans="4:9">
      <c r="D229" s="5"/>
      <c r="E229" s="5"/>
      <c r="I229" s="7"/>
    </row>
    <row r="230" spans="4:9">
      <c r="D230" s="5"/>
      <c r="E230" s="5"/>
      <c r="I230" s="7"/>
    </row>
    <row r="231" spans="4:9">
      <c r="D231" s="5"/>
      <c r="E231" s="5"/>
      <c r="I231" s="7"/>
    </row>
    <row r="232" spans="4:9">
      <c r="D232" s="5"/>
      <c r="E232" s="5"/>
      <c r="I232" s="7"/>
    </row>
    <row r="233" spans="4:9">
      <c r="D233" s="5"/>
      <c r="E233" s="5"/>
      <c r="I233" s="7"/>
    </row>
    <row r="234" spans="4:9">
      <c r="D234" s="5"/>
      <c r="E234" s="5"/>
      <c r="I234" s="7"/>
    </row>
    <row r="235" spans="4:9">
      <c r="D235" s="5"/>
      <c r="E235" s="5"/>
      <c r="I235" s="7"/>
    </row>
    <row r="236" spans="4:9">
      <c r="D236" s="5"/>
      <c r="E236" s="5"/>
      <c r="I236" s="7"/>
    </row>
    <row r="237" spans="4:9">
      <c r="D237" s="5"/>
      <c r="E237" s="5"/>
      <c r="I237" s="7"/>
    </row>
    <row r="238" spans="4:9">
      <c r="D238" s="5"/>
      <c r="E238" s="5"/>
      <c r="I238" s="7"/>
    </row>
    <row r="239" spans="4:9">
      <c r="D239" s="5"/>
      <c r="E239" s="5"/>
      <c r="I239" s="7"/>
    </row>
    <row r="240" spans="4:9">
      <c r="D240" s="5"/>
      <c r="E240" s="5"/>
      <c r="I240" s="7"/>
    </row>
    <row r="241" spans="4:9">
      <c r="D241" s="5"/>
      <c r="E241" s="5"/>
      <c r="I241" s="7"/>
    </row>
    <row r="242" spans="4:9">
      <c r="D242" s="5"/>
      <c r="E242" s="5"/>
      <c r="I242" s="7"/>
    </row>
    <row r="243" spans="4:9">
      <c r="D243" s="5"/>
      <c r="E243" s="5"/>
      <c r="I243" s="7"/>
    </row>
    <row r="244" spans="4:9">
      <c r="D244" s="5"/>
      <c r="E244" s="5"/>
      <c r="I244" s="7"/>
    </row>
    <row r="245" spans="4:9">
      <c r="D245" s="5"/>
      <c r="E245" s="5"/>
      <c r="I245" s="7"/>
    </row>
    <row r="246" spans="4:9">
      <c r="D246" s="5"/>
      <c r="E246" s="5"/>
      <c r="I246" s="7"/>
    </row>
    <row r="247" spans="4:9">
      <c r="D247" s="5"/>
      <c r="E247" s="5"/>
      <c r="I247" s="7"/>
    </row>
    <row r="248" spans="4:9">
      <c r="D248" s="5"/>
      <c r="E248" s="5"/>
      <c r="I248" s="7"/>
    </row>
    <row r="249" spans="4:9">
      <c r="D249" s="5"/>
      <c r="E249" s="5"/>
      <c r="I249" s="7"/>
    </row>
    <row r="250" spans="4:9">
      <c r="D250" s="5"/>
      <c r="E250" s="5"/>
      <c r="I250" s="7"/>
    </row>
    <row r="251" spans="4:9">
      <c r="D251" s="5"/>
      <c r="E251" s="5"/>
      <c r="I251" s="7"/>
    </row>
    <row r="252" spans="4:9">
      <c r="D252" s="5"/>
      <c r="E252" s="5"/>
      <c r="I252" s="7"/>
    </row>
    <row r="253" spans="4:9">
      <c r="D253" s="5"/>
      <c r="E253" s="5"/>
      <c r="I253" s="7"/>
    </row>
    <row r="254" spans="4:9">
      <c r="D254" s="5"/>
      <c r="E254" s="5"/>
      <c r="I254" s="7"/>
    </row>
    <row r="255" spans="4:9">
      <c r="D255" s="5"/>
      <c r="E255" s="5"/>
      <c r="I255" s="7"/>
    </row>
    <row r="256" spans="4:9">
      <c r="D256" s="5"/>
      <c r="E256" s="5"/>
      <c r="I256" s="7"/>
    </row>
    <row r="257" spans="4:9">
      <c r="D257" s="5"/>
      <c r="E257" s="5"/>
      <c r="I257" s="7"/>
    </row>
    <row r="258" spans="4:9">
      <c r="D258" s="5"/>
      <c r="E258" s="5"/>
      <c r="I258" s="7"/>
    </row>
    <row r="259" spans="4:9">
      <c r="D259" s="5"/>
      <c r="E259" s="5"/>
      <c r="I259" s="7"/>
    </row>
    <row r="260" spans="4:9">
      <c r="D260" s="5"/>
      <c r="E260" s="5"/>
      <c r="I260" s="7"/>
    </row>
    <row r="261" spans="4:9">
      <c r="D261" s="5"/>
      <c r="E261" s="5"/>
      <c r="I261" s="7"/>
    </row>
    <row r="262" spans="4:9">
      <c r="D262" s="5"/>
      <c r="E262" s="5"/>
      <c r="I262" s="7"/>
    </row>
    <row r="263" spans="4:9">
      <c r="D263" s="5"/>
      <c r="E263" s="5"/>
      <c r="I263" s="7"/>
    </row>
    <row r="264" spans="4:9">
      <c r="D264" s="5"/>
      <c r="E264" s="5"/>
      <c r="I264" s="7"/>
    </row>
    <row r="265" spans="4:9">
      <c r="D265" s="5"/>
      <c r="E265" s="5"/>
      <c r="I265" s="7"/>
    </row>
    <row r="266" spans="4:9">
      <c r="D266" s="5"/>
      <c r="E266" s="5"/>
      <c r="I266" s="7"/>
    </row>
    <row r="267" spans="4:9">
      <c r="D267" s="5"/>
      <c r="E267" s="5"/>
      <c r="I267" s="7"/>
    </row>
    <row r="268" spans="4:9">
      <c r="D268" s="5"/>
      <c r="E268" s="5"/>
      <c r="I268" s="7"/>
    </row>
    <row r="269" spans="4:9">
      <c r="D269" s="5"/>
      <c r="E269" s="5"/>
      <c r="I269" s="7"/>
    </row>
    <row r="270" spans="4:9">
      <c r="D270" s="5"/>
      <c r="E270" s="5"/>
      <c r="I270" s="7"/>
    </row>
    <row r="271" spans="4:9">
      <c r="D271" s="5"/>
      <c r="E271" s="5"/>
      <c r="I271" s="7"/>
    </row>
    <row r="272" spans="4:9">
      <c r="D272" s="5"/>
      <c r="E272" s="5"/>
      <c r="I272" s="7"/>
    </row>
    <row r="273" spans="4:9">
      <c r="D273" s="5"/>
      <c r="E273" s="5"/>
      <c r="I273" s="7"/>
    </row>
    <row r="274" spans="4:9">
      <c r="D274" s="5"/>
      <c r="E274" s="5"/>
      <c r="I274" s="7"/>
    </row>
    <row r="275" spans="4:9">
      <c r="D275" s="5"/>
      <c r="E275" s="5"/>
      <c r="I275" s="7"/>
    </row>
    <row r="276" spans="4:9">
      <c r="D276" s="5"/>
      <c r="E276" s="5"/>
      <c r="I276" s="7"/>
    </row>
    <row r="277" spans="4:9">
      <c r="D277" s="5"/>
      <c r="E277" s="5"/>
      <c r="I277" s="7"/>
    </row>
    <row r="278" spans="4:9">
      <c r="D278" s="5"/>
      <c r="E278" s="5"/>
      <c r="I278" s="7"/>
    </row>
    <row r="279" spans="4:9">
      <c r="D279" s="5"/>
      <c r="E279" s="5"/>
      <c r="I279" s="7"/>
    </row>
    <row r="280" spans="4:9">
      <c r="D280" s="5"/>
      <c r="E280" s="5"/>
      <c r="I280" s="7"/>
    </row>
    <row r="281" spans="4:9">
      <c r="D281" s="5"/>
      <c r="E281" s="5"/>
      <c r="I281" s="7"/>
    </row>
    <row r="282" spans="4:9">
      <c r="D282" s="5"/>
      <c r="E282" s="5"/>
      <c r="I282" s="7"/>
    </row>
    <row r="283" spans="4:9">
      <c r="D283" s="5"/>
      <c r="E283" s="5"/>
      <c r="I283" s="7"/>
    </row>
    <row r="284" spans="4:9">
      <c r="D284" s="5"/>
      <c r="E284" s="5"/>
      <c r="I284" s="7"/>
    </row>
    <row r="285" spans="4:9">
      <c r="D285" s="5"/>
      <c r="E285" s="5"/>
      <c r="I285" s="7"/>
    </row>
    <row r="286" spans="4:9">
      <c r="D286" s="5"/>
      <c r="E286" s="5"/>
      <c r="I286" s="7"/>
    </row>
    <row r="287" spans="4:9">
      <c r="D287" s="5"/>
      <c r="E287" s="5"/>
      <c r="I287" s="7"/>
    </row>
    <row r="288" spans="4:9">
      <c r="D288" s="5"/>
      <c r="E288" s="5"/>
      <c r="I288" s="7"/>
    </row>
    <row r="289" spans="4:9">
      <c r="D289" s="5"/>
      <c r="E289" s="5"/>
      <c r="I289" s="7"/>
    </row>
    <row r="290" spans="4:9">
      <c r="D290" s="5"/>
      <c r="E290" s="5"/>
      <c r="I290" s="7"/>
    </row>
    <row r="291" spans="4:9">
      <c r="D291" s="5"/>
      <c r="E291" s="5"/>
      <c r="I291" s="7"/>
    </row>
    <row r="292" spans="4:9">
      <c r="D292" s="5"/>
      <c r="E292" s="5"/>
      <c r="I292" s="7"/>
    </row>
    <row r="293" spans="4:9">
      <c r="D293" s="5"/>
      <c r="E293" s="5"/>
      <c r="I293" s="7"/>
    </row>
    <row r="294" spans="4:9">
      <c r="D294" s="5"/>
      <c r="E294" s="5"/>
      <c r="I294" s="7"/>
    </row>
    <row r="295" spans="4:9">
      <c r="D295" s="5"/>
      <c r="E295" s="5"/>
      <c r="I295" s="7"/>
    </row>
    <row r="296" spans="4:9">
      <c r="D296" s="5"/>
      <c r="E296" s="5"/>
      <c r="I296" s="7"/>
    </row>
    <row r="297" spans="4:9">
      <c r="D297" s="5"/>
      <c r="E297" s="5"/>
      <c r="I297" s="7"/>
    </row>
    <row r="298" spans="4:9">
      <c r="D298" s="5"/>
      <c r="E298" s="5"/>
      <c r="I298" s="7"/>
    </row>
    <row r="299" spans="4:9">
      <c r="D299" s="5"/>
      <c r="E299" s="5"/>
      <c r="I299" s="7"/>
    </row>
    <row r="300" spans="4:9">
      <c r="D300" s="5"/>
      <c r="E300" s="5"/>
      <c r="I300" s="7"/>
    </row>
    <row r="301" spans="4:9">
      <c r="D301" s="5"/>
      <c r="E301" s="5"/>
      <c r="I301" s="7"/>
    </row>
    <row r="302" spans="4:9">
      <c r="D302" s="5"/>
      <c r="E302" s="5"/>
      <c r="I302" s="7"/>
    </row>
    <row r="303" spans="4:9">
      <c r="D303" s="5"/>
      <c r="E303" s="5"/>
      <c r="I303" s="7"/>
    </row>
    <row r="304" spans="4:9">
      <c r="D304" s="5"/>
      <c r="E304" s="5"/>
      <c r="I304" s="7"/>
    </row>
    <row r="305" spans="4:9">
      <c r="D305" s="5"/>
      <c r="E305" s="5"/>
      <c r="I305" s="7"/>
    </row>
    <row r="306" spans="4:9">
      <c r="D306" s="5"/>
      <c r="E306" s="5"/>
      <c r="I306" s="7"/>
    </row>
    <row r="307" spans="4:9">
      <c r="D307" s="5"/>
      <c r="E307" s="5"/>
      <c r="I307" s="7"/>
    </row>
    <row r="308" spans="4:9">
      <c r="D308" s="5"/>
      <c r="E308" s="5"/>
      <c r="I308" s="7"/>
    </row>
    <row r="309" spans="4:9">
      <c r="D309" s="5"/>
      <c r="E309" s="5"/>
      <c r="I309" s="7"/>
    </row>
    <row r="310" spans="4:9">
      <c r="D310" s="5"/>
      <c r="E310" s="5"/>
      <c r="I310" s="7"/>
    </row>
    <row r="311" spans="4:9">
      <c r="D311" s="5"/>
      <c r="E311" s="5"/>
      <c r="I311" s="7"/>
    </row>
    <row r="312" spans="4:9">
      <c r="D312" s="5"/>
      <c r="E312" s="5"/>
      <c r="I312" s="7"/>
    </row>
    <row r="313" spans="4:9">
      <c r="D313" s="5"/>
      <c r="E313" s="5"/>
      <c r="I313" s="7"/>
    </row>
    <row r="314" spans="4:9">
      <c r="D314" s="5"/>
      <c r="E314" s="5"/>
      <c r="I314" s="7"/>
    </row>
    <row r="315" spans="4:9">
      <c r="D315" s="5"/>
      <c r="E315" s="5"/>
      <c r="I315" s="7"/>
    </row>
    <row r="316" spans="4:9">
      <c r="D316" s="5"/>
      <c r="E316" s="5"/>
      <c r="I316" s="7"/>
    </row>
    <row r="317" spans="4:9">
      <c r="D317" s="5"/>
      <c r="E317" s="5"/>
      <c r="I317" s="7"/>
    </row>
    <row r="318" spans="4:9">
      <c r="D318" s="5"/>
      <c r="E318" s="5"/>
      <c r="I318" s="7"/>
    </row>
    <row r="319" spans="4:9">
      <c r="D319" s="5"/>
      <c r="E319" s="5"/>
      <c r="I319" s="7"/>
    </row>
    <row r="320" spans="4:9">
      <c r="D320" s="5"/>
      <c r="E320" s="5"/>
      <c r="I320" s="7"/>
    </row>
    <row r="321" spans="4:9">
      <c r="D321" s="5"/>
      <c r="E321" s="5"/>
      <c r="I321" s="7"/>
    </row>
    <row r="322" spans="4:9">
      <c r="D322" s="5"/>
      <c r="E322" s="5"/>
      <c r="I322" s="7"/>
    </row>
    <row r="323" spans="4:9">
      <c r="D323" s="5"/>
      <c r="E323" s="5"/>
      <c r="I323" s="7"/>
    </row>
    <row r="324" spans="4:9">
      <c r="D324" s="5"/>
      <c r="E324" s="5"/>
      <c r="I324" s="7"/>
    </row>
    <row r="325" spans="4:9">
      <c r="D325" s="5"/>
      <c r="E325" s="5"/>
      <c r="I325" s="7"/>
    </row>
    <row r="326" spans="4:9">
      <c r="D326" s="5"/>
      <c r="E326" s="5"/>
      <c r="I326" s="7"/>
    </row>
    <row r="327" spans="4:9">
      <c r="D327" s="5"/>
      <c r="E327" s="5"/>
      <c r="I327" s="7"/>
    </row>
    <row r="328" spans="4:9">
      <c r="D328" s="5"/>
      <c r="E328" s="5"/>
      <c r="I328" s="7"/>
    </row>
    <row r="329" spans="4:9">
      <c r="D329" s="5"/>
      <c r="E329" s="5"/>
      <c r="I329" s="7"/>
    </row>
    <row r="330" spans="4:9">
      <c r="D330" s="5"/>
      <c r="E330" s="5"/>
      <c r="I330" s="7"/>
    </row>
    <row r="331" spans="4:9">
      <c r="D331" s="5"/>
      <c r="E331" s="5"/>
      <c r="I331" s="7"/>
    </row>
    <row r="332" spans="4:9">
      <c r="D332" s="5"/>
      <c r="E332" s="5"/>
      <c r="I332" s="7"/>
    </row>
    <row r="333" spans="4:9">
      <c r="D333" s="5"/>
      <c r="E333" s="5"/>
      <c r="I333" s="7"/>
    </row>
    <row r="334" spans="4:9">
      <c r="D334" s="5"/>
      <c r="E334" s="5"/>
      <c r="I334" s="7"/>
    </row>
    <row r="335" spans="4:9">
      <c r="D335" s="5"/>
      <c r="E335" s="5"/>
      <c r="I335" s="7"/>
    </row>
    <row r="336" spans="4:9">
      <c r="D336" s="5"/>
      <c r="E336" s="5"/>
      <c r="I336" s="7"/>
    </row>
    <row r="337" spans="4:9">
      <c r="D337" s="5"/>
      <c r="E337" s="5"/>
      <c r="I337" s="7"/>
    </row>
    <row r="338" spans="4:9">
      <c r="D338" s="5"/>
      <c r="E338" s="5"/>
      <c r="I338" s="7"/>
    </row>
    <row r="339" spans="4:9">
      <c r="D339" s="5"/>
      <c r="E339" s="5"/>
      <c r="I339" s="7"/>
    </row>
    <row r="340" spans="4:9">
      <c r="D340" s="5"/>
      <c r="E340" s="5"/>
      <c r="I340" s="7"/>
    </row>
    <row r="341" spans="4:9">
      <c r="D341" s="5"/>
      <c r="E341" s="5"/>
      <c r="I341" s="7"/>
    </row>
    <row r="342" spans="4:9">
      <c r="D342" s="5"/>
      <c r="E342" s="5"/>
      <c r="I342" s="7"/>
    </row>
    <row r="343" spans="4:9">
      <c r="D343" s="5"/>
      <c r="E343" s="5"/>
      <c r="I343" s="7"/>
    </row>
    <row r="344" spans="4:9">
      <c r="D344" s="5"/>
      <c r="E344" s="5"/>
      <c r="I344" s="7"/>
    </row>
    <row r="345" spans="4:9">
      <c r="D345" s="5"/>
      <c r="E345" s="5"/>
      <c r="I345" s="7"/>
    </row>
    <row r="346" spans="4:9">
      <c r="D346" s="5"/>
      <c r="E346" s="5"/>
      <c r="I346" s="7"/>
    </row>
    <row r="347" spans="4:9">
      <c r="D347" s="5"/>
      <c r="E347" s="5"/>
      <c r="I347" s="7"/>
    </row>
    <row r="348" spans="4:9">
      <c r="D348" s="5"/>
      <c r="E348" s="5"/>
      <c r="I348" s="7"/>
    </row>
    <row r="349" spans="4:9">
      <c r="D349" s="5"/>
      <c r="E349" s="5"/>
      <c r="I349" s="7"/>
    </row>
    <row r="350" spans="4:9">
      <c r="D350" s="5"/>
      <c r="E350" s="5"/>
      <c r="I350" s="7"/>
    </row>
    <row r="351" spans="4:9">
      <c r="D351" s="5"/>
      <c r="E351" s="5"/>
      <c r="I351" s="7"/>
    </row>
    <row r="352" spans="4:9">
      <c r="D352" s="5"/>
      <c r="E352" s="5"/>
      <c r="I352" s="7"/>
    </row>
    <row r="353" spans="4:9">
      <c r="D353" s="5"/>
      <c r="E353" s="5"/>
      <c r="I353" s="7"/>
    </row>
    <row r="354" spans="4:9">
      <c r="D354" s="5"/>
      <c r="E354" s="5"/>
      <c r="I354" s="7"/>
    </row>
    <row r="355" spans="4:9">
      <c r="D355" s="5"/>
      <c r="E355" s="5"/>
      <c r="I355" s="7"/>
    </row>
    <row r="356" spans="4:9">
      <c r="D356" s="5"/>
      <c r="E356" s="5"/>
      <c r="I356" s="7"/>
    </row>
    <row r="357" spans="4:9">
      <c r="D357" s="5"/>
      <c r="E357" s="5"/>
      <c r="I357" s="7"/>
    </row>
    <row r="358" spans="4:9">
      <c r="D358" s="5"/>
      <c r="E358" s="5"/>
      <c r="I358" s="7"/>
    </row>
    <row r="359" spans="4:9">
      <c r="D359" s="5"/>
      <c r="E359" s="5"/>
      <c r="I359" s="7"/>
    </row>
    <row r="360" spans="4:9">
      <c r="D360" s="5"/>
      <c r="E360" s="5"/>
      <c r="I360" s="7"/>
    </row>
    <row r="361" spans="4:9">
      <c r="D361" s="5"/>
      <c r="E361" s="5"/>
      <c r="I361" s="7"/>
    </row>
    <row r="362" spans="4:9">
      <c r="D362" s="5"/>
      <c r="E362" s="5"/>
      <c r="I362" s="7"/>
    </row>
    <row r="363" spans="4:9">
      <c r="D363" s="5"/>
      <c r="E363" s="5"/>
      <c r="I363" s="7"/>
    </row>
    <row r="364" spans="4:9">
      <c r="D364" s="5"/>
      <c r="E364" s="5"/>
      <c r="I364" s="7"/>
    </row>
    <row r="365" spans="4:9">
      <c r="D365" s="5"/>
      <c r="E365" s="5"/>
      <c r="I365" s="7"/>
    </row>
    <row r="366" spans="4:9">
      <c r="D366" s="5"/>
      <c r="E366" s="5"/>
      <c r="I366" s="7"/>
    </row>
    <row r="367" spans="4:9">
      <c r="D367" s="5"/>
      <c r="E367" s="5"/>
      <c r="I367" s="7"/>
    </row>
    <row r="368" spans="4:9">
      <c r="D368" s="5"/>
      <c r="E368" s="5"/>
      <c r="I368" s="7"/>
    </row>
    <row r="369" spans="4:9">
      <c r="D369" s="5"/>
      <c r="E369" s="5"/>
      <c r="I369" s="7"/>
    </row>
    <row r="370" spans="4:9">
      <c r="D370" s="5"/>
      <c r="E370" s="5"/>
      <c r="I370" s="7"/>
    </row>
    <row r="371" spans="4:9">
      <c r="D371" s="5"/>
      <c r="E371" s="5"/>
      <c r="I371" s="7"/>
    </row>
    <row r="372" spans="4:9">
      <c r="D372" s="5"/>
      <c r="E372" s="5"/>
      <c r="I372" s="7"/>
    </row>
    <row r="373" spans="4:9">
      <c r="D373" s="5"/>
      <c r="E373" s="5"/>
      <c r="I373" s="7"/>
    </row>
    <row r="374" spans="4:9">
      <c r="D374" s="5"/>
      <c r="E374" s="5"/>
      <c r="I374" s="7"/>
    </row>
    <row r="375" spans="4:9">
      <c r="D375" s="5"/>
      <c r="E375" s="5"/>
      <c r="I375" s="7"/>
    </row>
    <row r="376" spans="4:9">
      <c r="D376" s="5"/>
      <c r="E376" s="5"/>
      <c r="I376" s="7"/>
    </row>
    <row r="377" spans="4:9">
      <c r="D377" s="5"/>
      <c r="E377" s="5"/>
      <c r="I377" s="7"/>
    </row>
    <row r="378" spans="4:9">
      <c r="D378" s="5"/>
      <c r="E378" s="5"/>
      <c r="I378" s="7"/>
    </row>
    <row r="379" spans="4:9">
      <c r="D379" s="5"/>
      <c r="E379" s="5"/>
      <c r="I379" s="7"/>
    </row>
    <row r="380" spans="4:9">
      <c r="D380" s="5"/>
      <c r="E380" s="5"/>
      <c r="I380" s="7"/>
    </row>
    <row r="381" spans="4:9">
      <c r="D381" s="5"/>
      <c r="E381" s="5"/>
      <c r="I381" s="7"/>
    </row>
    <row r="382" spans="4:9">
      <c r="D382" s="5"/>
      <c r="E382" s="5"/>
      <c r="I382" s="7"/>
    </row>
    <row r="383" spans="4:9">
      <c r="D383" s="5"/>
      <c r="E383" s="5"/>
      <c r="I383" s="7"/>
    </row>
    <row r="384" spans="4:9">
      <c r="D384" s="5"/>
      <c r="E384" s="5"/>
      <c r="I384" s="7"/>
    </row>
    <row r="385" spans="4:9">
      <c r="D385" s="5"/>
      <c r="E385" s="5"/>
      <c r="I385" s="7"/>
    </row>
    <row r="386" spans="4:9">
      <c r="D386" s="5"/>
      <c r="E386" s="5"/>
      <c r="I386" s="7"/>
    </row>
    <row r="387" spans="4:9">
      <c r="D387" s="5"/>
      <c r="E387" s="5"/>
      <c r="I387" s="7"/>
    </row>
    <row r="388" spans="4:9">
      <c r="D388" s="5"/>
      <c r="E388" s="5"/>
      <c r="I388" s="7"/>
    </row>
    <row r="389" spans="4:9">
      <c r="D389" s="5"/>
      <c r="E389" s="5"/>
      <c r="I389" s="7"/>
    </row>
    <row r="390" spans="4:9">
      <c r="D390" s="5"/>
      <c r="E390" s="5"/>
      <c r="I390" s="7"/>
    </row>
    <row r="391" spans="4:9">
      <c r="D391" s="5"/>
      <c r="E391" s="5"/>
      <c r="I391" s="7"/>
    </row>
    <row r="392" spans="4:9">
      <c r="D392" s="5"/>
      <c r="E392" s="5"/>
      <c r="I392" s="7"/>
    </row>
    <row r="393" spans="4:9">
      <c r="D393" s="5"/>
      <c r="E393" s="5"/>
      <c r="I393" s="7"/>
    </row>
    <row r="394" spans="4:9">
      <c r="D394" s="5"/>
      <c r="E394" s="5"/>
      <c r="I394" s="7"/>
    </row>
    <row r="395" spans="4:9">
      <c r="D395" s="5"/>
      <c r="E395" s="5"/>
      <c r="I395" s="7"/>
    </row>
    <row r="396" spans="4:9">
      <c r="D396" s="5"/>
      <c r="E396" s="5"/>
      <c r="I396" s="7"/>
    </row>
    <row r="397" spans="4:9">
      <c r="D397" s="5"/>
      <c r="E397" s="5"/>
      <c r="I397" s="7"/>
    </row>
    <row r="398" spans="4:9">
      <c r="D398" s="5"/>
      <c r="E398" s="5"/>
      <c r="I398" s="7"/>
    </row>
    <row r="399" spans="4:9">
      <c r="D399" s="5"/>
      <c r="E399" s="5"/>
      <c r="I399" s="7"/>
    </row>
    <row r="400" spans="4:9">
      <c r="D400" s="5"/>
      <c r="E400" s="5"/>
      <c r="I400" s="7"/>
    </row>
    <row r="401" spans="4:9">
      <c r="D401" s="5"/>
      <c r="E401" s="5"/>
      <c r="I401" s="7"/>
    </row>
    <row r="402" spans="4:9">
      <c r="D402" s="5"/>
      <c r="E402" s="5"/>
      <c r="I402" s="7"/>
    </row>
    <row r="403" spans="4:9">
      <c r="D403" s="5"/>
      <c r="E403" s="5"/>
      <c r="I403" s="7"/>
    </row>
    <row r="404" spans="4:9">
      <c r="D404" s="5"/>
      <c r="E404" s="5"/>
      <c r="I404" s="7"/>
    </row>
    <row r="405" spans="4:9">
      <c r="D405" s="5"/>
      <c r="E405" s="5"/>
      <c r="I405" s="7"/>
    </row>
    <row r="406" spans="4:9">
      <c r="D406" s="5"/>
      <c r="E406" s="5"/>
      <c r="I406" s="7"/>
    </row>
    <row r="407" spans="4:9">
      <c r="D407" s="5"/>
      <c r="E407" s="5"/>
      <c r="I407" s="7"/>
    </row>
    <row r="408" spans="4:9">
      <c r="D408" s="5"/>
      <c r="E408" s="5"/>
      <c r="I408" s="7"/>
    </row>
    <row r="409" spans="4:9">
      <c r="D409" s="5"/>
      <c r="E409" s="5"/>
      <c r="I409" s="7"/>
    </row>
    <row r="410" spans="4:9">
      <c r="D410" s="5"/>
      <c r="E410" s="5"/>
      <c r="I410" s="7"/>
    </row>
    <row r="411" spans="4:9">
      <c r="D411" s="5"/>
      <c r="E411" s="5"/>
      <c r="I411" s="7"/>
    </row>
    <row r="412" spans="4:9">
      <c r="D412" s="5"/>
      <c r="E412" s="5"/>
      <c r="I412" s="7"/>
    </row>
    <row r="413" spans="4:9">
      <c r="D413" s="5"/>
      <c r="E413" s="5"/>
      <c r="I413" s="7"/>
    </row>
    <row r="414" spans="4:9">
      <c r="D414" s="5"/>
      <c r="E414" s="5"/>
      <c r="I414" s="7"/>
    </row>
    <row r="415" spans="4:9">
      <c r="D415" s="5"/>
      <c r="E415" s="5"/>
      <c r="I415" s="7"/>
    </row>
    <row r="416" spans="4:9">
      <c r="D416" s="5"/>
      <c r="E416" s="5"/>
      <c r="I416" s="7"/>
    </row>
    <row r="417" spans="4:9">
      <c r="D417" s="5"/>
      <c r="E417" s="5"/>
      <c r="I417" s="7"/>
    </row>
    <row r="418" spans="4:9">
      <c r="D418" s="5"/>
      <c r="E418" s="5"/>
      <c r="I418" s="7"/>
    </row>
    <row r="419" spans="4:9">
      <c r="D419" s="5"/>
      <c r="E419" s="5"/>
      <c r="I419" s="7"/>
    </row>
    <row r="420" spans="4:9">
      <c r="D420" s="5"/>
      <c r="E420" s="5"/>
      <c r="I420" s="7"/>
    </row>
    <row r="421" spans="4:9">
      <c r="D421" s="5"/>
      <c r="E421" s="5"/>
      <c r="I421" s="7"/>
    </row>
    <row r="422" spans="4:9">
      <c r="D422" s="5"/>
      <c r="E422" s="5"/>
      <c r="I422" s="7"/>
    </row>
    <row r="423" spans="4:9">
      <c r="D423" s="5"/>
      <c r="E423" s="5"/>
      <c r="I423" s="7"/>
    </row>
    <row r="424" spans="4:9">
      <c r="D424" s="5"/>
      <c r="E424" s="5"/>
      <c r="I424" s="7"/>
    </row>
    <row r="425" spans="4:9">
      <c r="D425" s="5"/>
      <c r="E425" s="5"/>
      <c r="I425" s="7"/>
    </row>
    <row r="426" spans="4:9">
      <c r="D426" s="5"/>
      <c r="E426" s="5"/>
      <c r="I426" s="7"/>
    </row>
    <row r="427" spans="4:9">
      <c r="D427" s="5"/>
      <c r="E427" s="5"/>
      <c r="I427" s="7"/>
    </row>
    <row r="428" spans="4:9">
      <c r="D428" s="5"/>
      <c r="E428" s="5"/>
      <c r="I428" s="7"/>
    </row>
    <row r="429" spans="4:9">
      <c r="D429" s="5"/>
      <c r="E429" s="5"/>
      <c r="I429" s="7"/>
    </row>
    <row r="430" spans="4:9">
      <c r="D430" s="5"/>
      <c r="E430" s="5"/>
      <c r="I430" s="7"/>
    </row>
    <row r="431" spans="4:9">
      <c r="D431" s="5"/>
      <c r="E431" s="5"/>
      <c r="I431" s="7"/>
    </row>
    <row r="432" spans="4:9">
      <c r="D432" s="5"/>
      <c r="E432" s="5"/>
      <c r="I432" s="7"/>
    </row>
    <row r="433" spans="4:9">
      <c r="D433" s="5"/>
      <c r="E433" s="5"/>
      <c r="I433" s="7"/>
    </row>
    <row r="434" spans="4:9">
      <c r="D434" s="5"/>
      <c r="E434" s="5"/>
      <c r="I434" s="7"/>
    </row>
    <row r="435" spans="4:9">
      <c r="D435" s="5"/>
      <c r="E435" s="5"/>
      <c r="I435" s="7"/>
    </row>
    <row r="436" spans="4:9">
      <c r="D436" s="5"/>
      <c r="E436" s="5"/>
      <c r="I436" s="7"/>
    </row>
    <row r="437" spans="4:9">
      <c r="D437" s="5"/>
      <c r="E437" s="5"/>
      <c r="I437" s="7"/>
    </row>
    <row r="438" spans="4:9">
      <c r="D438" s="5"/>
      <c r="E438" s="5"/>
      <c r="I438" s="7"/>
    </row>
    <row r="439" spans="4:9">
      <c r="D439" s="5"/>
      <c r="E439" s="5"/>
      <c r="I439" s="7"/>
    </row>
    <row r="440" spans="4:9">
      <c r="D440" s="5"/>
      <c r="E440" s="5"/>
      <c r="I440" s="7"/>
    </row>
    <row r="441" spans="4:9">
      <c r="D441" s="5"/>
      <c r="E441" s="5"/>
      <c r="I441" s="7"/>
    </row>
    <row r="442" spans="4:9">
      <c r="D442" s="5"/>
      <c r="E442" s="5"/>
      <c r="I442" s="7"/>
    </row>
    <row r="443" spans="4:9">
      <c r="D443" s="5"/>
      <c r="E443" s="5"/>
      <c r="I443" s="7"/>
    </row>
    <row r="444" spans="4:9">
      <c r="D444" s="5"/>
      <c r="E444" s="5"/>
      <c r="I444" s="7"/>
    </row>
    <row r="445" spans="4:9">
      <c r="D445" s="5"/>
      <c r="E445" s="5"/>
      <c r="I445" s="7"/>
    </row>
    <row r="446" spans="4:9">
      <c r="D446" s="5"/>
      <c r="E446" s="5"/>
      <c r="I446" s="7"/>
    </row>
    <row r="447" spans="4:9">
      <c r="D447" s="5"/>
      <c r="E447" s="5"/>
      <c r="I447" s="7"/>
    </row>
    <row r="448" spans="4:9">
      <c r="D448" s="5"/>
      <c r="E448" s="5"/>
      <c r="I448" s="7"/>
    </row>
    <row r="449" spans="4:9">
      <c r="D449" s="5"/>
      <c r="E449" s="5"/>
      <c r="I449" s="7"/>
    </row>
    <row r="450" spans="4:9">
      <c r="D450" s="5"/>
      <c r="E450" s="5"/>
      <c r="I450" s="7"/>
    </row>
    <row r="451" spans="4:9">
      <c r="D451" s="5"/>
      <c r="E451" s="5"/>
      <c r="I451" s="7"/>
    </row>
    <row r="452" spans="4:9">
      <c r="D452" s="5"/>
      <c r="E452" s="5"/>
      <c r="I452" s="7"/>
    </row>
    <row r="453" spans="4:9">
      <c r="D453" s="5"/>
      <c r="E453" s="5"/>
      <c r="I453" s="7"/>
    </row>
    <row r="454" spans="4:9">
      <c r="D454" s="5"/>
      <c r="E454" s="5"/>
      <c r="I454" s="7"/>
    </row>
    <row r="455" spans="4:9">
      <c r="D455" s="5"/>
      <c r="E455" s="5"/>
      <c r="I455" s="7"/>
    </row>
    <row r="456" spans="4:9">
      <c r="D456" s="5"/>
      <c r="E456" s="5"/>
      <c r="I456" s="7"/>
    </row>
    <row r="457" spans="4:9">
      <c r="D457" s="5"/>
      <c r="E457" s="5"/>
      <c r="I457" s="7"/>
    </row>
    <row r="458" spans="4:9">
      <c r="D458" s="5"/>
      <c r="E458" s="5"/>
      <c r="I458" s="7"/>
    </row>
    <row r="459" spans="4:9">
      <c r="D459" s="5"/>
      <c r="E459" s="5"/>
      <c r="I459" s="7"/>
    </row>
    <row r="460" spans="4:9">
      <c r="D460" s="5"/>
      <c r="E460" s="5"/>
      <c r="I460" s="7"/>
    </row>
    <row r="461" spans="4:9">
      <c r="D461" s="5"/>
      <c r="E461" s="5"/>
      <c r="I461" s="7"/>
    </row>
    <row r="462" spans="4:9">
      <c r="D462" s="5"/>
      <c r="E462" s="5"/>
      <c r="I462" s="7"/>
    </row>
    <row r="463" spans="4:9">
      <c r="D463" s="5"/>
      <c r="E463" s="5"/>
      <c r="I463" s="7"/>
    </row>
    <row r="464" spans="4:9">
      <c r="D464" s="5"/>
      <c r="E464" s="5"/>
      <c r="I464" s="7"/>
    </row>
    <row r="465" spans="4:9">
      <c r="D465" s="5"/>
      <c r="E465" s="5"/>
      <c r="I465" s="7"/>
    </row>
    <row r="466" spans="4:9">
      <c r="D466" s="5"/>
      <c r="E466" s="5"/>
      <c r="I466" s="7"/>
    </row>
    <row r="467" spans="4:9">
      <c r="D467" s="5"/>
      <c r="E467" s="5"/>
      <c r="I467" s="7"/>
    </row>
    <row r="468" spans="4:9">
      <c r="D468" s="5"/>
      <c r="E468" s="5"/>
      <c r="I468" s="7"/>
    </row>
    <row r="469" spans="4:9">
      <c r="D469" s="5"/>
      <c r="E469" s="5"/>
      <c r="I469" s="7"/>
    </row>
    <row r="470" spans="4:9">
      <c r="D470" s="5"/>
      <c r="E470" s="5"/>
      <c r="I470" s="7"/>
    </row>
    <row r="471" spans="4:9">
      <c r="D471" s="5"/>
      <c r="E471" s="5"/>
      <c r="I471" s="7"/>
    </row>
    <row r="472" spans="4:9">
      <c r="D472" s="5"/>
      <c r="E472" s="5"/>
      <c r="I472" s="7"/>
    </row>
    <row r="473" spans="4:9">
      <c r="D473" s="5"/>
      <c r="E473" s="5"/>
      <c r="I473" s="7"/>
    </row>
    <row r="474" spans="4:9">
      <c r="D474" s="5"/>
      <c r="E474" s="5"/>
      <c r="I474" s="7"/>
    </row>
    <row r="475" spans="4:9">
      <c r="D475" s="5"/>
      <c r="E475" s="5"/>
      <c r="I475" s="7"/>
    </row>
    <row r="476" spans="4:9">
      <c r="D476" s="5"/>
      <c r="E476" s="5"/>
      <c r="I476" s="7"/>
    </row>
    <row r="477" spans="4:9">
      <c r="D477" s="5"/>
      <c r="E477" s="5"/>
      <c r="I477" s="7"/>
    </row>
    <row r="478" spans="4:9">
      <c r="D478" s="5"/>
      <c r="E478" s="5"/>
      <c r="I478" s="7"/>
    </row>
    <row r="479" spans="4:9">
      <c r="D479" s="5"/>
      <c r="E479" s="5"/>
      <c r="I479" s="7"/>
    </row>
    <row r="480" spans="4:9">
      <c r="D480" s="5"/>
      <c r="E480" s="5"/>
      <c r="I480" s="7"/>
    </row>
    <row r="481" spans="4:9">
      <c r="D481" s="5"/>
      <c r="E481" s="5"/>
      <c r="I481" s="7"/>
    </row>
    <row r="482" spans="4:9">
      <c r="D482" s="5"/>
      <c r="E482" s="5"/>
      <c r="I482" s="7"/>
    </row>
    <row r="483" spans="4:9">
      <c r="D483" s="5"/>
      <c r="E483" s="5"/>
      <c r="I483" s="7"/>
    </row>
    <row r="484" spans="4:9">
      <c r="D484" s="5"/>
      <c r="E484" s="5"/>
      <c r="I484" s="7"/>
    </row>
    <row r="485" spans="4:9">
      <c r="D485" s="5"/>
      <c r="E485" s="5"/>
      <c r="I485" s="7"/>
    </row>
    <row r="486" spans="4:9">
      <c r="D486" s="5"/>
      <c r="E486" s="5"/>
      <c r="I486" s="7"/>
    </row>
    <row r="487" spans="4:9">
      <c r="D487" s="5"/>
      <c r="E487" s="5"/>
      <c r="I487" s="7"/>
    </row>
    <row r="488" spans="4:9">
      <c r="D488" s="5"/>
      <c r="E488" s="5"/>
      <c r="I488" s="7"/>
    </row>
    <row r="489" spans="4:9">
      <c r="D489" s="5"/>
      <c r="E489" s="5"/>
      <c r="I489" s="7"/>
    </row>
    <row r="490" spans="4:9">
      <c r="D490" s="5"/>
      <c r="E490" s="5"/>
      <c r="I490" s="7"/>
    </row>
    <row r="491" spans="4:9">
      <c r="D491" s="5"/>
      <c r="E491" s="5"/>
      <c r="I491" s="7"/>
    </row>
    <row r="492" spans="4:9">
      <c r="D492" s="5"/>
      <c r="E492" s="5"/>
      <c r="I492" s="7"/>
    </row>
    <row r="493" spans="4:9">
      <c r="D493" s="5"/>
      <c r="E493" s="5"/>
      <c r="I493" s="7"/>
    </row>
    <row r="494" spans="4:9">
      <c r="D494" s="5"/>
      <c r="E494" s="5"/>
      <c r="I494" s="7"/>
    </row>
    <row r="495" spans="4:9">
      <c r="D495" s="5"/>
      <c r="E495" s="5"/>
      <c r="I495" s="7"/>
    </row>
    <row r="496" spans="4:9">
      <c r="D496" s="5"/>
      <c r="E496" s="5"/>
      <c r="I496" s="7"/>
    </row>
    <row r="497" spans="4:9">
      <c r="D497" s="5"/>
      <c r="E497" s="5"/>
      <c r="I497" s="7"/>
    </row>
    <row r="498" spans="4:9">
      <c r="D498" s="5"/>
      <c r="E498" s="5"/>
      <c r="I498" s="7"/>
    </row>
    <row r="499" spans="4:9">
      <c r="D499" s="5"/>
      <c r="E499" s="5"/>
      <c r="I499" s="7"/>
    </row>
    <row r="500" spans="4:9">
      <c r="D500" s="5"/>
      <c r="E500" s="5"/>
      <c r="I500" s="7"/>
    </row>
  </sheetData>
  <phoneticPr fontId="6"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xr:uid="{00000000-0002-0000-0600-000000000000}">
          <x14:formula1>
            <xm:f>Lists!$D$2:$D$11</xm:f>
          </x14:formula1>
          <xm:sqref>C2:C500</xm:sqref>
        </x14:dataValidation>
        <x14:dataValidation type="list" xr:uid="{00000000-0002-0000-0600-000001000000}">
          <x14:formula1>
            <xm:f>Lists!$J$2:$J$7</xm:f>
          </x14:formula1>
          <xm:sqref>F2:F500</xm:sqref>
        </x14:dataValidation>
        <x14:dataValidation type="list" xr:uid="{00000000-0002-0000-0600-000002000000}">
          <x14:formula1>
            <xm:f>Lists!$L$2:$L$3</xm:f>
          </x14:formula1>
          <xm:sqref>G2:G500</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500"/>
  <sheetViews>
    <sheetView topLeftCell="A67" workbookViewId="0">
      <selection activeCell="A2" sqref="A2:A100"/>
    </sheetView>
  </sheetViews>
  <sheetFormatPr defaultRowHeight="14.25"/>
  <cols>
    <col min="1" max="1" width="14" customWidth="1"/>
    <col min="2" max="3" width="28" customWidth="1"/>
    <col min="4" max="9" width="14" customWidth="1"/>
    <col min="10" max="10" width="28" customWidth="1"/>
  </cols>
  <sheetData>
    <row r="1" spans="1:10" ht="32.1" customHeight="1">
      <c r="A1" s="2" t="s">
        <v>148</v>
      </c>
      <c r="B1" s="2" t="s">
        <v>31</v>
      </c>
      <c r="C1" s="2" t="s">
        <v>123</v>
      </c>
      <c r="D1" s="2" t="s">
        <v>149</v>
      </c>
      <c r="E1" s="2" t="s">
        <v>150</v>
      </c>
      <c r="F1" s="2" t="s">
        <v>151</v>
      </c>
      <c r="G1" s="2" t="s">
        <v>152</v>
      </c>
      <c r="H1" s="2" t="s">
        <v>153</v>
      </c>
      <c r="I1" s="2" t="s">
        <v>154</v>
      </c>
      <c r="J1" s="2" t="s">
        <v>155</v>
      </c>
    </row>
    <row r="2" spans="1:10" ht="28.5">
      <c r="A2" s="3" t="s">
        <v>156</v>
      </c>
      <c r="B2" s="3" t="s">
        <v>54</v>
      </c>
      <c r="C2" s="3" t="s">
        <v>100</v>
      </c>
      <c r="D2" s="6">
        <v>15000</v>
      </c>
      <c r="E2" s="6">
        <v>15000</v>
      </c>
      <c r="F2" s="4">
        <v>46266</v>
      </c>
      <c r="G2" s="6">
        <v>0</v>
      </c>
      <c r="H2" s="3" t="s">
        <v>157</v>
      </c>
      <c r="I2" s="6">
        <v>0</v>
      </c>
      <c r="J2" s="3" t="s">
        <v>158</v>
      </c>
    </row>
    <row r="3" spans="1:10">
      <c r="A3" s="3" t="s">
        <v>774</v>
      </c>
      <c r="B3" s="3"/>
      <c r="C3" s="3"/>
      <c r="D3" s="6"/>
      <c r="E3" s="6"/>
      <c r="F3" s="4"/>
      <c r="G3" s="6"/>
      <c r="H3" s="3"/>
      <c r="I3" s="6"/>
      <c r="J3" s="3"/>
    </row>
    <row r="4" spans="1:10">
      <c r="A4" s="3" t="s">
        <v>775</v>
      </c>
      <c r="B4" s="3"/>
      <c r="C4" s="3"/>
      <c r="D4" s="6"/>
      <c r="E4" s="6"/>
      <c r="F4" s="4"/>
      <c r="G4" s="6"/>
      <c r="H4" s="3"/>
      <c r="I4" s="6"/>
      <c r="J4" s="3"/>
    </row>
    <row r="5" spans="1:10">
      <c r="A5" s="3" t="s">
        <v>776</v>
      </c>
      <c r="B5" s="3"/>
      <c r="C5" s="3"/>
      <c r="D5" s="6"/>
      <c r="E5" s="6"/>
      <c r="F5" s="4"/>
      <c r="G5" s="6"/>
      <c r="H5" s="3"/>
      <c r="I5" s="6"/>
      <c r="J5" s="3"/>
    </row>
    <row r="6" spans="1:10">
      <c r="A6" s="3" t="s">
        <v>777</v>
      </c>
      <c r="B6" s="3"/>
      <c r="C6" s="3"/>
      <c r="D6" s="6"/>
      <c r="E6" s="6"/>
      <c r="F6" s="4"/>
      <c r="G6" s="6"/>
      <c r="H6" s="3"/>
      <c r="I6" s="6"/>
      <c r="J6" s="3"/>
    </row>
    <row r="7" spans="1:10">
      <c r="A7" s="3" t="s">
        <v>778</v>
      </c>
      <c r="B7" s="3"/>
      <c r="C7" s="3"/>
      <c r="D7" s="6"/>
      <c r="E7" s="6"/>
      <c r="F7" s="4"/>
      <c r="G7" s="6"/>
      <c r="H7" s="3"/>
      <c r="I7" s="6"/>
      <c r="J7" s="3"/>
    </row>
    <row r="8" spans="1:10">
      <c r="A8" s="3" t="s">
        <v>779</v>
      </c>
      <c r="B8" s="3"/>
      <c r="C8" s="3"/>
      <c r="D8" s="6"/>
      <c r="E8" s="6"/>
      <c r="F8" s="4"/>
      <c r="G8" s="6"/>
      <c r="H8" s="3"/>
      <c r="I8" s="6"/>
      <c r="J8" s="3"/>
    </row>
    <row r="9" spans="1:10">
      <c r="A9" s="3" t="s">
        <v>780</v>
      </c>
      <c r="B9" s="3"/>
      <c r="C9" s="3"/>
      <c r="D9" s="6"/>
      <c r="E9" s="6"/>
      <c r="F9" s="4"/>
      <c r="G9" s="6"/>
      <c r="H9" s="3"/>
      <c r="I9" s="6"/>
      <c r="J9" s="3"/>
    </row>
    <row r="10" spans="1:10">
      <c r="A10" s="3" t="s">
        <v>781</v>
      </c>
      <c r="B10" s="3"/>
      <c r="C10" s="3"/>
      <c r="D10" s="6"/>
      <c r="E10" s="6"/>
      <c r="F10" s="4"/>
      <c r="G10" s="6"/>
      <c r="H10" s="3"/>
      <c r="I10" s="6"/>
      <c r="J10" s="3"/>
    </row>
    <row r="11" spans="1:10">
      <c r="A11" s="3" t="s">
        <v>782</v>
      </c>
      <c r="B11" s="3"/>
      <c r="C11" s="3"/>
      <c r="D11" s="6"/>
      <c r="E11" s="6"/>
      <c r="F11" s="4"/>
      <c r="G11" s="6"/>
      <c r="H11" s="3"/>
      <c r="I11" s="6"/>
      <c r="J11" s="3"/>
    </row>
    <row r="12" spans="1:10">
      <c r="A12" s="3" t="s">
        <v>783</v>
      </c>
      <c r="B12" s="3"/>
      <c r="C12" s="3"/>
      <c r="D12" s="6"/>
      <c r="E12" s="6"/>
      <c r="F12" s="4"/>
      <c r="G12" s="6"/>
      <c r="H12" s="3"/>
      <c r="I12" s="6"/>
      <c r="J12" s="3"/>
    </row>
    <row r="13" spans="1:10">
      <c r="A13" s="3" t="s">
        <v>784</v>
      </c>
      <c r="B13" s="3"/>
      <c r="C13" s="3"/>
      <c r="D13" s="6"/>
      <c r="E13" s="6"/>
      <c r="F13" s="4"/>
      <c r="G13" s="6"/>
      <c r="H13" s="3"/>
      <c r="I13" s="6"/>
      <c r="J13" s="3"/>
    </row>
    <row r="14" spans="1:10">
      <c r="A14" s="3" t="s">
        <v>785</v>
      </c>
      <c r="B14" s="3"/>
      <c r="C14" s="3"/>
      <c r="D14" s="6"/>
      <c r="E14" s="6"/>
      <c r="F14" s="4"/>
      <c r="G14" s="6"/>
      <c r="H14" s="3"/>
      <c r="I14" s="6"/>
      <c r="J14" s="3"/>
    </row>
    <row r="15" spans="1:10">
      <c r="A15" s="3" t="s">
        <v>786</v>
      </c>
      <c r="B15" s="3"/>
      <c r="C15" s="3"/>
      <c r="D15" s="6"/>
      <c r="E15" s="6"/>
      <c r="F15" s="4"/>
      <c r="G15" s="6"/>
      <c r="H15" s="3"/>
      <c r="I15" s="6"/>
      <c r="J15" s="3"/>
    </row>
    <row r="16" spans="1:10">
      <c r="A16" s="3" t="s">
        <v>787</v>
      </c>
      <c r="B16" s="3"/>
      <c r="C16" s="3"/>
      <c r="D16" s="6"/>
      <c r="E16" s="6"/>
      <c r="F16" s="4"/>
      <c r="G16" s="6"/>
      <c r="H16" s="3"/>
      <c r="I16" s="6"/>
      <c r="J16" s="3"/>
    </row>
    <row r="17" spans="1:10">
      <c r="A17" s="3" t="s">
        <v>788</v>
      </c>
      <c r="B17" s="3"/>
      <c r="C17" s="3"/>
      <c r="D17" s="6"/>
      <c r="E17" s="6"/>
      <c r="F17" s="4"/>
      <c r="G17" s="6"/>
      <c r="H17" s="3"/>
      <c r="I17" s="6"/>
      <c r="J17" s="3"/>
    </row>
    <row r="18" spans="1:10">
      <c r="A18" s="3" t="s">
        <v>789</v>
      </c>
      <c r="B18" s="3"/>
      <c r="C18" s="3"/>
      <c r="D18" s="6"/>
      <c r="E18" s="6"/>
      <c r="F18" s="4"/>
      <c r="G18" s="6"/>
      <c r="H18" s="3"/>
      <c r="I18" s="6"/>
      <c r="J18" s="3"/>
    </row>
    <row r="19" spans="1:10">
      <c r="A19" s="3" t="s">
        <v>790</v>
      </c>
      <c r="B19" s="3"/>
      <c r="C19" s="3"/>
      <c r="D19" s="6"/>
      <c r="E19" s="6"/>
      <c r="F19" s="4"/>
      <c r="G19" s="6"/>
      <c r="H19" s="3"/>
      <c r="I19" s="6"/>
      <c r="J19" s="3"/>
    </row>
    <row r="20" spans="1:10">
      <c r="A20" s="3" t="s">
        <v>791</v>
      </c>
      <c r="B20" s="3"/>
      <c r="C20" s="3"/>
      <c r="D20" s="6"/>
      <c r="E20" s="6"/>
      <c r="F20" s="4"/>
      <c r="G20" s="6"/>
      <c r="H20" s="3"/>
      <c r="I20" s="6"/>
      <c r="J20" s="3"/>
    </row>
    <row r="21" spans="1:10">
      <c r="A21" s="3" t="s">
        <v>792</v>
      </c>
      <c r="B21" s="3"/>
      <c r="C21" s="3"/>
      <c r="D21" s="6"/>
      <c r="E21" s="6"/>
      <c r="F21" s="4"/>
      <c r="G21" s="6"/>
      <c r="H21" s="3"/>
      <c r="I21" s="6"/>
      <c r="J21" s="3"/>
    </row>
    <row r="22" spans="1:10">
      <c r="A22" s="3" t="s">
        <v>793</v>
      </c>
      <c r="B22" s="3"/>
      <c r="C22" s="3"/>
      <c r="D22" s="6"/>
      <c r="E22" s="6"/>
      <c r="F22" s="4"/>
      <c r="G22" s="6"/>
      <c r="H22" s="3"/>
      <c r="I22" s="6"/>
      <c r="J22" s="3"/>
    </row>
    <row r="23" spans="1:10">
      <c r="A23" s="3" t="s">
        <v>794</v>
      </c>
      <c r="B23" s="3"/>
      <c r="C23" s="3"/>
      <c r="D23" s="6"/>
      <c r="E23" s="6"/>
      <c r="F23" s="4"/>
      <c r="G23" s="6"/>
      <c r="H23" s="3"/>
      <c r="I23" s="6"/>
      <c r="J23" s="3"/>
    </row>
    <row r="24" spans="1:10">
      <c r="A24" s="3" t="s">
        <v>795</v>
      </c>
      <c r="B24" s="3"/>
      <c r="C24" s="3"/>
      <c r="D24" s="6"/>
      <c r="E24" s="6"/>
      <c r="F24" s="4"/>
      <c r="G24" s="6"/>
      <c r="H24" s="3"/>
      <c r="I24" s="6"/>
      <c r="J24" s="3"/>
    </row>
    <row r="25" spans="1:10">
      <c r="A25" s="3" t="s">
        <v>796</v>
      </c>
      <c r="B25" s="3"/>
      <c r="C25" s="3"/>
      <c r="D25" s="6"/>
      <c r="E25" s="6"/>
      <c r="F25" s="4"/>
      <c r="G25" s="6"/>
      <c r="H25" s="3"/>
      <c r="I25" s="6"/>
      <c r="J25" s="3"/>
    </row>
    <row r="26" spans="1:10">
      <c r="A26" s="3" t="s">
        <v>797</v>
      </c>
      <c r="B26" s="3"/>
      <c r="C26" s="3"/>
      <c r="D26" s="6"/>
      <c r="E26" s="6"/>
      <c r="F26" s="4"/>
      <c r="G26" s="6"/>
      <c r="H26" s="3"/>
      <c r="I26" s="6"/>
      <c r="J26" s="3"/>
    </row>
    <row r="27" spans="1:10">
      <c r="A27" s="3" t="s">
        <v>798</v>
      </c>
      <c r="B27" s="3"/>
      <c r="C27" s="3"/>
      <c r="D27" s="6"/>
      <c r="E27" s="6"/>
      <c r="F27" s="4"/>
      <c r="G27" s="6"/>
      <c r="H27" s="3"/>
      <c r="I27" s="6"/>
      <c r="J27" s="3"/>
    </row>
    <row r="28" spans="1:10">
      <c r="A28" s="3" t="s">
        <v>799</v>
      </c>
      <c r="B28" s="3"/>
      <c r="C28" s="3"/>
      <c r="D28" s="6"/>
      <c r="E28" s="6"/>
      <c r="F28" s="4"/>
      <c r="G28" s="6"/>
      <c r="H28" s="3"/>
      <c r="I28" s="6"/>
      <c r="J28" s="3"/>
    </row>
    <row r="29" spans="1:10">
      <c r="A29" s="3" t="s">
        <v>800</v>
      </c>
      <c r="B29" s="3"/>
      <c r="C29" s="3"/>
      <c r="D29" s="6"/>
      <c r="E29" s="6"/>
      <c r="F29" s="4"/>
      <c r="G29" s="6"/>
      <c r="H29" s="3"/>
      <c r="I29" s="6"/>
      <c r="J29" s="3"/>
    </row>
    <row r="30" spans="1:10">
      <c r="A30" s="3" t="s">
        <v>801</v>
      </c>
      <c r="B30" s="3"/>
      <c r="C30" s="3"/>
      <c r="D30" s="6"/>
      <c r="E30" s="6"/>
      <c r="F30" s="4"/>
      <c r="G30" s="6"/>
      <c r="H30" s="3"/>
      <c r="I30" s="6"/>
      <c r="J30" s="3"/>
    </row>
    <row r="31" spans="1:10">
      <c r="A31" s="3" t="s">
        <v>802</v>
      </c>
      <c r="B31" s="3"/>
      <c r="C31" s="3"/>
      <c r="D31" s="6"/>
      <c r="E31" s="6"/>
      <c r="F31" s="4"/>
      <c r="G31" s="6"/>
      <c r="H31" s="3"/>
      <c r="I31" s="6"/>
      <c r="J31" s="3"/>
    </row>
    <row r="32" spans="1:10">
      <c r="A32" s="3" t="s">
        <v>803</v>
      </c>
      <c r="B32" s="3"/>
      <c r="C32" s="3"/>
      <c r="D32" s="6"/>
      <c r="E32" s="6"/>
      <c r="F32" s="4"/>
      <c r="G32" s="6"/>
      <c r="H32" s="3"/>
      <c r="I32" s="6"/>
      <c r="J32" s="3"/>
    </row>
    <row r="33" spans="1:10">
      <c r="A33" s="3" t="s">
        <v>804</v>
      </c>
      <c r="B33" s="3"/>
      <c r="C33" s="3"/>
      <c r="D33" s="6"/>
      <c r="E33" s="6"/>
      <c r="F33" s="4"/>
      <c r="G33" s="6"/>
      <c r="H33" s="3"/>
      <c r="I33" s="6"/>
      <c r="J33" s="3"/>
    </row>
    <row r="34" spans="1:10">
      <c r="A34" s="3" t="s">
        <v>805</v>
      </c>
      <c r="B34" s="3"/>
      <c r="C34" s="3"/>
      <c r="D34" s="6"/>
      <c r="E34" s="6"/>
      <c r="F34" s="4"/>
      <c r="G34" s="6"/>
      <c r="H34" s="3"/>
      <c r="I34" s="6"/>
      <c r="J34" s="3"/>
    </row>
    <row r="35" spans="1:10">
      <c r="A35" s="3" t="s">
        <v>806</v>
      </c>
      <c r="B35" s="3"/>
      <c r="C35" s="3"/>
      <c r="D35" s="6"/>
      <c r="E35" s="6"/>
      <c r="F35" s="4"/>
      <c r="G35" s="6"/>
      <c r="H35" s="3"/>
      <c r="I35" s="6"/>
      <c r="J35" s="3"/>
    </row>
    <row r="36" spans="1:10">
      <c r="A36" s="3" t="s">
        <v>807</v>
      </c>
      <c r="B36" s="3"/>
      <c r="C36" s="3"/>
      <c r="D36" s="6"/>
      <c r="E36" s="6"/>
      <c r="F36" s="4"/>
      <c r="G36" s="6"/>
      <c r="H36" s="3"/>
      <c r="I36" s="6"/>
      <c r="J36" s="3"/>
    </row>
    <row r="37" spans="1:10">
      <c r="A37" s="3" t="s">
        <v>808</v>
      </c>
      <c r="B37" s="3"/>
      <c r="C37" s="3"/>
      <c r="D37" s="6"/>
      <c r="E37" s="6"/>
      <c r="F37" s="4"/>
      <c r="G37" s="6"/>
      <c r="H37" s="3"/>
      <c r="I37" s="6"/>
      <c r="J37" s="3"/>
    </row>
    <row r="38" spans="1:10">
      <c r="A38" s="3" t="s">
        <v>809</v>
      </c>
      <c r="B38" s="3"/>
      <c r="C38" s="3"/>
      <c r="D38" s="6"/>
      <c r="E38" s="6"/>
      <c r="F38" s="4"/>
      <c r="G38" s="6"/>
      <c r="H38" s="3"/>
      <c r="I38" s="6"/>
      <c r="J38" s="3"/>
    </row>
    <row r="39" spans="1:10">
      <c r="A39" s="3" t="s">
        <v>810</v>
      </c>
      <c r="B39" s="3"/>
      <c r="C39" s="3"/>
      <c r="D39" s="6"/>
      <c r="E39" s="6"/>
      <c r="F39" s="4"/>
      <c r="G39" s="6"/>
      <c r="H39" s="3"/>
      <c r="I39" s="6"/>
      <c r="J39" s="3"/>
    </row>
    <row r="40" spans="1:10">
      <c r="A40" s="3" t="s">
        <v>811</v>
      </c>
      <c r="B40" s="3"/>
      <c r="C40" s="3"/>
      <c r="D40" s="6"/>
      <c r="E40" s="6"/>
      <c r="F40" s="4"/>
      <c r="G40" s="6"/>
      <c r="H40" s="3"/>
      <c r="I40" s="6"/>
      <c r="J40" s="3"/>
    </row>
    <row r="41" spans="1:10">
      <c r="A41" s="3" t="s">
        <v>812</v>
      </c>
      <c r="B41" s="3"/>
      <c r="C41" s="3"/>
      <c r="D41" s="6"/>
      <c r="E41" s="6"/>
      <c r="F41" s="4"/>
      <c r="G41" s="6"/>
      <c r="H41" s="3"/>
      <c r="I41" s="6"/>
      <c r="J41" s="3"/>
    </row>
    <row r="42" spans="1:10">
      <c r="A42" s="3" t="s">
        <v>813</v>
      </c>
      <c r="B42" s="3"/>
      <c r="C42" s="3"/>
      <c r="D42" s="6"/>
      <c r="E42" s="6"/>
      <c r="F42" s="4"/>
      <c r="G42" s="6"/>
      <c r="H42" s="3"/>
      <c r="I42" s="6"/>
      <c r="J42" s="3"/>
    </row>
    <row r="43" spans="1:10">
      <c r="A43" s="3" t="s">
        <v>814</v>
      </c>
      <c r="B43" s="3"/>
      <c r="C43" s="3"/>
      <c r="D43" s="6"/>
      <c r="E43" s="6"/>
      <c r="F43" s="4"/>
      <c r="G43" s="6"/>
      <c r="H43" s="3"/>
      <c r="I43" s="6"/>
      <c r="J43" s="3"/>
    </row>
    <row r="44" spans="1:10">
      <c r="A44" s="3" t="s">
        <v>815</v>
      </c>
      <c r="B44" s="3"/>
      <c r="C44" s="3"/>
      <c r="D44" s="6"/>
      <c r="E44" s="6"/>
      <c r="F44" s="4"/>
      <c r="G44" s="6"/>
      <c r="H44" s="3"/>
      <c r="I44" s="6"/>
      <c r="J44" s="3"/>
    </row>
    <row r="45" spans="1:10">
      <c r="A45" s="3" t="s">
        <v>816</v>
      </c>
      <c r="B45" s="3"/>
      <c r="C45" s="3"/>
      <c r="D45" s="6"/>
      <c r="E45" s="6"/>
      <c r="F45" s="4"/>
      <c r="G45" s="6"/>
      <c r="H45" s="3"/>
      <c r="I45" s="6"/>
      <c r="J45" s="3"/>
    </row>
    <row r="46" spans="1:10">
      <c r="A46" s="3" t="s">
        <v>817</v>
      </c>
      <c r="B46" s="3"/>
      <c r="C46" s="3"/>
      <c r="D46" s="6"/>
      <c r="E46" s="6"/>
      <c r="F46" s="4"/>
      <c r="G46" s="6"/>
      <c r="H46" s="3"/>
      <c r="I46" s="6"/>
      <c r="J46" s="3"/>
    </row>
    <row r="47" spans="1:10">
      <c r="A47" s="3" t="s">
        <v>818</v>
      </c>
      <c r="B47" s="3"/>
      <c r="C47" s="3"/>
      <c r="D47" s="6"/>
      <c r="E47" s="6"/>
      <c r="F47" s="4"/>
      <c r="G47" s="6"/>
      <c r="H47" s="3"/>
      <c r="I47" s="6"/>
      <c r="J47" s="3"/>
    </row>
    <row r="48" spans="1:10">
      <c r="A48" s="3" t="s">
        <v>819</v>
      </c>
      <c r="B48" s="3"/>
      <c r="C48" s="3"/>
      <c r="D48" s="6"/>
      <c r="E48" s="6"/>
      <c r="F48" s="4"/>
      <c r="G48" s="6"/>
      <c r="H48" s="3"/>
      <c r="I48" s="6"/>
      <c r="J48" s="3"/>
    </row>
    <row r="49" spans="1:10">
      <c r="A49" s="3" t="s">
        <v>820</v>
      </c>
      <c r="B49" s="3"/>
      <c r="C49" s="3"/>
      <c r="D49" s="6"/>
      <c r="E49" s="6"/>
      <c r="F49" s="4"/>
      <c r="G49" s="6"/>
      <c r="H49" s="3"/>
      <c r="I49" s="6"/>
      <c r="J49" s="3"/>
    </row>
    <row r="50" spans="1:10">
      <c r="A50" s="3" t="s">
        <v>821</v>
      </c>
      <c r="B50" s="3"/>
      <c r="C50" s="3"/>
      <c r="D50" s="6"/>
      <c r="E50" s="6"/>
      <c r="F50" s="4"/>
      <c r="G50" s="6"/>
      <c r="H50" s="3"/>
      <c r="I50" s="6"/>
      <c r="J50" s="3"/>
    </row>
    <row r="51" spans="1:10">
      <c r="A51" s="3" t="s">
        <v>822</v>
      </c>
      <c r="B51" s="3"/>
      <c r="C51" s="3"/>
      <c r="D51" s="6"/>
      <c r="E51" s="6"/>
      <c r="F51" s="4"/>
      <c r="G51" s="6"/>
      <c r="H51" s="3"/>
      <c r="I51" s="6"/>
      <c r="J51" s="3"/>
    </row>
    <row r="52" spans="1:10">
      <c r="A52" s="3" t="s">
        <v>823</v>
      </c>
      <c r="B52" s="3"/>
      <c r="C52" s="3"/>
      <c r="D52" s="6"/>
      <c r="E52" s="6"/>
      <c r="F52" s="4"/>
      <c r="G52" s="6"/>
      <c r="H52" s="3"/>
      <c r="I52" s="6"/>
      <c r="J52" s="3"/>
    </row>
    <row r="53" spans="1:10">
      <c r="A53" s="3" t="s">
        <v>824</v>
      </c>
      <c r="B53" s="3"/>
      <c r="C53" s="3"/>
      <c r="D53" s="6"/>
      <c r="E53" s="6"/>
      <c r="F53" s="4"/>
      <c r="G53" s="6"/>
      <c r="H53" s="3"/>
      <c r="I53" s="6"/>
      <c r="J53" s="3"/>
    </row>
    <row r="54" spans="1:10">
      <c r="A54" s="3" t="s">
        <v>825</v>
      </c>
      <c r="B54" s="3"/>
      <c r="C54" s="3"/>
      <c r="D54" s="6"/>
      <c r="E54" s="6"/>
      <c r="F54" s="4"/>
      <c r="G54" s="6"/>
      <c r="H54" s="3"/>
      <c r="I54" s="6"/>
      <c r="J54" s="3"/>
    </row>
    <row r="55" spans="1:10">
      <c r="A55" s="3" t="s">
        <v>826</v>
      </c>
      <c r="B55" s="3"/>
      <c r="C55" s="3"/>
      <c r="D55" s="6"/>
      <c r="E55" s="6"/>
      <c r="F55" s="4"/>
      <c r="G55" s="6"/>
      <c r="H55" s="3"/>
      <c r="I55" s="6"/>
      <c r="J55" s="3"/>
    </row>
    <row r="56" spans="1:10">
      <c r="A56" s="3" t="s">
        <v>827</v>
      </c>
      <c r="B56" s="3"/>
      <c r="C56" s="3"/>
      <c r="D56" s="6"/>
      <c r="E56" s="6"/>
      <c r="F56" s="4"/>
      <c r="G56" s="6"/>
      <c r="H56" s="3"/>
      <c r="I56" s="6"/>
      <c r="J56" s="3"/>
    </row>
    <row r="57" spans="1:10">
      <c r="A57" s="3" t="s">
        <v>828</v>
      </c>
      <c r="B57" s="3"/>
      <c r="C57" s="3"/>
      <c r="D57" s="6"/>
      <c r="E57" s="6"/>
      <c r="F57" s="4"/>
      <c r="G57" s="6"/>
      <c r="H57" s="3"/>
      <c r="I57" s="6"/>
      <c r="J57" s="3"/>
    </row>
    <row r="58" spans="1:10">
      <c r="A58" s="3" t="s">
        <v>829</v>
      </c>
      <c r="B58" s="3"/>
      <c r="C58" s="3"/>
      <c r="D58" s="6"/>
      <c r="E58" s="6"/>
      <c r="F58" s="4"/>
      <c r="G58" s="6"/>
      <c r="H58" s="3"/>
      <c r="I58" s="6"/>
      <c r="J58" s="3"/>
    </row>
    <row r="59" spans="1:10">
      <c r="A59" s="3" t="s">
        <v>830</v>
      </c>
      <c r="B59" s="3"/>
      <c r="C59" s="3"/>
      <c r="D59" s="6"/>
      <c r="E59" s="6"/>
      <c r="F59" s="4"/>
      <c r="G59" s="6"/>
      <c r="H59" s="3"/>
      <c r="I59" s="6"/>
      <c r="J59" s="3"/>
    </row>
    <row r="60" spans="1:10">
      <c r="A60" s="3" t="s">
        <v>831</v>
      </c>
      <c r="B60" s="3"/>
      <c r="C60" s="3"/>
      <c r="D60" s="6"/>
      <c r="E60" s="6"/>
      <c r="F60" s="4"/>
      <c r="G60" s="6"/>
      <c r="H60" s="3"/>
      <c r="I60" s="6"/>
      <c r="J60" s="3"/>
    </row>
    <row r="61" spans="1:10">
      <c r="A61" s="3" t="s">
        <v>832</v>
      </c>
      <c r="B61" s="3"/>
      <c r="C61" s="3"/>
      <c r="D61" s="6"/>
      <c r="E61" s="6"/>
      <c r="F61" s="4"/>
      <c r="G61" s="6"/>
      <c r="H61" s="3"/>
      <c r="I61" s="6"/>
      <c r="J61" s="3"/>
    </row>
    <row r="62" spans="1:10">
      <c r="A62" s="3" t="s">
        <v>833</v>
      </c>
      <c r="B62" s="3"/>
      <c r="C62" s="3"/>
      <c r="D62" s="6"/>
      <c r="E62" s="6"/>
      <c r="F62" s="4"/>
      <c r="G62" s="6"/>
      <c r="H62" s="3"/>
      <c r="I62" s="6"/>
      <c r="J62" s="3"/>
    </row>
    <row r="63" spans="1:10">
      <c r="A63" s="3" t="s">
        <v>834</v>
      </c>
      <c r="B63" s="3"/>
      <c r="C63" s="3"/>
      <c r="D63" s="6"/>
      <c r="E63" s="6"/>
      <c r="F63" s="4"/>
      <c r="G63" s="6"/>
      <c r="H63" s="3"/>
      <c r="I63" s="6"/>
      <c r="J63" s="3"/>
    </row>
    <row r="64" spans="1:10">
      <c r="A64" s="3" t="s">
        <v>835</v>
      </c>
      <c r="B64" s="3"/>
      <c r="C64" s="3"/>
      <c r="D64" s="6"/>
      <c r="E64" s="6"/>
      <c r="F64" s="4"/>
      <c r="G64" s="6"/>
      <c r="H64" s="3"/>
      <c r="I64" s="6"/>
      <c r="J64" s="3"/>
    </row>
    <row r="65" spans="1:10">
      <c r="A65" s="3" t="s">
        <v>836</v>
      </c>
      <c r="B65" s="3"/>
      <c r="C65" s="3"/>
      <c r="D65" s="6"/>
      <c r="E65" s="6"/>
      <c r="F65" s="4"/>
      <c r="G65" s="6"/>
      <c r="H65" s="3"/>
      <c r="I65" s="6"/>
      <c r="J65" s="3"/>
    </row>
    <row r="66" spans="1:10">
      <c r="A66" s="3" t="s">
        <v>837</v>
      </c>
      <c r="B66" s="3"/>
      <c r="C66" s="3"/>
      <c r="D66" s="6"/>
      <c r="E66" s="6"/>
      <c r="F66" s="4"/>
      <c r="G66" s="6"/>
      <c r="H66" s="3"/>
      <c r="I66" s="6"/>
      <c r="J66" s="3"/>
    </row>
    <row r="67" spans="1:10">
      <c r="A67" s="3" t="s">
        <v>838</v>
      </c>
      <c r="B67" s="3"/>
      <c r="C67" s="3"/>
      <c r="D67" s="6"/>
      <c r="E67" s="6"/>
      <c r="F67" s="4"/>
      <c r="G67" s="6"/>
      <c r="H67" s="3"/>
      <c r="I67" s="6"/>
      <c r="J67" s="3"/>
    </row>
    <row r="68" spans="1:10">
      <c r="A68" s="3" t="s">
        <v>839</v>
      </c>
      <c r="B68" s="3"/>
      <c r="C68" s="3"/>
      <c r="D68" s="6"/>
      <c r="E68" s="6"/>
      <c r="F68" s="4"/>
      <c r="G68" s="6"/>
      <c r="H68" s="3"/>
      <c r="I68" s="6"/>
      <c r="J68" s="3"/>
    </row>
    <row r="69" spans="1:10">
      <c r="A69" s="3" t="s">
        <v>840</v>
      </c>
      <c r="B69" s="3"/>
      <c r="C69" s="3"/>
      <c r="D69" s="6"/>
      <c r="E69" s="6"/>
      <c r="F69" s="4"/>
      <c r="G69" s="6"/>
      <c r="H69" s="3"/>
      <c r="I69" s="6"/>
      <c r="J69" s="3"/>
    </row>
    <row r="70" spans="1:10">
      <c r="A70" s="3" t="s">
        <v>841</v>
      </c>
      <c r="B70" s="3"/>
      <c r="C70" s="3"/>
      <c r="D70" s="6"/>
      <c r="E70" s="6"/>
      <c r="F70" s="4"/>
      <c r="G70" s="6"/>
      <c r="H70" s="3"/>
      <c r="I70" s="6"/>
      <c r="J70" s="3"/>
    </row>
    <row r="71" spans="1:10">
      <c r="A71" s="3" t="s">
        <v>842</v>
      </c>
      <c r="B71" s="3"/>
      <c r="C71" s="3"/>
      <c r="D71" s="6"/>
      <c r="E71" s="6"/>
      <c r="F71" s="4"/>
      <c r="G71" s="6"/>
      <c r="H71" s="3"/>
      <c r="I71" s="6"/>
      <c r="J71" s="3"/>
    </row>
    <row r="72" spans="1:10">
      <c r="A72" s="3" t="s">
        <v>843</v>
      </c>
      <c r="B72" s="3"/>
      <c r="C72" s="3"/>
      <c r="D72" s="6"/>
      <c r="E72" s="6"/>
      <c r="F72" s="4"/>
      <c r="G72" s="6"/>
      <c r="H72" s="3"/>
      <c r="I72" s="6"/>
      <c r="J72" s="3"/>
    </row>
    <row r="73" spans="1:10">
      <c r="A73" s="3" t="s">
        <v>844</v>
      </c>
      <c r="B73" s="3"/>
      <c r="C73" s="3"/>
      <c r="D73" s="6"/>
      <c r="E73" s="6"/>
      <c r="F73" s="4"/>
      <c r="G73" s="6"/>
      <c r="H73" s="3"/>
      <c r="I73" s="6"/>
      <c r="J73" s="3"/>
    </row>
    <row r="74" spans="1:10">
      <c r="A74" s="3" t="s">
        <v>845</v>
      </c>
      <c r="B74" s="3"/>
      <c r="C74" s="3"/>
      <c r="D74" s="6"/>
      <c r="E74" s="6"/>
      <c r="F74" s="4"/>
      <c r="G74" s="6"/>
      <c r="H74" s="3"/>
      <c r="I74" s="6"/>
      <c r="J74" s="3"/>
    </row>
    <row r="75" spans="1:10">
      <c r="A75" s="3" t="s">
        <v>846</v>
      </c>
      <c r="B75" s="3"/>
      <c r="C75" s="3"/>
      <c r="D75" s="6"/>
      <c r="E75" s="6"/>
      <c r="F75" s="4"/>
      <c r="G75" s="6"/>
      <c r="H75" s="3"/>
      <c r="I75" s="6"/>
      <c r="J75" s="3"/>
    </row>
    <row r="76" spans="1:10">
      <c r="A76" s="3" t="s">
        <v>847</v>
      </c>
      <c r="B76" s="3"/>
      <c r="C76" s="3"/>
      <c r="D76" s="6"/>
      <c r="E76" s="6"/>
      <c r="F76" s="4"/>
      <c r="G76" s="6"/>
      <c r="H76" s="3"/>
      <c r="I76" s="6"/>
      <c r="J76" s="3"/>
    </row>
    <row r="77" spans="1:10">
      <c r="A77" s="3" t="s">
        <v>848</v>
      </c>
      <c r="B77" s="3"/>
      <c r="C77" s="3"/>
      <c r="D77" s="6"/>
      <c r="E77" s="6"/>
      <c r="F77" s="4"/>
      <c r="G77" s="6"/>
      <c r="H77" s="3"/>
      <c r="I77" s="6"/>
      <c r="J77" s="3"/>
    </row>
    <row r="78" spans="1:10">
      <c r="A78" s="3" t="s">
        <v>849</v>
      </c>
      <c r="B78" s="3"/>
      <c r="C78" s="3"/>
      <c r="D78" s="6"/>
      <c r="E78" s="6"/>
      <c r="F78" s="4"/>
      <c r="G78" s="6"/>
      <c r="H78" s="3"/>
      <c r="I78" s="6"/>
      <c r="J78" s="3"/>
    </row>
    <row r="79" spans="1:10">
      <c r="A79" s="3" t="s">
        <v>850</v>
      </c>
      <c r="B79" s="3"/>
      <c r="C79" s="3"/>
      <c r="D79" s="6"/>
      <c r="E79" s="6"/>
      <c r="F79" s="4"/>
      <c r="G79" s="6"/>
      <c r="H79" s="3"/>
      <c r="I79" s="6"/>
      <c r="J79" s="3"/>
    </row>
    <row r="80" spans="1:10">
      <c r="A80" s="3" t="s">
        <v>851</v>
      </c>
      <c r="B80" s="3"/>
      <c r="C80" s="3"/>
      <c r="D80" s="6"/>
      <c r="E80" s="6"/>
      <c r="F80" s="4"/>
      <c r="G80" s="6"/>
      <c r="H80" s="3"/>
      <c r="I80" s="6"/>
      <c r="J80" s="3"/>
    </row>
    <row r="81" spans="1:10">
      <c r="A81" s="3" t="s">
        <v>852</v>
      </c>
      <c r="B81" s="3"/>
      <c r="C81" s="3"/>
      <c r="D81" s="6"/>
      <c r="E81" s="6"/>
      <c r="F81" s="4"/>
      <c r="G81" s="6"/>
      <c r="H81" s="3"/>
      <c r="I81" s="6"/>
      <c r="J81" s="3"/>
    </row>
    <row r="82" spans="1:10">
      <c r="A82" s="3" t="s">
        <v>853</v>
      </c>
      <c r="B82" s="3"/>
      <c r="C82" s="3"/>
      <c r="D82" s="6"/>
      <c r="E82" s="6"/>
      <c r="F82" s="4"/>
      <c r="G82" s="6"/>
      <c r="H82" s="3"/>
      <c r="I82" s="6"/>
      <c r="J82" s="3"/>
    </row>
    <row r="83" spans="1:10">
      <c r="A83" s="3" t="s">
        <v>854</v>
      </c>
      <c r="B83" s="3"/>
      <c r="C83" s="3"/>
      <c r="D83" s="6"/>
      <c r="E83" s="6"/>
      <c r="F83" s="4"/>
      <c r="G83" s="6"/>
      <c r="H83" s="3"/>
      <c r="I83" s="6"/>
      <c r="J83" s="3"/>
    </row>
    <row r="84" spans="1:10">
      <c r="A84" s="3" t="s">
        <v>855</v>
      </c>
      <c r="B84" s="3"/>
      <c r="C84" s="3"/>
      <c r="D84" s="6"/>
      <c r="E84" s="6"/>
      <c r="F84" s="4"/>
      <c r="G84" s="6"/>
      <c r="H84" s="3"/>
      <c r="I84" s="6"/>
      <c r="J84" s="3"/>
    </row>
    <row r="85" spans="1:10">
      <c r="A85" s="3" t="s">
        <v>856</v>
      </c>
      <c r="B85" s="3"/>
      <c r="C85" s="3"/>
      <c r="D85" s="6"/>
      <c r="E85" s="6"/>
      <c r="F85" s="4"/>
      <c r="G85" s="6"/>
      <c r="H85" s="3"/>
      <c r="I85" s="6"/>
      <c r="J85" s="3"/>
    </row>
    <row r="86" spans="1:10">
      <c r="A86" s="3" t="s">
        <v>857</v>
      </c>
      <c r="B86" s="3"/>
      <c r="C86" s="3"/>
      <c r="D86" s="6"/>
      <c r="E86" s="6"/>
      <c r="F86" s="4"/>
      <c r="G86" s="6"/>
      <c r="H86" s="3"/>
      <c r="I86" s="6"/>
      <c r="J86" s="3"/>
    </row>
    <row r="87" spans="1:10">
      <c r="A87" s="3" t="s">
        <v>858</v>
      </c>
      <c r="B87" s="3"/>
      <c r="C87" s="3"/>
      <c r="D87" s="6"/>
      <c r="E87" s="6"/>
      <c r="F87" s="4"/>
      <c r="G87" s="6"/>
      <c r="H87" s="3"/>
      <c r="I87" s="6"/>
      <c r="J87" s="3"/>
    </row>
    <row r="88" spans="1:10">
      <c r="A88" s="3" t="s">
        <v>859</v>
      </c>
      <c r="B88" s="3"/>
      <c r="C88" s="3"/>
      <c r="D88" s="6"/>
      <c r="E88" s="6"/>
      <c r="F88" s="4"/>
      <c r="G88" s="6"/>
      <c r="H88" s="3"/>
      <c r="I88" s="6"/>
      <c r="J88" s="3"/>
    </row>
    <row r="89" spans="1:10">
      <c r="A89" s="3" t="s">
        <v>860</v>
      </c>
      <c r="B89" s="3"/>
      <c r="C89" s="3"/>
      <c r="D89" s="6"/>
      <c r="E89" s="6"/>
      <c r="F89" s="4"/>
      <c r="G89" s="6"/>
      <c r="H89" s="3"/>
      <c r="I89" s="6"/>
      <c r="J89" s="3"/>
    </row>
    <row r="90" spans="1:10">
      <c r="A90" s="3" t="s">
        <v>861</v>
      </c>
      <c r="B90" s="3"/>
      <c r="C90" s="3"/>
      <c r="D90" s="6"/>
      <c r="E90" s="6"/>
      <c r="F90" s="4"/>
      <c r="G90" s="6"/>
      <c r="H90" s="3"/>
      <c r="I90" s="6"/>
      <c r="J90" s="3"/>
    </row>
    <row r="91" spans="1:10">
      <c r="A91" s="3" t="s">
        <v>862</v>
      </c>
      <c r="B91" s="3"/>
      <c r="C91" s="3"/>
      <c r="D91" s="6"/>
      <c r="E91" s="6"/>
      <c r="F91" s="4"/>
      <c r="G91" s="6"/>
      <c r="H91" s="3"/>
      <c r="I91" s="6"/>
      <c r="J91" s="3"/>
    </row>
    <row r="92" spans="1:10">
      <c r="A92" s="3" t="s">
        <v>863</v>
      </c>
      <c r="B92" s="3"/>
      <c r="C92" s="3"/>
      <c r="D92" s="6"/>
      <c r="E92" s="6"/>
      <c r="F92" s="4"/>
      <c r="G92" s="6"/>
      <c r="H92" s="3"/>
      <c r="I92" s="6"/>
      <c r="J92" s="3"/>
    </row>
    <row r="93" spans="1:10">
      <c r="A93" s="3" t="s">
        <v>864</v>
      </c>
      <c r="B93" s="3"/>
      <c r="C93" s="3"/>
      <c r="D93" s="6"/>
      <c r="E93" s="6"/>
      <c r="F93" s="4"/>
      <c r="G93" s="6"/>
      <c r="H93" s="3"/>
      <c r="I93" s="6"/>
      <c r="J93" s="3"/>
    </row>
    <row r="94" spans="1:10">
      <c r="A94" s="3" t="s">
        <v>865</v>
      </c>
      <c r="B94" s="3"/>
      <c r="C94" s="3"/>
      <c r="D94" s="6"/>
      <c r="E94" s="6"/>
      <c r="F94" s="4"/>
      <c r="G94" s="6"/>
      <c r="H94" s="3"/>
      <c r="I94" s="6"/>
      <c r="J94" s="3"/>
    </row>
    <row r="95" spans="1:10">
      <c r="A95" s="3" t="s">
        <v>866</v>
      </c>
      <c r="B95" s="3"/>
      <c r="C95" s="3"/>
      <c r="D95" s="6"/>
      <c r="E95" s="6"/>
      <c r="F95" s="4"/>
      <c r="G95" s="6"/>
      <c r="H95" s="3"/>
      <c r="I95" s="6"/>
      <c r="J95" s="3"/>
    </row>
    <row r="96" spans="1:10">
      <c r="A96" s="3" t="s">
        <v>867</v>
      </c>
      <c r="B96" s="3"/>
      <c r="C96" s="3"/>
      <c r="D96" s="6"/>
      <c r="E96" s="6"/>
      <c r="F96" s="4"/>
      <c r="G96" s="6"/>
      <c r="H96" s="3"/>
      <c r="I96" s="6"/>
      <c r="J96" s="3"/>
    </row>
    <row r="97" spans="1:10">
      <c r="A97" s="3" t="s">
        <v>868</v>
      </c>
      <c r="B97" s="3"/>
      <c r="C97" s="3"/>
      <c r="D97" s="6"/>
      <c r="E97" s="6"/>
      <c r="F97" s="4"/>
      <c r="G97" s="6"/>
      <c r="H97" s="3"/>
      <c r="I97" s="6"/>
      <c r="J97" s="3"/>
    </row>
    <row r="98" spans="1:10">
      <c r="A98" s="3" t="s">
        <v>869</v>
      </c>
      <c r="B98" s="3"/>
      <c r="C98" s="3"/>
      <c r="D98" s="6"/>
      <c r="E98" s="6"/>
      <c r="F98" s="4"/>
      <c r="G98" s="6"/>
      <c r="H98" s="3"/>
      <c r="I98" s="6"/>
      <c r="J98" s="3"/>
    </row>
    <row r="99" spans="1:10">
      <c r="A99" s="3" t="s">
        <v>870</v>
      </c>
      <c r="B99" s="3"/>
      <c r="C99" s="3"/>
      <c r="D99" s="6"/>
      <c r="E99" s="6"/>
      <c r="F99" s="4"/>
      <c r="G99" s="6"/>
      <c r="H99" s="3"/>
      <c r="I99" s="6"/>
      <c r="J99" s="3"/>
    </row>
    <row r="100" spans="1:10">
      <c r="A100" s="3" t="s">
        <v>871</v>
      </c>
      <c r="B100" s="3"/>
      <c r="C100" s="3"/>
      <c r="D100" s="6"/>
      <c r="E100" s="6"/>
      <c r="F100" s="4"/>
      <c r="G100" s="6"/>
      <c r="H100" s="3"/>
      <c r="I100" s="6"/>
      <c r="J100" s="3"/>
    </row>
    <row r="101" spans="1:10">
      <c r="A101" s="3"/>
      <c r="B101" s="3"/>
      <c r="C101" s="3"/>
      <c r="D101" s="6"/>
      <c r="E101" s="6"/>
      <c r="F101" s="4"/>
      <c r="G101" s="6"/>
      <c r="H101" s="3"/>
      <c r="I101" s="6"/>
      <c r="J101" s="3"/>
    </row>
    <row r="102" spans="1:10">
      <c r="A102" s="3"/>
      <c r="B102" s="3"/>
      <c r="C102" s="3"/>
      <c r="D102" s="6"/>
      <c r="E102" s="6"/>
      <c r="F102" s="4"/>
      <c r="G102" s="6"/>
      <c r="H102" s="3"/>
      <c r="I102" s="6"/>
      <c r="J102" s="3"/>
    </row>
    <row r="103" spans="1:10">
      <c r="A103" s="3"/>
      <c r="B103" s="3"/>
      <c r="C103" s="3"/>
      <c r="D103" s="6"/>
      <c r="E103" s="6"/>
      <c r="F103" s="4"/>
      <c r="G103" s="6"/>
      <c r="H103" s="3"/>
      <c r="I103" s="6"/>
      <c r="J103" s="3"/>
    </row>
    <row r="104" spans="1:10">
      <c r="A104" s="3"/>
      <c r="B104" s="3"/>
      <c r="C104" s="3"/>
      <c r="D104" s="6"/>
      <c r="E104" s="6"/>
      <c r="F104" s="4"/>
      <c r="G104" s="6"/>
      <c r="H104" s="3"/>
      <c r="I104" s="6"/>
      <c r="J104" s="3"/>
    </row>
    <row r="105" spans="1:10">
      <c r="A105" s="3"/>
      <c r="B105" s="3"/>
      <c r="C105" s="3"/>
      <c r="D105" s="6"/>
      <c r="E105" s="6"/>
      <c r="F105" s="4"/>
      <c r="G105" s="6"/>
      <c r="H105" s="3"/>
      <c r="I105" s="6"/>
      <c r="J105" s="3"/>
    </row>
    <row r="106" spans="1:10">
      <c r="A106" s="3"/>
      <c r="B106" s="3"/>
      <c r="C106" s="3"/>
      <c r="D106" s="6"/>
      <c r="E106" s="6"/>
      <c r="F106" s="4"/>
      <c r="G106" s="6"/>
      <c r="H106" s="3"/>
      <c r="I106" s="6"/>
      <c r="J106" s="3"/>
    </row>
    <row r="107" spans="1:10">
      <c r="A107" s="3"/>
      <c r="B107" s="3"/>
      <c r="C107" s="3"/>
      <c r="D107" s="6"/>
      <c r="E107" s="6"/>
      <c r="F107" s="4"/>
      <c r="G107" s="6"/>
      <c r="H107" s="3"/>
      <c r="I107" s="6"/>
      <c r="J107" s="3"/>
    </row>
    <row r="108" spans="1:10">
      <c r="A108" s="3"/>
      <c r="B108" s="3"/>
      <c r="C108" s="3"/>
      <c r="D108" s="6"/>
      <c r="E108" s="6"/>
      <c r="F108" s="4"/>
      <c r="G108" s="6"/>
      <c r="H108" s="3"/>
      <c r="I108" s="6"/>
      <c r="J108" s="3"/>
    </row>
    <row r="109" spans="1:10">
      <c r="A109" s="3"/>
      <c r="B109" s="3"/>
      <c r="C109" s="3"/>
      <c r="D109" s="6"/>
      <c r="E109" s="6"/>
      <c r="F109" s="4"/>
      <c r="G109" s="6"/>
      <c r="H109" s="3"/>
      <c r="I109" s="6"/>
      <c r="J109" s="3"/>
    </row>
    <row r="110" spans="1:10">
      <c r="A110" s="3"/>
      <c r="B110" s="3"/>
      <c r="C110" s="3"/>
      <c r="D110" s="6"/>
      <c r="E110" s="6"/>
      <c r="F110" s="4"/>
      <c r="G110" s="6"/>
      <c r="H110" s="3"/>
      <c r="I110" s="6"/>
      <c r="J110" s="3"/>
    </row>
    <row r="111" spans="1:10">
      <c r="A111" s="3"/>
      <c r="B111" s="3"/>
      <c r="C111" s="3"/>
      <c r="D111" s="6"/>
      <c r="E111" s="6"/>
      <c r="F111" s="4"/>
      <c r="G111" s="6"/>
      <c r="H111" s="3"/>
      <c r="I111" s="6"/>
      <c r="J111" s="3"/>
    </row>
    <row r="112" spans="1:10">
      <c r="A112" s="3"/>
      <c r="B112" s="3"/>
      <c r="C112" s="3"/>
      <c r="D112" s="6"/>
      <c r="E112" s="6"/>
      <c r="F112" s="4"/>
      <c r="G112" s="6"/>
      <c r="H112" s="3"/>
      <c r="I112" s="6"/>
      <c r="J112" s="3"/>
    </row>
    <row r="113" spans="1:10">
      <c r="A113" s="3"/>
      <c r="B113" s="3"/>
      <c r="C113" s="3"/>
      <c r="D113" s="6"/>
      <c r="E113" s="6"/>
      <c r="F113" s="4"/>
      <c r="G113" s="6"/>
      <c r="H113" s="3"/>
      <c r="I113" s="6"/>
      <c r="J113" s="3"/>
    </row>
    <row r="114" spans="1:10">
      <c r="A114" s="3"/>
      <c r="B114" s="3"/>
      <c r="C114" s="3"/>
      <c r="D114" s="6"/>
      <c r="E114" s="6"/>
      <c r="F114" s="4"/>
      <c r="G114" s="6"/>
      <c r="H114" s="3"/>
      <c r="I114" s="6"/>
      <c r="J114" s="3"/>
    </row>
    <row r="115" spans="1:10">
      <c r="A115" s="3"/>
      <c r="B115" s="3"/>
      <c r="C115" s="3"/>
      <c r="D115" s="6"/>
      <c r="E115" s="6"/>
      <c r="F115" s="4"/>
      <c r="G115" s="6"/>
      <c r="H115" s="3"/>
      <c r="I115" s="6"/>
      <c r="J115" s="3"/>
    </row>
    <row r="116" spans="1:10">
      <c r="A116" s="3"/>
      <c r="B116" s="3"/>
      <c r="C116" s="3"/>
      <c r="D116" s="6"/>
      <c r="E116" s="6"/>
      <c r="F116" s="4"/>
      <c r="G116" s="6"/>
      <c r="H116" s="3"/>
      <c r="I116" s="6"/>
      <c r="J116" s="3"/>
    </row>
    <row r="117" spans="1:10">
      <c r="A117" s="3"/>
      <c r="B117" s="3"/>
      <c r="C117" s="3"/>
      <c r="D117" s="6"/>
      <c r="E117" s="6"/>
      <c r="F117" s="4"/>
      <c r="G117" s="6"/>
      <c r="H117" s="3"/>
      <c r="I117" s="6"/>
      <c r="J117" s="3"/>
    </row>
    <row r="118" spans="1:10">
      <c r="A118" s="3"/>
      <c r="B118" s="3"/>
      <c r="C118" s="3"/>
      <c r="D118" s="6"/>
      <c r="E118" s="6"/>
      <c r="F118" s="4"/>
      <c r="G118" s="6"/>
      <c r="H118" s="3"/>
      <c r="I118" s="6"/>
      <c r="J118" s="3"/>
    </row>
    <row r="119" spans="1:10">
      <c r="A119" s="3"/>
      <c r="B119" s="3"/>
      <c r="C119" s="3"/>
      <c r="D119" s="6"/>
      <c r="E119" s="6"/>
      <c r="F119" s="4"/>
      <c r="G119" s="6"/>
      <c r="H119" s="3"/>
      <c r="I119" s="6"/>
      <c r="J119" s="3"/>
    </row>
    <row r="120" spans="1:10">
      <c r="A120" s="3"/>
      <c r="B120" s="3"/>
      <c r="C120" s="3"/>
      <c r="D120" s="6"/>
      <c r="E120" s="6"/>
      <c r="F120" s="4"/>
      <c r="G120" s="6"/>
      <c r="H120" s="3"/>
      <c r="I120" s="6"/>
      <c r="J120" s="3"/>
    </row>
    <row r="121" spans="1:10">
      <c r="A121" s="3"/>
      <c r="B121" s="3"/>
      <c r="C121" s="3"/>
      <c r="D121" s="6"/>
      <c r="E121" s="6"/>
      <c r="F121" s="4"/>
      <c r="G121" s="6"/>
      <c r="H121" s="3"/>
      <c r="I121" s="6"/>
      <c r="J121" s="3"/>
    </row>
    <row r="122" spans="1:10">
      <c r="A122" s="3"/>
      <c r="B122" s="3"/>
      <c r="C122" s="3"/>
      <c r="D122" s="6"/>
      <c r="E122" s="6"/>
      <c r="F122" s="4"/>
      <c r="G122" s="6"/>
      <c r="H122" s="3"/>
      <c r="I122" s="6"/>
      <c r="J122" s="3"/>
    </row>
    <row r="123" spans="1:10">
      <c r="A123" s="3"/>
      <c r="B123" s="3"/>
      <c r="C123" s="3"/>
      <c r="D123" s="6"/>
      <c r="E123" s="6"/>
      <c r="F123" s="4"/>
      <c r="G123" s="6"/>
      <c r="H123" s="3"/>
      <c r="I123" s="6"/>
      <c r="J123" s="3"/>
    </row>
    <row r="124" spans="1:10">
      <c r="A124" s="3"/>
      <c r="B124" s="3"/>
      <c r="C124" s="3"/>
      <c r="D124" s="6"/>
      <c r="E124" s="6"/>
      <c r="F124" s="4"/>
      <c r="G124" s="6"/>
      <c r="H124" s="3"/>
      <c r="I124" s="6"/>
      <c r="J124" s="3"/>
    </row>
    <row r="125" spans="1:10">
      <c r="A125" s="3"/>
      <c r="B125" s="3"/>
      <c r="C125" s="3"/>
      <c r="D125" s="6"/>
      <c r="E125" s="6"/>
      <c r="F125" s="4"/>
      <c r="G125" s="6"/>
      <c r="H125" s="3"/>
      <c r="I125" s="6"/>
      <c r="J125" s="3"/>
    </row>
    <row r="126" spans="1:10">
      <c r="A126" s="3"/>
      <c r="B126" s="3"/>
      <c r="C126" s="3"/>
      <c r="D126" s="6"/>
      <c r="E126" s="6"/>
      <c r="F126" s="4"/>
      <c r="G126" s="6"/>
      <c r="H126" s="3"/>
      <c r="I126" s="6"/>
      <c r="J126" s="3"/>
    </row>
    <row r="127" spans="1:10">
      <c r="A127" s="3"/>
      <c r="B127" s="3"/>
      <c r="C127" s="3"/>
      <c r="D127" s="6"/>
      <c r="E127" s="6"/>
      <c r="F127" s="4"/>
      <c r="G127" s="6"/>
      <c r="H127" s="3"/>
      <c r="I127" s="6"/>
      <c r="J127" s="3"/>
    </row>
    <row r="128" spans="1:10">
      <c r="A128" s="3"/>
      <c r="B128" s="3"/>
      <c r="C128" s="3"/>
      <c r="D128" s="6"/>
      <c r="E128" s="6"/>
      <c r="F128" s="4"/>
      <c r="G128" s="6"/>
      <c r="H128" s="3"/>
      <c r="I128" s="6"/>
      <c r="J128" s="3"/>
    </row>
    <row r="129" spans="1:10">
      <c r="A129" s="3"/>
      <c r="B129" s="3"/>
      <c r="C129" s="3"/>
      <c r="D129" s="6"/>
      <c r="E129" s="6"/>
      <c r="F129" s="4"/>
      <c r="G129" s="6"/>
      <c r="H129" s="3"/>
      <c r="I129" s="6"/>
      <c r="J129" s="3"/>
    </row>
    <row r="130" spans="1:10">
      <c r="A130" s="3"/>
      <c r="B130" s="3"/>
      <c r="C130" s="3"/>
      <c r="D130" s="6"/>
      <c r="E130" s="6"/>
      <c r="F130" s="4"/>
      <c r="G130" s="6"/>
      <c r="H130" s="3"/>
      <c r="I130" s="6"/>
      <c r="J130" s="3"/>
    </row>
    <row r="131" spans="1:10">
      <c r="A131" s="3"/>
      <c r="B131" s="3"/>
      <c r="C131" s="3"/>
      <c r="D131" s="6"/>
      <c r="E131" s="6"/>
      <c r="F131" s="4"/>
      <c r="G131" s="6"/>
      <c r="H131" s="3"/>
      <c r="I131" s="6"/>
      <c r="J131" s="3"/>
    </row>
    <row r="132" spans="1:10">
      <c r="A132" s="3"/>
      <c r="B132" s="3"/>
      <c r="C132" s="3"/>
      <c r="D132" s="6"/>
      <c r="E132" s="6"/>
      <c r="F132" s="4"/>
      <c r="G132" s="6"/>
      <c r="H132" s="3"/>
      <c r="I132" s="6"/>
      <c r="J132" s="3"/>
    </row>
    <row r="133" spans="1:10">
      <c r="A133" s="3"/>
      <c r="B133" s="3"/>
      <c r="C133" s="3"/>
      <c r="D133" s="6"/>
      <c r="E133" s="6"/>
      <c r="F133" s="4"/>
      <c r="G133" s="6"/>
      <c r="H133" s="3"/>
      <c r="I133" s="6"/>
      <c r="J133" s="3"/>
    </row>
    <row r="134" spans="1:10">
      <c r="A134" s="3"/>
      <c r="B134" s="3"/>
      <c r="C134" s="3"/>
      <c r="D134" s="6"/>
      <c r="E134" s="6"/>
      <c r="F134" s="4"/>
      <c r="G134" s="6"/>
      <c r="H134" s="3"/>
      <c r="I134" s="6"/>
      <c r="J134" s="3"/>
    </row>
    <row r="135" spans="1:10">
      <c r="A135" s="3"/>
      <c r="B135" s="3"/>
      <c r="C135" s="3"/>
      <c r="D135" s="6"/>
      <c r="E135" s="6"/>
      <c r="F135" s="4"/>
      <c r="G135" s="6"/>
      <c r="H135" s="3"/>
      <c r="I135" s="6"/>
      <c r="J135" s="3"/>
    </row>
    <row r="136" spans="1:10">
      <c r="A136" s="3"/>
      <c r="B136" s="3"/>
      <c r="C136" s="3"/>
      <c r="D136" s="6"/>
      <c r="E136" s="6"/>
      <c r="F136" s="4"/>
      <c r="G136" s="6"/>
      <c r="H136" s="3"/>
      <c r="I136" s="6"/>
      <c r="J136" s="3"/>
    </row>
    <row r="137" spans="1:10">
      <c r="A137" s="3"/>
      <c r="B137" s="3"/>
      <c r="C137" s="3"/>
      <c r="D137" s="6"/>
      <c r="E137" s="6"/>
      <c r="F137" s="4"/>
      <c r="G137" s="6"/>
      <c r="H137" s="3"/>
      <c r="I137" s="6"/>
      <c r="J137" s="3"/>
    </row>
    <row r="138" spans="1:10">
      <c r="A138" s="3"/>
      <c r="B138" s="3"/>
      <c r="C138" s="3"/>
      <c r="D138" s="6"/>
      <c r="E138" s="6"/>
      <c r="F138" s="4"/>
      <c r="G138" s="6"/>
      <c r="H138" s="3"/>
      <c r="I138" s="6"/>
      <c r="J138" s="3"/>
    </row>
    <row r="139" spans="1:10">
      <c r="A139" s="3"/>
      <c r="B139" s="3"/>
      <c r="C139" s="3"/>
      <c r="D139" s="6"/>
      <c r="E139" s="6"/>
      <c r="F139" s="4"/>
      <c r="G139" s="6"/>
      <c r="H139" s="3"/>
      <c r="I139" s="6"/>
      <c r="J139" s="3"/>
    </row>
    <row r="140" spans="1:10">
      <c r="A140" s="3"/>
      <c r="B140" s="3"/>
      <c r="C140" s="3"/>
      <c r="D140" s="6"/>
      <c r="E140" s="6"/>
      <c r="F140" s="4"/>
      <c r="G140" s="6"/>
      <c r="H140" s="3"/>
      <c r="I140" s="6"/>
      <c r="J140" s="3"/>
    </row>
    <row r="141" spans="1:10">
      <c r="A141" s="3"/>
      <c r="B141" s="3"/>
      <c r="C141" s="3"/>
      <c r="D141" s="6"/>
      <c r="E141" s="6"/>
      <c r="F141" s="4"/>
      <c r="G141" s="6"/>
      <c r="H141" s="3"/>
      <c r="I141" s="6"/>
      <c r="J141" s="3"/>
    </row>
    <row r="142" spans="1:10">
      <c r="A142" s="3"/>
      <c r="B142" s="3"/>
      <c r="C142" s="3"/>
      <c r="D142" s="6"/>
      <c r="E142" s="6"/>
      <c r="F142" s="4"/>
      <c r="G142" s="6"/>
      <c r="H142" s="3"/>
      <c r="I142" s="6"/>
      <c r="J142" s="3"/>
    </row>
    <row r="143" spans="1:10">
      <c r="A143" s="3"/>
      <c r="B143" s="3"/>
      <c r="C143" s="3"/>
      <c r="D143" s="6"/>
      <c r="E143" s="6"/>
      <c r="F143" s="4"/>
      <c r="G143" s="6"/>
      <c r="H143" s="3"/>
      <c r="I143" s="6"/>
      <c r="J143" s="3"/>
    </row>
    <row r="144" spans="1:10">
      <c r="A144" s="3"/>
      <c r="B144" s="3"/>
      <c r="C144" s="3"/>
      <c r="D144" s="6"/>
      <c r="E144" s="6"/>
      <c r="F144" s="4"/>
      <c r="G144" s="6"/>
      <c r="H144" s="3"/>
      <c r="I144" s="6"/>
      <c r="J144" s="3"/>
    </row>
    <row r="145" spans="1:10">
      <c r="A145" s="3"/>
      <c r="B145" s="3"/>
      <c r="C145" s="3"/>
      <c r="D145" s="6"/>
      <c r="E145" s="6"/>
      <c r="F145" s="4"/>
      <c r="G145" s="6"/>
      <c r="H145" s="3"/>
      <c r="I145" s="6"/>
      <c r="J145" s="3"/>
    </row>
    <row r="146" spans="1:10">
      <c r="A146" s="3"/>
      <c r="B146" s="3"/>
      <c r="C146" s="3"/>
      <c r="D146" s="6"/>
      <c r="E146" s="6"/>
      <c r="F146" s="4"/>
      <c r="G146" s="6"/>
      <c r="H146" s="3"/>
      <c r="I146" s="6"/>
      <c r="J146" s="3"/>
    </row>
    <row r="147" spans="1:10">
      <c r="A147" s="3"/>
      <c r="B147" s="3"/>
      <c r="C147" s="3"/>
      <c r="D147" s="6"/>
      <c r="E147" s="6"/>
      <c r="F147" s="4"/>
      <c r="G147" s="6"/>
      <c r="H147" s="3"/>
      <c r="I147" s="6"/>
      <c r="J147" s="3"/>
    </row>
    <row r="148" spans="1:10">
      <c r="A148" s="3"/>
      <c r="B148" s="3"/>
      <c r="C148" s="3"/>
      <c r="D148" s="6"/>
      <c r="E148" s="6"/>
      <c r="F148" s="4"/>
      <c r="G148" s="6"/>
      <c r="H148" s="3"/>
      <c r="I148" s="6"/>
      <c r="J148" s="3"/>
    </row>
    <row r="149" spans="1:10">
      <c r="A149" s="3"/>
      <c r="B149" s="3"/>
      <c r="C149" s="3"/>
      <c r="D149" s="6"/>
      <c r="E149" s="6"/>
      <c r="F149" s="4"/>
      <c r="G149" s="6"/>
      <c r="H149" s="3"/>
      <c r="I149" s="6"/>
      <c r="J149" s="3"/>
    </row>
    <row r="150" spans="1:10">
      <c r="A150" s="3"/>
      <c r="B150" s="3"/>
      <c r="C150" s="3"/>
      <c r="D150" s="6"/>
      <c r="E150" s="6"/>
      <c r="F150" s="4"/>
      <c r="G150" s="6"/>
      <c r="H150" s="3"/>
      <c r="I150" s="6"/>
      <c r="J150" s="3"/>
    </row>
    <row r="151" spans="1:10">
      <c r="A151" s="3"/>
      <c r="B151" s="3"/>
      <c r="C151" s="3"/>
      <c r="D151" s="6"/>
      <c r="E151" s="6"/>
      <c r="F151" s="4"/>
      <c r="G151" s="6"/>
      <c r="H151" s="3"/>
      <c r="I151" s="6"/>
      <c r="J151" s="3"/>
    </row>
    <row r="152" spans="1:10">
      <c r="A152" s="3"/>
      <c r="B152" s="3"/>
      <c r="C152" s="3"/>
      <c r="D152" s="6"/>
      <c r="E152" s="6"/>
      <c r="F152" s="4"/>
      <c r="G152" s="6"/>
      <c r="H152" s="3"/>
      <c r="I152" s="6"/>
      <c r="J152" s="3"/>
    </row>
    <row r="153" spans="1:10">
      <c r="A153" s="3"/>
      <c r="B153" s="3"/>
      <c r="C153" s="3"/>
      <c r="D153" s="6"/>
      <c r="E153" s="6"/>
      <c r="F153" s="4"/>
      <c r="G153" s="6"/>
      <c r="H153" s="3"/>
      <c r="I153" s="6"/>
      <c r="J153" s="3"/>
    </row>
    <row r="154" spans="1:10">
      <c r="A154" s="3"/>
      <c r="B154" s="3"/>
      <c r="C154" s="3"/>
      <c r="D154" s="6"/>
      <c r="E154" s="6"/>
      <c r="F154" s="4"/>
      <c r="G154" s="6"/>
      <c r="H154" s="3"/>
      <c r="I154" s="6"/>
      <c r="J154" s="3"/>
    </row>
    <row r="155" spans="1:10">
      <c r="A155" s="3"/>
      <c r="B155" s="3"/>
      <c r="C155" s="3"/>
      <c r="D155" s="6"/>
      <c r="E155" s="6"/>
      <c r="F155" s="4"/>
      <c r="G155" s="6"/>
      <c r="H155" s="3"/>
      <c r="I155" s="6"/>
      <c r="J155" s="3"/>
    </row>
    <row r="156" spans="1:10">
      <c r="A156" s="3"/>
      <c r="B156" s="3"/>
      <c r="C156" s="3"/>
      <c r="D156" s="6"/>
      <c r="E156" s="6"/>
      <c r="F156" s="4"/>
      <c r="G156" s="6"/>
      <c r="H156" s="3"/>
      <c r="I156" s="6"/>
      <c r="J156" s="3"/>
    </row>
    <row r="157" spans="1:10">
      <c r="A157" s="3"/>
      <c r="B157" s="3"/>
      <c r="C157" s="3"/>
      <c r="D157" s="6"/>
      <c r="E157" s="6"/>
      <c r="F157" s="4"/>
      <c r="G157" s="6"/>
      <c r="H157" s="3"/>
      <c r="I157" s="6"/>
      <c r="J157" s="3"/>
    </row>
    <row r="158" spans="1:10">
      <c r="A158" s="3"/>
      <c r="B158" s="3"/>
      <c r="C158" s="3"/>
      <c r="D158" s="6"/>
      <c r="E158" s="6"/>
      <c r="F158" s="4"/>
      <c r="G158" s="6"/>
      <c r="H158" s="3"/>
      <c r="I158" s="6"/>
      <c r="J158" s="3"/>
    </row>
    <row r="159" spans="1:10">
      <c r="A159" s="3"/>
      <c r="B159" s="3"/>
      <c r="C159" s="3"/>
      <c r="D159" s="6"/>
      <c r="E159" s="6"/>
      <c r="F159" s="4"/>
      <c r="G159" s="6"/>
      <c r="H159" s="3"/>
      <c r="I159" s="6"/>
      <c r="J159" s="3"/>
    </row>
    <row r="160" spans="1:10">
      <c r="A160" s="3"/>
      <c r="B160" s="3"/>
      <c r="C160" s="3"/>
      <c r="D160" s="6"/>
      <c r="E160" s="6"/>
      <c r="F160" s="4"/>
      <c r="G160" s="6"/>
      <c r="H160" s="3"/>
      <c r="I160" s="6"/>
      <c r="J160" s="3"/>
    </row>
    <row r="161" spans="1:10">
      <c r="A161" s="3"/>
      <c r="B161" s="3"/>
      <c r="C161" s="3"/>
      <c r="D161" s="6"/>
      <c r="E161" s="6"/>
      <c r="F161" s="4"/>
      <c r="G161" s="6"/>
      <c r="H161" s="3"/>
      <c r="I161" s="6"/>
      <c r="J161" s="3"/>
    </row>
    <row r="162" spans="1:10">
      <c r="A162" s="3"/>
      <c r="B162" s="3"/>
      <c r="C162" s="3"/>
      <c r="D162" s="6"/>
      <c r="E162" s="6"/>
      <c r="F162" s="4"/>
      <c r="G162" s="6"/>
      <c r="H162" s="3"/>
      <c r="I162" s="6"/>
      <c r="J162" s="3"/>
    </row>
    <row r="163" spans="1:10">
      <c r="A163" s="3"/>
      <c r="B163" s="3"/>
      <c r="C163" s="3"/>
      <c r="D163" s="6"/>
      <c r="E163" s="6"/>
      <c r="F163" s="4"/>
      <c r="G163" s="6"/>
      <c r="H163" s="3"/>
      <c r="I163" s="6"/>
      <c r="J163" s="3"/>
    </row>
    <row r="164" spans="1:10">
      <c r="A164" s="3"/>
      <c r="B164" s="3"/>
      <c r="C164" s="3"/>
      <c r="D164" s="6"/>
      <c r="E164" s="6"/>
      <c r="F164" s="4"/>
      <c r="G164" s="6"/>
      <c r="H164" s="3"/>
      <c r="I164" s="6"/>
      <c r="J164" s="3"/>
    </row>
    <row r="165" spans="1:10">
      <c r="A165" s="3"/>
      <c r="B165" s="3"/>
      <c r="C165" s="3"/>
      <c r="D165" s="6"/>
      <c r="E165" s="6"/>
      <c r="F165" s="4"/>
      <c r="G165" s="6"/>
      <c r="H165" s="3"/>
      <c r="I165" s="6"/>
      <c r="J165" s="3"/>
    </row>
    <row r="166" spans="1:10">
      <c r="A166" s="3"/>
      <c r="B166" s="3"/>
      <c r="C166" s="3"/>
      <c r="D166" s="6"/>
      <c r="E166" s="6"/>
      <c r="F166" s="4"/>
      <c r="G166" s="6"/>
      <c r="H166" s="3"/>
      <c r="I166" s="6"/>
      <c r="J166" s="3"/>
    </row>
    <row r="167" spans="1:10">
      <c r="A167" s="3"/>
      <c r="B167" s="3"/>
      <c r="C167" s="3"/>
      <c r="D167" s="6"/>
      <c r="E167" s="6"/>
      <c r="F167" s="4"/>
      <c r="G167" s="6"/>
      <c r="H167" s="3"/>
      <c r="I167" s="6"/>
      <c r="J167" s="3"/>
    </row>
    <row r="168" spans="1:10">
      <c r="A168" s="3"/>
      <c r="B168" s="3"/>
      <c r="C168" s="3"/>
      <c r="D168" s="6"/>
      <c r="E168" s="6"/>
      <c r="F168" s="4"/>
      <c r="G168" s="6"/>
      <c r="H168" s="3"/>
      <c r="I168" s="6"/>
      <c r="J168" s="3"/>
    </row>
    <row r="169" spans="1:10">
      <c r="A169" s="3"/>
      <c r="B169" s="3"/>
      <c r="C169" s="3"/>
      <c r="D169" s="6"/>
      <c r="E169" s="6"/>
      <c r="F169" s="4"/>
      <c r="G169" s="6"/>
      <c r="H169" s="3"/>
      <c r="I169" s="6"/>
      <c r="J169" s="3"/>
    </row>
    <row r="170" spans="1:10">
      <c r="A170" s="3"/>
      <c r="B170" s="3"/>
      <c r="C170" s="3"/>
      <c r="D170" s="6"/>
      <c r="E170" s="6"/>
      <c r="F170" s="4"/>
      <c r="G170" s="6"/>
      <c r="H170" s="3"/>
      <c r="I170" s="6"/>
      <c r="J170" s="3"/>
    </row>
    <row r="171" spans="1:10">
      <c r="A171" s="3"/>
      <c r="B171" s="3"/>
      <c r="C171" s="3"/>
      <c r="D171" s="6"/>
      <c r="E171" s="6"/>
      <c r="F171" s="4"/>
      <c r="G171" s="6"/>
      <c r="H171" s="3"/>
      <c r="I171" s="6"/>
      <c r="J171" s="3"/>
    </row>
    <row r="172" spans="1:10">
      <c r="A172" s="3"/>
      <c r="B172" s="3"/>
      <c r="C172" s="3"/>
      <c r="D172" s="6"/>
      <c r="E172" s="6"/>
      <c r="F172" s="4"/>
      <c r="G172" s="6"/>
      <c r="H172" s="3"/>
      <c r="I172" s="6"/>
      <c r="J172" s="3"/>
    </row>
    <row r="173" spans="1:10">
      <c r="A173" s="3"/>
      <c r="B173" s="3"/>
      <c r="C173" s="3"/>
      <c r="D173" s="6"/>
      <c r="E173" s="6"/>
      <c r="F173" s="4"/>
      <c r="G173" s="6"/>
      <c r="H173" s="3"/>
      <c r="I173" s="6"/>
      <c r="J173" s="3"/>
    </row>
    <row r="174" spans="1:10">
      <c r="A174" s="3"/>
      <c r="B174" s="3"/>
      <c r="C174" s="3"/>
      <c r="D174" s="6"/>
      <c r="E174" s="6"/>
      <c r="F174" s="4"/>
      <c r="G174" s="6"/>
      <c r="H174" s="3"/>
      <c r="I174" s="6"/>
      <c r="J174" s="3"/>
    </row>
    <row r="175" spans="1:10">
      <c r="A175" s="3"/>
      <c r="B175" s="3"/>
      <c r="C175" s="3"/>
      <c r="D175" s="6"/>
      <c r="E175" s="6"/>
      <c r="F175" s="4"/>
      <c r="G175" s="6"/>
      <c r="H175" s="3"/>
      <c r="I175" s="6"/>
      <c r="J175" s="3"/>
    </row>
    <row r="176" spans="1:10">
      <c r="A176" s="3"/>
      <c r="B176" s="3"/>
      <c r="C176" s="3"/>
      <c r="D176" s="6"/>
      <c r="E176" s="6"/>
      <c r="F176" s="4"/>
      <c r="G176" s="6"/>
      <c r="H176" s="3"/>
      <c r="I176" s="6"/>
      <c r="J176" s="3"/>
    </row>
    <row r="177" spans="1:10">
      <c r="A177" s="3"/>
      <c r="B177" s="3"/>
      <c r="C177" s="3"/>
      <c r="D177" s="6"/>
      <c r="E177" s="6"/>
      <c r="F177" s="4"/>
      <c r="G177" s="6"/>
      <c r="H177" s="3"/>
      <c r="I177" s="6"/>
      <c r="J177" s="3"/>
    </row>
    <row r="178" spans="1:10">
      <c r="A178" s="3"/>
      <c r="B178" s="3"/>
      <c r="C178" s="3"/>
      <c r="D178" s="6"/>
      <c r="E178" s="6"/>
      <c r="F178" s="4"/>
      <c r="G178" s="6"/>
      <c r="H178" s="3"/>
      <c r="I178" s="6"/>
      <c r="J178" s="3"/>
    </row>
    <row r="179" spans="1:10">
      <c r="A179" s="3"/>
      <c r="B179" s="3"/>
      <c r="C179" s="3"/>
      <c r="D179" s="6"/>
      <c r="E179" s="6"/>
      <c r="F179" s="4"/>
      <c r="G179" s="6"/>
      <c r="H179" s="3"/>
      <c r="I179" s="6"/>
      <c r="J179" s="3"/>
    </row>
    <row r="180" spans="1:10">
      <c r="A180" s="3"/>
      <c r="B180" s="3"/>
      <c r="C180" s="3"/>
      <c r="D180" s="6"/>
      <c r="E180" s="6"/>
      <c r="F180" s="4"/>
      <c r="G180" s="6"/>
      <c r="H180" s="3"/>
      <c r="I180" s="6"/>
      <c r="J180" s="3"/>
    </row>
    <row r="181" spans="1:10">
      <c r="A181" s="3"/>
      <c r="B181" s="3"/>
      <c r="C181" s="3"/>
      <c r="D181" s="6"/>
      <c r="E181" s="6"/>
      <c r="F181" s="4"/>
      <c r="G181" s="6"/>
      <c r="H181" s="3"/>
      <c r="I181" s="6"/>
      <c r="J181" s="3"/>
    </row>
    <row r="182" spans="1:10">
      <c r="A182" s="3"/>
      <c r="B182" s="3"/>
      <c r="C182" s="3"/>
      <c r="D182" s="6"/>
      <c r="E182" s="6"/>
      <c r="F182" s="4"/>
      <c r="G182" s="6"/>
      <c r="H182" s="3"/>
      <c r="I182" s="6"/>
      <c r="J182" s="3"/>
    </row>
    <row r="183" spans="1:10">
      <c r="A183" s="3"/>
      <c r="B183" s="3"/>
      <c r="C183" s="3"/>
      <c r="D183" s="6"/>
      <c r="E183" s="6"/>
      <c r="F183" s="4"/>
      <c r="G183" s="6"/>
      <c r="H183" s="3"/>
      <c r="I183" s="6"/>
      <c r="J183" s="3"/>
    </row>
    <row r="184" spans="1:10">
      <c r="A184" s="3"/>
      <c r="B184" s="3"/>
      <c r="C184" s="3"/>
      <c r="D184" s="6"/>
      <c r="E184" s="6"/>
      <c r="F184" s="4"/>
      <c r="G184" s="6"/>
      <c r="H184" s="3"/>
      <c r="I184" s="6"/>
      <c r="J184" s="3"/>
    </row>
    <row r="185" spans="1:10">
      <c r="A185" s="3"/>
      <c r="B185" s="3"/>
      <c r="C185" s="3"/>
      <c r="D185" s="6"/>
      <c r="E185" s="6"/>
      <c r="F185" s="4"/>
      <c r="G185" s="6"/>
      <c r="H185" s="3"/>
      <c r="I185" s="6"/>
      <c r="J185" s="3"/>
    </row>
    <row r="186" spans="1:10">
      <c r="A186" s="3"/>
      <c r="B186" s="3"/>
      <c r="C186" s="3"/>
      <c r="D186" s="6"/>
      <c r="E186" s="6"/>
      <c r="F186" s="4"/>
      <c r="G186" s="6"/>
      <c r="H186" s="3"/>
      <c r="I186" s="6"/>
      <c r="J186" s="3"/>
    </row>
    <row r="187" spans="1:10">
      <c r="A187" s="3"/>
      <c r="B187" s="3"/>
      <c r="C187" s="3"/>
      <c r="D187" s="6"/>
      <c r="E187" s="6"/>
      <c r="F187" s="4"/>
      <c r="G187" s="6"/>
      <c r="H187" s="3"/>
      <c r="I187" s="6"/>
      <c r="J187" s="3"/>
    </row>
    <row r="188" spans="1:10">
      <c r="A188" s="3"/>
      <c r="B188" s="3"/>
      <c r="C188" s="3"/>
      <c r="D188" s="6"/>
      <c r="E188" s="6"/>
      <c r="F188" s="4"/>
      <c r="G188" s="6"/>
      <c r="H188" s="3"/>
      <c r="I188" s="6"/>
      <c r="J188" s="3"/>
    </row>
    <row r="189" spans="1:10">
      <c r="A189" s="3"/>
      <c r="B189" s="3"/>
      <c r="C189" s="3"/>
      <c r="D189" s="6"/>
      <c r="E189" s="6"/>
      <c r="F189" s="4"/>
      <c r="G189" s="6"/>
      <c r="H189" s="3"/>
      <c r="I189" s="6"/>
      <c r="J189" s="3"/>
    </row>
    <row r="190" spans="1:10">
      <c r="A190" s="3"/>
      <c r="B190" s="3"/>
      <c r="C190" s="3"/>
      <c r="D190" s="6"/>
      <c r="E190" s="6"/>
      <c r="F190" s="4"/>
      <c r="G190" s="6"/>
      <c r="H190" s="3"/>
      <c r="I190" s="6"/>
      <c r="J190" s="3"/>
    </row>
    <row r="191" spans="1:10">
      <c r="A191" s="3"/>
      <c r="B191" s="3"/>
      <c r="C191" s="3"/>
      <c r="D191" s="6"/>
      <c r="E191" s="6"/>
      <c r="F191" s="4"/>
      <c r="G191" s="6"/>
      <c r="H191" s="3"/>
      <c r="I191" s="6"/>
      <c r="J191" s="3"/>
    </row>
    <row r="192" spans="1:10">
      <c r="A192" s="3"/>
      <c r="B192" s="3"/>
      <c r="C192" s="3"/>
      <c r="D192" s="6"/>
      <c r="E192" s="6"/>
      <c r="F192" s="4"/>
      <c r="G192" s="6"/>
      <c r="H192" s="3"/>
      <c r="I192" s="6"/>
      <c r="J192" s="3"/>
    </row>
    <row r="193" spans="1:10">
      <c r="A193" s="3"/>
      <c r="B193" s="3"/>
      <c r="C193" s="3"/>
      <c r="D193" s="6"/>
      <c r="E193" s="6"/>
      <c r="F193" s="4"/>
      <c r="G193" s="6"/>
      <c r="H193" s="3"/>
      <c r="I193" s="6"/>
      <c r="J193" s="3"/>
    </row>
    <row r="194" spans="1:10">
      <c r="A194" s="3"/>
      <c r="B194" s="3"/>
      <c r="C194" s="3"/>
      <c r="D194" s="6"/>
      <c r="E194" s="6"/>
      <c r="F194" s="4"/>
      <c r="G194" s="6"/>
      <c r="H194" s="3"/>
      <c r="I194" s="6"/>
      <c r="J194" s="3"/>
    </row>
    <row r="195" spans="1:10">
      <c r="A195" s="3"/>
      <c r="B195" s="3"/>
      <c r="C195" s="3"/>
      <c r="D195" s="6"/>
      <c r="E195" s="6"/>
      <c r="F195" s="4"/>
      <c r="G195" s="6"/>
      <c r="H195" s="3"/>
      <c r="I195" s="6"/>
      <c r="J195" s="3"/>
    </row>
    <row r="196" spans="1:10">
      <c r="A196" s="3"/>
      <c r="B196" s="3"/>
      <c r="C196" s="3"/>
      <c r="D196" s="6"/>
      <c r="E196" s="6"/>
      <c r="F196" s="4"/>
      <c r="G196" s="6"/>
      <c r="H196" s="3"/>
      <c r="I196" s="6"/>
      <c r="J196" s="3"/>
    </row>
    <row r="197" spans="1:10">
      <c r="A197" s="3"/>
      <c r="B197" s="3"/>
      <c r="C197" s="3"/>
      <c r="D197" s="6"/>
      <c r="E197" s="6"/>
      <c r="F197" s="4"/>
      <c r="G197" s="6"/>
      <c r="H197" s="3"/>
      <c r="I197" s="6"/>
      <c r="J197" s="3"/>
    </row>
    <row r="198" spans="1:10">
      <c r="A198" s="3"/>
      <c r="B198" s="3"/>
      <c r="C198" s="3"/>
      <c r="D198" s="6"/>
      <c r="E198" s="6"/>
      <c r="F198" s="4"/>
      <c r="G198" s="6"/>
      <c r="H198" s="3"/>
      <c r="I198" s="6"/>
      <c r="J198" s="3"/>
    </row>
    <row r="199" spans="1:10">
      <c r="A199" s="3"/>
      <c r="B199" s="3"/>
      <c r="C199" s="3"/>
      <c r="D199" s="6"/>
      <c r="E199" s="6"/>
      <c r="F199" s="4"/>
      <c r="G199" s="6"/>
      <c r="H199" s="3"/>
      <c r="I199" s="6"/>
      <c r="J199" s="3"/>
    </row>
    <row r="200" spans="1:10">
      <c r="A200" s="3"/>
      <c r="B200" s="3"/>
      <c r="C200" s="3"/>
      <c r="D200" s="6"/>
      <c r="E200" s="6"/>
      <c r="F200" s="4"/>
      <c r="G200" s="6"/>
      <c r="H200" s="3"/>
      <c r="I200" s="6"/>
      <c r="J200" s="3"/>
    </row>
    <row r="201" spans="1:10">
      <c r="D201" s="7"/>
      <c r="E201" s="7"/>
      <c r="F201" s="5"/>
      <c r="G201" s="7"/>
      <c r="I201" s="7"/>
    </row>
    <row r="202" spans="1:10">
      <c r="D202" s="7"/>
      <c r="E202" s="7"/>
      <c r="F202" s="5"/>
      <c r="G202" s="7"/>
      <c r="I202" s="7"/>
    </row>
    <row r="203" spans="1:10">
      <c r="D203" s="7"/>
      <c r="E203" s="7"/>
      <c r="F203" s="5"/>
      <c r="G203" s="7"/>
      <c r="I203" s="7"/>
    </row>
    <row r="204" spans="1:10">
      <c r="D204" s="7"/>
      <c r="E204" s="7"/>
      <c r="F204" s="5"/>
      <c r="G204" s="7"/>
      <c r="I204" s="7"/>
    </row>
    <row r="205" spans="1:10">
      <c r="D205" s="7"/>
      <c r="E205" s="7"/>
      <c r="F205" s="5"/>
      <c r="G205" s="7"/>
      <c r="I205" s="7"/>
    </row>
    <row r="206" spans="1:10">
      <c r="D206" s="7"/>
      <c r="E206" s="7"/>
      <c r="F206" s="5"/>
      <c r="G206" s="7"/>
      <c r="I206" s="7"/>
    </row>
    <row r="207" spans="1:10">
      <c r="D207" s="7"/>
      <c r="E207" s="7"/>
      <c r="F207" s="5"/>
      <c r="G207" s="7"/>
      <c r="I207" s="7"/>
    </row>
    <row r="208" spans="1:10">
      <c r="D208" s="7"/>
      <c r="E208" s="7"/>
      <c r="F208" s="5"/>
      <c r="G208" s="7"/>
      <c r="I208" s="7"/>
    </row>
    <row r="209" spans="4:9">
      <c r="D209" s="7"/>
      <c r="E209" s="7"/>
      <c r="F209" s="5"/>
      <c r="G209" s="7"/>
      <c r="I209" s="7"/>
    </row>
    <row r="210" spans="4:9">
      <c r="D210" s="7"/>
      <c r="E210" s="7"/>
      <c r="F210" s="5"/>
      <c r="G210" s="7"/>
      <c r="I210" s="7"/>
    </row>
    <row r="211" spans="4:9">
      <c r="D211" s="7"/>
      <c r="E211" s="7"/>
      <c r="F211" s="5"/>
      <c r="G211" s="7"/>
      <c r="I211" s="7"/>
    </row>
    <row r="212" spans="4:9">
      <c r="D212" s="7"/>
      <c r="E212" s="7"/>
      <c r="F212" s="5"/>
      <c r="G212" s="7"/>
      <c r="I212" s="7"/>
    </row>
    <row r="213" spans="4:9">
      <c r="D213" s="7"/>
      <c r="E213" s="7"/>
      <c r="F213" s="5"/>
      <c r="G213" s="7"/>
      <c r="I213" s="7"/>
    </row>
    <row r="214" spans="4:9">
      <c r="D214" s="7"/>
      <c r="E214" s="7"/>
      <c r="F214" s="5"/>
      <c r="G214" s="7"/>
      <c r="I214" s="7"/>
    </row>
    <row r="215" spans="4:9">
      <c r="D215" s="7"/>
      <c r="E215" s="7"/>
      <c r="F215" s="5"/>
      <c r="G215" s="7"/>
      <c r="I215" s="7"/>
    </row>
    <row r="216" spans="4:9">
      <c r="D216" s="7"/>
      <c r="E216" s="7"/>
      <c r="F216" s="5"/>
      <c r="G216" s="7"/>
      <c r="I216" s="7"/>
    </row>
    <row r="217" spans="4:9">
      <c r="D217" s="7"/>
      <c r="E217" s="7"/>
      <c r="F217" s="5"/>
      <c r="G217" s="7"/>
      <c r="I217" s="7"/>
    </row>
    <row r="218" spans="4:9">
      <c r="D218" s="7"/>
      <c r="E218" s="7"/>
      <c r="F218" s="5"/>
      <c r="G218" s="7"/>
      <c r="I218" s="7"/>
    </row>
    <row r="219" spans="4:9">
      <c r="D219" s="7"/>
      <c r="E219" s="7"/>
      <c r="F219" s="5"/>
      <c r="G219" s="7"/>
      <c r="I219" s="7"/>
    </row>
    <row r="220" spans="4:9">
      <c r="D220" s="7"/>
      <c r="E220" s="7"/>
      <c r="F220" s="5"/>
      <c r="G220" s="7"/>
      <c r="I220" s="7"/>
    </row>
    <row r="221" spans="4:9">
      <c r="D221" s="7"/>
      <c r="E221" s="7"/>
      <c r="F221" s="5"/>
      <c r="G221" s="7"/>
      <c r="I221" s="7"/>
    </row>
    <row r="222" spans="4:9">
      <c r="D222" s="7"/>
      <c r="E222" s="7"/>
      <c r="F222" s="5"/>
      <c r="G222" s="7"/>
      <c r="I222" s="7"/>
    </row>
    <row r="223" spans="4:9">
      <c r="D223" s="7"/>
      <c r="E223" s="7"/>
      <c r="F223" s="5"/>
      <c r="G223" s="7"/>
      <c r="I223" s="7"/>
    </row>
    <row r="224" spans="4:9">
      <c r="D224" s="7"/>
      <c r="E224" s="7"/>
      <c r="F224" s="5"/>
      <c r="G224" s="7"/>
      <c r="I224" s="7"/>
    </row>
    <row r="225" spans="4:9">
      <c r="D225" s="7"/>
      <c r="E225" s="7"/>
      <c r="F225" s="5"/>
      <c r="G225" s="7"/>
      <c r="I225" s="7"/>
    </row>
    <row r="226" spans="4:9">
      <c r="D226" s="7"/>
      <c r="E226" s="7"/>
      <c r="F226" s="5"/>
      <c r="G226" s="7"/>
      <c r="I226" s="7"/>
    </row>
    <row r="227" spans="4:9">
      <c r="D227" s="7"/>
      <c r="E227" s="7"/>
      <c r="F227" s="5"/>
      <c r="G227" s="7"/>
      <c r="I227" s="7"/>
    </row>
    <row r="228" spans="4:9">
      <c r="D228" s="7"/>
      <c r="E228" s="7"/>
      <c r="F228" s="5"/>
      <c r="G228" s="7"/>
      <c r="I228" s="7"/>
    </row>
    <row r="229" spans="4:9">
      <c r="D229" s="7"/>
      <c r="E229" s="7"/>
      <c r="F229" s="5"/>
      <c r="G229" s="7"/>
      <c r="I229" s="7"/>
    </row>
    <row r="230" spans="4:9">
      <c r="D230" s="7"/>
      <c r="E230" s="7"/>
      <c r="F230" s="5"/>
      <c r="G230" s="7"/>
      <c r="I230" s="7"/>
    </row>
    <row r="231" spans="4:9">
      <c r="D231" s="7"/>
      <c r="E231" s="7"/>
      <c r="F231" s="5"/>
      <c r="G231" s="7"/>
      <c r="I231" s="7"/>
    </row>
    <row r="232" spans="4:9">
      <c r="D232" s="7"/>
      <c r="E232" s="7"/>
      <c r="F232" s="5"/>
      <c r="G232" s="7"/>
      <c r="I232" s="7"/>
    </row>
    <row r="233" spans="4:9">
      <c r="D233" s="7"/>
      <c r="E233" s="7"/>
      <c r="F233" s="5"/>
      <c r="G233" s="7"/>
      <c r="I233" s="7"/>
    </row>
    <row r="234" spans="4:9">
      <c r="D234" s="7"/>
      <c r="E234" s="7"/>
      <c r="F234" s="5"/>
      <c r="G234" s="7"/>
      <c r="I234" s="7"/>
    </row>
    <row r="235" spans="4:9">
      <c r="D235" s="7"/>
      <c r="E235" s="7"/>
      <c r="F235" s="5"/>
      <c r="G235" s="7"/>
      <c r="I235" s="7"/>
    </row>
    <row r="236" spans="4:9">
      <c r="D236" s="7"/>
      <c r="E236" s="7"/>
      <c r="F236" s="5"/>
      <c r="G236" s="7"/>
      <c r="I236" s="7"/>
    </row>
    <row r="237" spans="4:9">
      <c r="D237" s="7"/>
      <c r="E237" s="7"/>
      <c r="F237" s="5"/>
      <c r="G237" s="7"/>
      <c r="I237" s="7"/>
    </row>
    <row r="238" spans="4:9">
      <c r="D238" s="7"/>
      <c r="E238" s="7"/>
      <c r="F238" s="5"/>
      <c r="G238" s="7"/>
      <c r="I238" s="7"/>
    </row>
    <row r="239" spans="4:9">
      <c r="D239" s="7"/>
      <c r="E239" s="7"/>
      <c r="F239" s="5"/>
      <c r="G239" s="7"/>
      <c r="I239" s="7"/>
    </row>
    <row r="240" spans="4:9">
      <c r="D240" s="7"/>
      <c r="E240" s="7"/>
      <c r="F240" s="5"/>
      <c r="G240" s="7"/>
      <c r="I240" s="7"/>
    </row>
    <row r="241" spans="4:9">
      <c r="D241" s="7"/>
      <c r="E241" s="7"/>
      <c r="F241" s="5"/>
      <c r="G241" s="7"/>
      <c r="I241" s="7"/>
    </row>
    <row r="242" spans="4:9">
      <c r="D242" s="7"/>
      <c r="E242" s="7"/>
      <c r="F242" s="5"/>
      <c r="G242" s="7"/>
      <c r="I242" s="7"/>
    </row>
    <row r="243" spans="4:9">
      <c r="D243" s="7"/>
      <c r="E243" s="7"/>
      <c r="F243" s="5"/>
      <c r="G243" s="7"/>
      <c r="I243" s="7"/>
    </row>
    <row r="244" spans="4:9">
      <c r="D244" s="7"/>
      <c r="E244" s="7"/>
      <c r="F244" s="5"/>
      <c r="G244" s="7"/>
      <c r="I244" s="7"/>
    </row>
    <row r="245" spans="4:9">
      <c r="D245" s="7"/>
      <c r="E245" s="7"/>
      <c r="F245" s="5"/>
      <c r="G245" s="7"/>
      <c r="I245" s="7"/>
    </row>
    <row r="246" spans="4:9">
      <c r="D246" s="7"/>
      <c r="E246" s="7"/>
      <c r="F246" s="5"/>
      <c r="G246" s="7"/>
      <c r="I246" s="7"/>
    </row>
    <row r="247" spans="4:9">
      <c r="D247" s="7"/>
      <c r="E247" s="7"/>
      <c r="F247" s="5"/>
      <c r="G247" s="7"/>
      <c r="I247" s="7"/>
    </row>
    <row r="248" spans="4:9">
      <c r="D248" s="7"/>
      <c r="E248" s="7"/>
      <c r="F248" s="5"/>
      <c r="G248" s="7"/>
      <c r="I248" s="7"/>
    </row>
    <row r="249" spans="4:9">
      <c r="D249" s="7"/>
      <c r="E249" s="7"/>
      <c r="F249" s="5"/>
      <c r="G249" s="7"/>
      <c r="I249" s="7"/>
    </row>
    <row r="250" spans="4:9">
      <c r="D250" s="7"/>
      <c r="E250" s="7"/>
      <c r="F250" s="5"/>
      <c r="G250" s="7"/>
      <c r="I250" s="7"/>
    </row>
    <row r="251" spans="4:9">
      <c r="D251" s="7"/>
      <c r="E251" s="7"/>
      <c r="F251" s="5"/>
      <c r="G251" s="7"/>
      <c r="I251" s="7"/>
    </row>
    <row r="252" spans="4:9">
      <c r="D252" s="7"/>
      <c r="E252" s="7"/>
      <c r="F252" s="5"/>
      <c r="G252" s="7"/>
      <c r="I252" s="7"/>
    </row>
    <row r="253" spans="4:9">
      <c r="D253" s="7"/>
      <c r="E253" s="7"/>
      <c r="F253" s="5"/>
      <c r="G253" s="7"/>
      <c r="I253" s="7"/>
    </row>
    <row r="254" spans="4:9">
      <c r="D254" s="7"/>
      <c r="E254" s="7"/>
      <c r="F254" s="5"/>
      <c r="G254" s="7"/>
      <c r="I254" s="7"/>
    </row>
    <row r="255" spans="4:9">
      <c r="D255" s="7"/>
      <c r="E255" s="7"/>
      <c r="F255" s="5"/>
      <c r="G255" s="7"/>
      <c r="I255" s="7"/>
    </row>
    <row r="256" spans="4:9">
      <c r="D256" s="7"/>
      <c r="E256" s="7"/>
      <c r="F256" s="5"/>
      <c r="G256" s="7"/>
      <c r="I256" s="7"/>
    </row>
    <row r="257" spans="4:9">
      <c r="D257" s="7"/>
      <c r="E257" s="7"/>
      <c r="F257" s="5"/>
      <c r="G257" s="7"/>
      <c r="I257" s="7"/>
    </row>
    <row r="258" spans="4:9">
      <c r="D258" s="7"/>
      <c r="E258" s="7"/>
      <c r="F258" s="5"/>
      <c r="G258" s="7"/>
      <c r="I258" s="7"/>
    </row>
    <row r="259" spans="4:9">
      <c r="D259" s="7"/>
      <c r="E259" s="7"/>
      <c r="F259" s="5"/>
      <c r="G259" s="7"/>
      <c r="I259" s="7"/>
    </row>
    <row r="260" spans="4:9">
      <c r="D260" s="7"/>
      <c r="E260" s="7"/>
      <c r="F260" s="5"/>
      <c r="G260" s="7"/>
      <c r="I260" s="7"/>
    </row>
    <row r="261" spans="4:9">
      <c r="D261" s="7"/>
      <c r="E261" s="7"/>
      <c r="F261" s="5"/>
      <c r="G261" s="7"/>
      <c r="I261" s="7"/>
    </row>
    <row r="262" spans="4:9">
      <c r="D262" s="7"/>
      <c r="E262" s="7"/>
      <c r="F262" s="5"/>
      <c r="G262" s="7"/>
      <c r="I262" s="7"/>
    </row>
    <row r="263" spans="4:9">
      <c r="D263" s="7"/>
      <c r="E263" s="7"/>
      <c r="F263" s="5"/>
      <c r="G263" s="7"/>
      <c r="I263" s="7"/>
    </row>
    <row r="264" spans="4:9">
      <c r="D264" s="7"/>
      <c r="E264" s="7"/>
      <c r="F264" s="5"/>
      <c r="G264" s="7"/>
      <c r="I264" s="7"/>
    </row>
    <row r="265" spans="4:9">
      <c r="D265" s="7"/>
      <c r="E265" s="7"/>
      <c r="F265" s="5"/>
      <c r="G265" s="7"/>
      <c r="I265" s="7"/>
    </row>
    <row r="266" spans="4:9">
      <c r="D266" s="7"/>
      <c r="E266" s="7"/>
      <c r="F266" s="5"/>
      <c r="G266" s="7"/>
      <c r="I266" s="7"/>
    </row>
    <row r="267" spans="4:9">
      <c r="D267" s="7"/>
      <c r="E267" s="7"/>
      <c r="F267" s="5"/>
      <c r="G267" s="7"/>
      <c r="I267" s="7"/>
    </row>
    <row r="268" spans="4:9">
      <c r="D268" s="7"/>
      <c r="E268" s="7"/>
      <c r="F268" s="5"/>
      <c r="G268" s="7"/>
      <c r="I268" s="7"/>
    </row>
    <row r="269" spans="4:9">
      <c r="D269" s="7"/>
      <c r="E269" s="7"/>
      <c r="F269" s="5"/>
      <c r="G269" s="7"/>
      <c r="I269" s="7"/>
    </row>
    <row r="270" spans="4:9">
      <c r="D270" s="7"/>
      <c r="E270" s="7"/>
      <c r="F270" s="5"/>
      <c r="G270" s="7"/>
      <c r="I270" s="7"/>
    </row>
    <row r="271" spans="4:9">
      <c r="D271" s="7"/>
      <c r="E271" s="7"/>
      <c r="F271" s="5"/>
      <c r="G271" s="7"/>
      <c r="I271" s="7"/>
    </row>
    <row r="272" spans="4:9">
      <c r="D272" s="7"/>
      <c r="E272" s="7"/>
      <c r="F272" s="5"/>
      <c r="G272" s="7"/>
      <c r="I272" s="7"/>
    </row>
    <row r="273" spans="4:9">
      <c r="D273" s="7"/>
      <c r="E273" s="7"/>
      <c r="F273" s="5"/>
      <c r="G273" s="7"/>
      <c r="I273" s="7"/>
    </row>
    <row r="274" spans="4:9">
      <c r="D274" s="7"/>
      <c r="E274" s="7"/>
      <c r="F274" s="5"/>
      <c r="G274" s="7"/>
      <c r="I274" s="7"/>
    </row>
    <row r="275" spans="4:9">
      <c r="D275" s="7"/>
      <c r="E275" s="7"/>
      <c r="F275" s="5"/>
      <c r="G275" s="7"/>
      <c r="I275" s="7"/>
    </row>
    <row r="276" spans="4:9">
      <c r="D276" s="7"/>
      <c r="E276" s="7"/>
      <c r="F276" s="5"/>
      <c r="G276" s="7"/>
      <c r="I276" s="7"/>
    </row>
    <row r="277" spans="4:9">
      <c r="D277" s="7"/>
      <c r="E277" s="7"/>
      <c r="F277" s="5"/>
      <c r="G277" s="7"/>
      <c r="I277" s="7"/>
    </row>
    <row r="278" spans="4:9">
      <c r="D278" s="7"/>
      <c r="E278" s="7"/>
      <c r="F278" s="5"/>
      <c r="G278" s="7"/>
      <c r="I278" s="7"/>
    </row>
    <row r="279" spans="4:9">
      <c r="D279" s="7"/>
      <c r="E279" s="7"/>
      <c r="F279" s="5"/>
      <c r="G279" s="7"/>
      <c r="I279" s="7"/>
    </row>
    <row r="280" spans="4:9">
      <c r="D280" s="7"/>
      <c r="E280" s="7"/>
      <c r="F280" s="5"/>
      <c r="G280" s="7"/>
      <c r="I280" s="7"/>
    </row>
    <row r="281" spans="4:9">
      <c r="D281" s="7"/>
      <c r="E281" s="7"/>
      <c r="F281" s="5"/>
      <c r="G281" s="7"/>
      <c r="I281" s="7"/>
    </row>
    <row r="282" spans="4:9">
      <c r="D282" s="7"/>
      <c r="E282" s="7"/>
      <c r="F282" s="5"/>
      <c r="G282" s="7"/>
      <c r="I282" s="7"/>
    </row>
    <row r="283" spans="4:9">
      <c r="D283" s="7"/>
      <c r="E283" s="7"/>
      <c r="F283" s="5"/>
      <c r="G283" s="7"/>
      <c r="I283" s="7"/>
    </row>
    <row r="284" spans="4:9">
      <c r="D284" s="7"/>
      <c r="E284" s="7"/>
      <c r="F284" s="5"/>
      <c r="G284" s="7"/>
      <c r="I284" s="7"/>
    </row>
    <row r="285" spans="4:9">
      <c r="D285" s="7"/>
      <c r="E285" s="7"/>
      <c r="F285" s="5"/>
      <c r="G285" s="7"/>
      <c r="I285" s="7"/>
    </row>
    <row r="286" spans="4:9">
      <c r="D286" s="7"/>
      <c r="E286" s="7"/>
      <c r="F286" s="5"/>
      <c r="G286" s="7"/>
      <c r="I286" s="7"/>
    </row>
    <row r="287" spans="4:9">
      <c r="D287" s="7"/>
      <c r="E287" s="7"/>
      <c r="F287" s="5"/>
      <c r="G287" s="7"/>
      <c r="I287" s="7"/>
    </row>
    <row r="288" spans="4:9">
      <c r="D288" s="7"/>
      <c r="E288" s="7"/>
      <c r="F288" s="5"/>
      <c r="G288" s="7"/>
      <c r="I288" s="7"/>
    </row>
    <row r="289" spans="4:9">
      <c r="D289" s="7"/>
      <c r="E289" s="7"/>
      <c r="F289" s="5"/>
      <c r="G289" s="7"/>
      <c r="I289" s="7"/>
    </row>
    <row r="290" spans="4:9">
      <c r="D290" s="7"/>
      <c r="E290" s="7"/>
      <c r="F290" s="5"/>
      <c r="G290" s="7"/>
      <c r="I290" s="7"/>
    </row>
    <row r="291" spans="4:9">
      <c r="D291" s="7"/>
      <c r="E291" s="7"/>
      <c r="F291" s="5"/>
      <c r="G291" s="7"/>
      <c r="I291" s="7"/>
    </row>
    <row r="292" spans="4:9">
      <c r="D292" s="7"/>
      <c r="E292" s="7"/>
      <c r="F292" s="5"/>
      <c r="G292" s="7"/>
      <c r="I292" s="7"/>
    </row>
    <row r="293" spans="4:9">
      <c r="D293" s="7"/>
      <c r="E293" s="7"/>
      <c r="F293" s="5"/>
      <c r="G293" s="7"/>
      <c r="I293" s="7"/>
    </row>
    <row r="294" spans="4:9">
      <c r="D294" s="7"/>
      <c r="E294" s="7"/>
      <c r="F294" s="5"/>
      <c r="G294" s="7"/>
      <c r="I294" s="7"/>
    </row>
    <row r="295" spans="4:9">
      <c r="D295" s="7"/>
      <c r="E295" s="7"/>
      <c r="F295" s="5"/>
      <c r="G295" s="7"/>
      <c r="I295" s="7"/>
    </row>
    <row r="296" spans="4:9">
      <c r="D296" s="7"/>
      <c r="E296" s="7"/>
      <c r="F296" s="5"/>
      <c r="G296" s="7"/>
      <c r="I296" s="7"/>
    </row>
    <row r="297" spans="4:9">
      <c r="D297" s="7"/>
      <c r="E297" s="7"/>
      <c r="F297" s="5"/>
      <c r="G297" s="7"/>
      <c r="I297" s="7"/>
    </row>
    <row r="298" spans="4:9">
      <c r="D298" s="7"/>
      <c r="E298" s="7"/>
      <c r="F298" s="5"/>
      <c r="G298" s="7"/>
      <c r="I298" s="7"/>
    </row>
    <row r="299" spans="4:9">
      <c r="D299" s="7"/>
      <c r="E299" s="7"/>
      <c r="F299" s="5"/>
      <c r="G299" s="7"/>
      <c r="I299" s="7"/>
    </row>
    <row r="300" spans="4:9">
      <c r="D300" s="7"/>
      <c r="E300" s="7"/>
      <c r="F300" s="5"/>
      <c r="G300" s="7"/>
      <c r="I300" s="7"/>
    </row>
    <row r="301" spans="4:9">
      <c r="D301" s="7"/>
      <c r="E301" s="7"/>
      <c r="F301" s="5"/>
      <c r="G301" s="7"/>
      <c r="I301" s="7"/>
    </row>
    <row r="302" spans="4:9">
      <c r="D302" s="7"/>
      <c r="E302" s="7"/>
      <c r="F302" s="5"/>
      <c r="G302" s="7"/>
      <c r="I302" s="7"/>
    </row>
    <row r="303" spans="4:9">
      <c r="D303" s="7"/>
      <c r="E303" s="7"/>
      <c r="F303" s="5"/>
      <c r="G303" s="7"/>
      <c r="I303" s="7"/>
    </row>
    <row r="304" spans="4:9">
      <c r="D304" s="7"/>
      <c r="E304" s="7"/>
      <c r="F304" s="5"/>
      <c r="G304" s="7"/>
      <c r="I304" s="7"/>
    </row>
    <row r="305" spans="4:9">
      <c r="D305" s="7"/>
      <c r="E305" s="7"/>
      <c r="F305" s="5"/>
      <c r="G305" s="7"/>
      <c r="I305" s="7"/>
    </row>
    <row r="306" spans="4:9">
      <c r="D306" s="7"/>
      <c r="E306" s="7"/>
      <c r="F306" s="5"/>
      <c r="G306" s="7"/>
      <c r="I306" s="7"/>
    </row>
    <row r="307" spans="4:9">
      <c r="D307" s="7"/>
      <c r="E307" s="7"/>
      <c r="F307" s="5"/>
      <c r="G307" s="7"/>
      <c r="I307" s="7"/>
    </row>
    <row r="308" spans="4:9">
      <c r="D308" s="7"/>
      <c r="E308" s="7"/>
      <c r="F308" s="5"/>
      <c r="G308" s="7"/>
      <c r="I308" s="7"/>
    </row>
    <row r="309" spans="4:9">
      <c r="D309" s="7"/>
      <c r="E309" s="7"/>
      <c r="F309" s="5"/>
      <c r="G309" s="7"/>
      <c r="I309" s="7"/>
    </row>
    <row r="310" spans="4:9">
      <c r="D310" s="7"/>
      <c r="E310" s="7"/>
      <c r="F310" s="5"/>
      <c r="G310" s="7"/>
      <c r="I310" s="7"/>
    </row>
    <row r="311" spans="4:9">
      <c r="D311" s="7"/>
      <c r="E311" s="7"/>
      <c r="F311" s="5"/>
      <c r="G311" s="7"/>
      <c r="I311" s="7"/>
    </row>
    <row r="312" spans="4:9">
      <c r="D312" s="7"/>
      <c r="E312" s="7"/>
      <c r="F312" s="5"/>
      <c r="G312" s="7"/>
      <c r="I312" s="7"/>
    </row>
    <row r="313" spans="4:9">
      <c r="D313" s="7"/>
      <c r="E313" s="7"/>
      <c r="F313" s="5"/>
      <c r="G313" s="7"/>
      <c r="I313" s="7"/>
    </row>
    <row r="314" spans="4:9">
      <c r="D314" s="7"/>
      <c r="E314" s="7"/>
      <c r="F314" s="5"/>
      <c r="G314" s="7"/>
      <c r="I314" s="7"/>
    </row>
    <row r="315" spans="4:9">
      <c r="D315" s="7"/>
      <c r="E315" s="7"/>
      <c r="F315" s="5"/>
      <c r="G315" s="7"/>
      <c r="I315" s="7"/>
    </row>
    <row r="316" spans="4:9">
      <c r="D316" s="7"/>
      <c r="E316" s="7"/>
      <c r="F316" s="5"/>
      <c r="G316" s="7"/>
      <c r="I316" s="7"/>
    </row>
    <row r="317" spans="4:9">
      <c r="D317" s="7"/>
      <c r="E317" s="7"/>
      <c r="F317" s="5"/>
      <c r="G317" s="7"/>
      <c r="I317" s="7"/>
    </row>
    <row r="318" spans="4:9">
      <c r="D318" s="7"/>
      <c r="E318" s="7"/>
      <c r="F318" s="5"/>
      <c r="G318" s="7"/>
      <c r="I318" s="7"/>
    </row>
    <row r="319" spans="4:9">
      <c r="D319" s="7"/>
      <c r="E319" s="7"/>
      <c r="F319" s="5"/>
      <c r="G319" s="7"/>
      <c r="I319" s="7"/>
    </row>
    <row r="320" spans="4:9">
      <c r="D320" s="7"/>
      <c r="E320" s="7"/>
      <c r="F320" s="5"/>
      <c r="G320" s="7"/>
      <c r="I320" s="7"/>
    </row>
    <row r="321" spans="4:9">
      <c r="D321" s="7"/>
      <c r="E321" s="7"/>
      <c r="F321" s="5"/>
      <c r="G321" s="7"/>
      <c r="I321" s="7"/>
    </row>
    <row r="322" spans="4:9">
      <c r="D322" s="7"/>
      <c r="E322" s="7"/>
      <c r="F322" s="5"/>
      <c r="G322" s="7"/>
      <c r="I322" s="7"/>
    </row>
    <row r="323" spans="4:9">
      <c r="D323" s="7"/>
      <c r="E323" s="7"/>
      <c r="F323" s="5"/>
      <c r="G323" s="7"/>
      <c r="I323" s="7"/>
    </row>
    <row r="324" spans="4:9">
      <c r="D324" s="7"/>
      <c r="E324" s="7"/>
      <c r="F324" s="5"/>
      <c r="G324" s="7"/>
      <c r="I324" s="7"/>
    </row>
    <row r="325" spans="4:9">
      <c r="D325" s="7"/>
      <c r="E325" s="7"/>
      <c r="F325" s="5"/>
      <c r="G325" s="7"/>
      <c r="I325" s="7"/>
    </row>
    <row r="326" spans="4:9">
      <c r="D326" s="7"/>
      <c r="E326" s="7"/>
      <c r="F326" s="5"/>
      <c r="G326" s="7"/>
      <c r="I326" s="7"/>
    </row>
    <row r="327" spans="4:9">
      <c r="D327" s="7"/>
      <c r="E327" s="7"/>
      <c r="F327" s="5"/>
      <c r="G327" s="7"/>
      <c r="I327" s="7"/>
    </row>
    <row r="328" spans="4:9">
      <c r="D328" s="7"/>
      <c r="E328" s="7"/>
      <c r="F328" s="5"/>
      <c r="G328" s="7"/>
      <c r="I328" s="7"/>
    </row>
    <row r="329" spans="4:9">
      <c r="D329" s="7"/>
      <c r="E329" s="7"/>
      <c r="F329" s="5"/>
      <c r="G329" s="7"/>
      <c r="I329" s="7"/>
    </row>
    <row r="330" spans="4:9">
      <c r="D330" s="7"/>
      <c r="E330" s="7"/>
      <c r="F330" s="5"/>
      <c r="G330" s="7"/>
      <c r="I330" s="7"/>
    </row>
    <row r="331" spans="4:9">
      <c r="D331" s="7"/>
      <c r="E331" s="7"/>
      <c r="F331" s="5"/>
      <c r="G331" s="7"/>
      <c r="I331" s="7"/>
    </row>
    <row r="332" spans="4:9">
      <c r="D332" s="7"/>
      <c r="E332" s="7"/>
      <c r="F332" s="5"/>
      <c r="G332" s="7"/>
      <c r="I332" s="7"/>
    </row>
    <row r="333" spans="4:9">
      <c r="D333" s="7"/>
      <c r="E333" s="7"/>
      <c r="F333" s="5"/>
      <c r="G333" s="7"/>
      <c r="I333" s="7"/>
    </row>
    <row r="334" spans="4:9">
      <c r="D334" s="7"/>
      <c r="E334" s="7"/>
      <c r="F334" s="5"/>
      <c r="G334" s="7"/>
      <c r="I334" s="7"/>
    </row>
    <row r="335" spans="4:9">
      <c r="D335" s="7"/>
      <c r="E335" s="7"/>
      <c r="F335" s="5"/>
      <c r="G335" s="7"/>
      <c r="I335" s="7"/>
    </row>
    <row r="336" spans="4:9">
      <c r="D336" s="7"/>
      <c r="E336" s="7"/>
      <c r="F336" s="5"/>
      <c r="G336" s="7"/>
      <c r="I336" s="7"/>
    </row>
    <row r="337" spans="4:9">
      <c r="D337" s="7"/>
      <c r="E337" s="7"/>
      <c r="F337" s="5"/>
      <c r="G337" s="7"/>
      <c r="I337" s="7"/>
    </row>
    <row r="338" spans="4:9">
      <c r="D338" s="7"/>
      <c r="E338" s="7"/>
      <c r="F338" s="5"/>
      <c r="G338" s="7"/>
      <c r="I338" s="7"/>
    </row>
    <row r="339" spans="4:9">
      <c r="D339" s="7"/>
      <c r="E339" s="7"/>
      <c r="F339" s="5"/>
      <c r="G339" s="7"/>
      <c r="I339" s="7"/>
    </row>
    <row r="340" spans="4:9">
      <c r="D340" s="7"/>
      <c r="E340" s="7"/>
      <c r="F340" s="5"/>
      <c r="G340" s="7"/>
      <c r="I340" s="7"/>
    </row>
    <row r="341" spans="4:9">
      <c r="D341" s="7"/>
      <c r="E341" s="7"/>
      <c r="F341" s="5"/>
      <c r="G341" s="7"/>
      <c r="I341" s="7"/>
    </row>
    <row r="342" spans="4:9">
      <c r="D342" s="7"/>
      <c r="E342" s="7"/>
      <c r="F342" s="5"/>
      <c r="G342" s="7"/>
      <c r="I342" s="7"/>
    </row>
    <row r="343" spans="4:9">
      <c r="D343" s="7"/>
      <c r="E343" s="7"/>
      <c r="F343" s="5"/>
      <c r="G343" s="7"/>
      <c r="I343" s="7"/>
    </row>
    <row r="344" spans="4:9">
      <c r="D344" s="7"/>
      <c r="E344" s="7"/>
      <c r="F344" s="5"/>
      <c r="G344" s="7"/>
      <c r="I344" s="7"/>
    </row>
    <row r="345" spans="4:9">
      <c r="D345" s="7"/>
      <c r="E345" s="7"/>
      <c r="F345" s="5"/>
      <c r="G345" s="7"/>
      <c r="I345" s="7"/>
    </row>
    <row r="346" spans="4:9">
      <c r="D346" s="7"/>
      <c r="E346" s="7"/>
      <c r="F346" s="5"/>
      <c r="G346" s="7"/>
      <c r="I346" s="7"/>
    </row>
    <row r="347" spans="4:9">
      <c r="D347" s="7"/>
      <c r="E347" s="7"/>
      <c r="F347" s="5"/>
      <c r="G347" s="7"/>
      <c r="I347" s="7"/>
    </row>
    <row r="348" spans="4:9">
      <c r="D348" s="7"/>
      <c r="E348" s="7"/>
      <c r="F348" s="5"/>
      <c r="G348" s="7"/>
      <c r="I348" s="7"/>
    </row>
    <row r="349" spans="4:9">
      <c r="D349" s="7"/>
      <c r="E349" s="7"/>
      <c r="F349" s="5"/>
      <c r="G349" s="7"/>
      <c r="I349" s="7"/>
    </row>
    <row r="350" spans="4:9">
      <c r="D350" s="7"/>
      <c r="E350" s="7"/>
      <c r="F350" s="5"/>
      <c r="G350" s="7"/>
      <c r="I350" s="7"/>
    </row>
    <row r="351" spans="4:9">
      <c r="D351" s="7"/>
      <c r="E351" s="7"/>
      <c r="F351" s="5"/>
      <c r="G351" s="7"/>
      <c r="I351" s="7"/>
    </row>
    <row r="352" spans="4:9">
      <c r="D352" s="7"/>
      <c r="E352" s="7"/>
      <c r="F352" s="5"/>
      <c r="G352" s="7"/>
      <c r="I352" s="7"/>
    </row>
    <row r="353" spans="4:9">
      <c r="D353" s="7"/>
      <c r="E353" s="7"/>
      <c r="F353" s="5"/>
      <c r="G353" s="7"/>
      <c r="I353" s="7"/>
    </row>
    <row r="354" spans="4:9">
      <c r="D354" s="7"/>
      <c r="E354" s="7"/>
      <c r="F354" s="5"/>
      <c r="G354" s="7"/>
      <c r="I354" s="7"/>
    </row>
    <row r="355" spans="4:9">
      <c r="D355" s="7"/>
      <c r="E355" s="7"/>
      <c r="F355" s="5"/>
      <c r="G355" s="7"/>
      <c r="I355" s="7"/>
    </row>
    <row r="356" spans="4:9">
      <c r="D356" s="7"/>
      <c r="E356" s="7"/>
      <c r="F356" s="5"/>
      <c r="G356" s="7"/>
      <c r="I356" s="7"/>
    </row>
    <row r="357" spans="4:9">
      <c r="D357" s="7"/>
      <c r="E357" s="7"/>
      <c r="F357" s="5"/>
      <c r="G357" s="7"/>
      <c r="I357" s="7"/>
    </row>
    <row r="358" spans="4:9">
      <c r="D358" s="7"/>
      <c r="E358" s="7"/>
      <c r="F358" s="5"/>
      <c r="G358" s="7"/>
      <c r="I358" s="7"/>
    </row>
    <row r="359" spans="4:9">
      <c r="D359" s="7"/>
      <c r="E359" s="7"/>
      <c r="F359" s="5"/>
      <c r="G359" s="7"/>
      <c r="I359" s="7"/>
    </row>
    <row r="360" spans="4:9">
      <c r="D360" s="7"/>
      <c r="E360" s="7"/>
      <c r="F360" s="5"/>
      <c r="G360" s="7"/>
      <c r="I360" s="7"/>
    </row>
    <row r="361" spans="4:9">
      <c r="D361" s="7"/>
      <c r="E361" s="7"/>
      <c r="F361" s="5"/>
      <c r="G361" s="7"/>
      <c r="I361" s="7"/>
    </row>
    <row r="362" spans="4:9">
      <c r="D362" s="7"/>
      <c r="E362" s="7"/>
      <c r="F362" s="5"/>
      <c r="G362" s="7"/>
      <c r="I362" s="7"/>
    </row>
    <row r="363" spans="4:9">
      <c r="D363" s="7"/>
      <c r="E363" s="7"/>
      <c r="F363" s="5"/>
      <c r="G363" s="7"/>
      <c r="I363" s="7"/>
    </row>
    <row r="364" spans="4:9">
      <c r="D364" s="7"/>
      <c r="E364" s="7"/>
      <c r="F364" s="5"/>
      <c r="G364" s="7"/>
      <c r="I364" s="7"/>
    </row>
    <row r="365" spans="4:9">
      <c r="D365" s="7"/>
      <c r="E365" s="7"/>
      <c r="F365" s="5"/>
      <c r="G365" s="7"/>
      <c r="I365" s="7"/>
    </row>
    <row r="366" spans="4:9">
      <c r="D366" s="7"/>
      <c r="E366" s="7"/>
      <c r="F366" s="5"/>
      <c r="G366" s="7"/>
      <c r="I366" s="7"/>
    </row>
    <row r="367" spans="4:9">
      <c r="D367" s="7"/>
      <c r="E367" s="7"/>
      <c r="F367" s="5"/>
      <c r="G367" s="7"/>
      <c r="I367" s="7"/>
    </row>
    <row r="368" spans="4:9">
      <c r="D368" s="7"/>
      <c r="E368" s="7"/>
      <c r="F368" s="5"/>
      <c r="G368" s="7"/>
      <c r="I368" s="7"/>
    </row>
    <row r="369" spans="4:9">
      <c r="D369" s="7"/>
      <c r="E369" s="7"/>
      <c r="F369" s="5"/>
      <c r="G369" s="7"/>
      <c r="I369" s="7"/>
    </row>
    <row r="370" spans="4:9">
      <c r="D370" s="7"/>
      <c r="E370" s="7"/>
      <c r="F370" s="5"/>
      <c r="G370" s="7"/>
      <c r="I370" s="7"/>
    </row>
    <row r="371" spans="4:9">
      <c r="D371" s="7"/>
      <c r="E371" s="7"/>
      <c r="F371" s="5"/>
      <c r="G371" s="7"/>
      <c r="I371" s="7"/>
    </row>
    <row r="372" spans="4:9">
      <c r="D372" s="7"/>
      <c r="E372" s="7"/>
      <c r="F372" s="5"/>
      <c r="G372" s="7"/>
      <c r="I372" s="7"/>
    </row>
    <row r="373" spans="4:9">
      <c r="D373" s="7"/>
      <c r="E373" s="7"/>
      <c r="F373" s="5"/>
      <c r="G373" s="7"/>
      <c r="I373" s="7"/>
    </row>
    <row r="374" spans="4:9">
      <c r="D374" s="7"/>
      <c r="E374" s="7"/>
      <c r="F374" s="5"/>
      <c r="G374" s="7"/>
      <c r="I374" s="7"/>
    </row>
    <row r="375" spans="4:9">
      <c r="D375" s="7"/>
      <c r="E375" s="7"/>
      <c r="F375" s="5"/>
      <c r="G375" s="7"/>
      <c r="I375" s="7"/>
    </row>
    <row r="376" spans="4:9">
      <c r="D376" s="7"/>
      <c r="E376" s="7"/>
      <c r="F376" s="5"/>
      <c r="G376" s="7"/>
      <c r="I376" s="7"/>
    </row>
    <row r="377" spans="4:9">
      <c r="D377" s="7"/>
      <c r="E377" s="7"/>
      <c r="F377" s="5"/>
      <c r="G377" s="7"/>
      <c r="I377" s="7"/>
    </row>
    <row r="378" spans="4:9">
      <c r="D378" s="7"/>
      <c r="E378" s="7"/>
      <c r="F378" s="5"/>
      <c r="G378" s="7"/>
      <c r="I378" s="7"/>
    </row>
    <row r="379" spans="4:9">
      <c r="D379" s="7"/>
      <c r="E379" s="7"/>
      <c r="F379" s="5"/>
      <c r="G379" s="7"/>
      <c r="I379" s="7"/>
    </row>
    <row r="380" spans="4:9">
      <c r="D380" s="7"/>
      <c r="E380" s="7"/>
      <c r="F380" s="5"/>
      <c r="G380" s="7"/>
      <c r="I380" s="7"/>
    </row>
    <row r="381" spans="4:9">
      <c r="D381" s="7"/>
      <c r="E381" s="7"/>
      <c r="F381" s="5"/>
      <c r="G381" s="7"/>
      <c r="I381" s="7"/>
    </row>
    <row r="382" spans="4:9">
      <c r="D382" s="7"/>
      <c r="E382" s="7"/>
      <c r="F382" s="5"/>
      <c r="G382" s="7"/>
      <c r="I382" s="7"/>
    </row>
    <row r="383" spans="4:9">
      <c r="D383" s="7"/>
      <c r="E383" s="7"/>
      <c r="F383" s="5"/>
      <c r="G383" s="7"/>
      <c r="I383" s="7"/>
    </row>
    <row r="384" spans="4:9">
      <c r="D384" s="7"/>
      <c r="E384" s="7"/>
      <c r="F384" s="5"/>
      <c r="G384" s="7"/>
      <c r="I384" s="7"/>
    </row>
    <row r="385" spans="4:9">
      <c r="D385" s="7"/>
      <c r="E385" s="7"/>
      <c r="F385" s="5"/>
      <c r="G385" s="7"/>
      <c r="I385" s="7"/>
    </row>
    <row r="386" spans="4:9">
      <c r="D386" s="7"/>
      <c r="E386" s="7"/>
      <c r="F386" s="5"/>
      <c r="G386" s="7"/>
      <c r="I386" s="7"/>
    </row>
    <row r="387" spans="4:9">
      <c r="D387" s="7"/>
      <c r="E387" s="7"/>
      <c r="F387" s="5"/>
      <c r="G387" s="7"/>
      <c r="I387" s="7"/>
    </row>
    <row r="388" spans="4:9">
      <c r="D388" s="7"/>
      <c r="E388" s="7"/>
      <c r="F388" s="5"/>
      <c r="G388" s="7"/>
      <c r="I388" s="7"/>
    </row>
    <row r="389" spans="4:9">
      <c r="D389" s="7"/>
      <c r="E389" s="7"/>
      <c r="F389" s="5"/>
      <c r="G389" s="7"/>
      <c r="I389" s="7"/>
    </row>
    <row r="390" spans="4:9">
      <c r="D390" s="7"/>
      <c r="E390" s="7"/>
      <c r="F390" s="5"/>
      <c r="G390" s="7"/>
      <c r="I390" s="7"/>
    </row>
    <row r="391" spans="4:9">
      <c r="D391" s="7"/>
      <c r="E391" s="7"/>
      <c r="F391" s="5"/>
      <c r="G391" s="7"/>
      <c r="I391" s="7"/>
    </row>
    <row r="392" spans="4:9">
      <c r="D392" s="7"/>
      <c r="E392" s="7"/>
      <c r="F392" s="5"/>
      <c r="G392" s="7"/>
      <c r="I392" s="7"/>
    </row>
    <row r="393" spans="4:9">
      <c r="D393" s="7"/>
      <c r="E393" s="7"/>
      <c r="F393" s="5"/>
      <c r="G393" s="7"/>
      <c r="I393" s="7"/>
    </row>
    <row r="394" spans="4:9">
      <c r="D394" s="7"/>
      <c r="E394" s="7"/>
      <c r="F394" s="5"/>
      <c r="G394" s="7"/>
      <c r="I394" s="7"/>
    </row>
    <row r="395" spans="4:9">
      <c r="D395" s="7"/>
      <c r="E395" s="7"/>
      <c r="F395" s="5"/>
      <c r="G395" s="7"/>
      <c r="I395" s="7"/>
    </row>
    <row r="396" spans="4:9">
      <c r="D396" s="7"/>
      <c r="E396" s="7"/>
      <c r="F396" s="5"/>
      <c r="G396" s="7"/>
      <c r="I396" s="7"/>
    </row>
    <row r="397" spans="4:9">
      <c r="D397" s="7"/>
      <c r="E397" s="7"/>
      <c r="F397" s="5"/>
      <c r="G397" s="7"/>
      <c r="I397" s="7"/>
    </row>
    <row r="398" spans="4:9">
      <c r="D398" s="7"/>
      <c r="E398" s="7"/>
      <c r="F398" s="5"/>
      <c r="G398" s="7"/>
      <c r="I398" s="7"/>
    </row>
    <row r="399" spans="4:9">
      <c r="D399" s="7"/>
      <c r="E399" s="7"/>
      <c r="F399" s="5"/>
      <c r="G399" s="7"/>
      <c r="I399" s="7"/>
    </row>
    <row r="400" spans="4:9">
      <c r="D400" s="7"/>
      <c r="E400" s="7"/>
      <c r="F400" s="5"/>
      <c r="G400" s="7"/>
      <c r="I400" s="7"/>
    </row>
    <row r="401" spans="4:9">
      <c r="D401" s="7"/>
      <c r="E401" s="7"/>
      <c r="F401" s="5"/>
      <c r="G401" s="7"/>
      <c r="I401" s="7"/>
    </row>
    <row r="402" spans="4:9">
      <c r="D402" s="7"/>
      <c r="E402" s="7"/>
      <c r="F402" s="5"/>
      <c r="G402" s="7"/>
      <c r="I402" s="7"/>
    </row>
    <row r="403" spans="4:9">
      <c r="D403" s="7"/>
      <c r="E403" s="7"/>
      <c r="F403" s="5"/>
      <c r="G403" s="7"/>
      <c r="I403" s="7"/>
    </row>
    <row r="404" spans="4:9">
      <c r="D404" s="7"/>
      <c r="E404" s="7"/>
      <c r="F404" s="5"/>
      <c r="G404" s="7"/>
      <c r="I404" s="7"/>
    </row>
    <row r="405" spans="4:9">
      <c r="D405" s="7"/>
      <c r="E405" s="7"/>
      <c r="F405" s="5"/>
      <c r="G405" s="7"/>
      <c r="I405" s="7"/>
    </row>
    <row r="406" spans="4:9">
      <c r="D406" s="7"/>
      <c r="E406" s="7"/>
      <c r="F406" s="5"/>
      <c r="G406" s="7"/>
      <c r="I406" s="7"/>
    </row>
    <row r="407" spans="4:9">
      <c r="D407" s="7"/>
      <c r="E407" s="7"/>
      <c r="F407" s="5"/>
      <c r="G407" s="7"/>
      <c r="I407" s="7"/>
    </row>
    <row r="408" spans="4:9">
      <c r="D408" s="7"/>
      <c r="E408" s="7"/>
      <c r="F408" s="5"/>
      <c r="G408" s="7"/>
      <c r="I408" s="7"/>
    </row>
    <row r="409" spans="4:9">
      <c r="D409" s="7"/>
      <c r="E409" s="7"/>
      <c r="F409" s="5"/>
      <c r="G409" s="7"/>
      <c r="I409" s="7"/>
    </row>
    <row r="410" spans="4:9">
      <c r="D410" s="7"/>
      <c r="E410" s="7"/>
      <c r="F410" s="5"/>
      <c r="G410" s="7"/>
      <c r="I410" s="7"/>
    </row>
    <row r="411" spans="4:9">
      <c r="D411" s="7"/>
      <c r="E411" s="7"/>
      <c r="F411" s="5"/>
      <c r="G411" s="7"/>
      <c r="I411" s="7"/>
    </row>
    <row r="412" spans="4:9">
      <c r="D412" s="7"/>
      <c r="E412" s="7"/>
      <c r="F412" s="5"/>
      <c r="G412" s="7"/>
      <c r="I412" s="7"/>
    </row>
    <row r="413" spans="4:9">
      <c r="D413" s="7"/>
      <c r="E413" s="7"/>
      <c r="F413" s="5"/>
      <c r="G413" s="7"/>
      <c r="I413" s="7"/>
    </row>
    <row r="414" spans="4:9">
      <c r="D414" s="7"/>
      <c r="E414" s="7"/>
      <c r="F414" s="5"/>
      <c r="G414" s="7"/>
      <c r="I414" s="7"/>
    </row>
    <row r="415" spans="4:9">
      <c r="D415" s="7"/>
      <c r="E415" s="7"/>
      <c r="F415" s="5"/>
      <c r="G415" s="7"/>
      <c r="I415" s="7"/>
    </row>
    <row r="416" spans="4:9">
      <c r="D416" s="7"/>
      <c r="E416" s="7"/>
      <c r="F416" s="5"/>
      <c r="G416" s="7"/>
      <c r="I416" s="7"/>
    </row>
    <row r="417" spans="4:9">
      <c r="D417" s="7"/>
      <c r="E417" s="7"/>
      <c r="F417" s="5"/>
      <c r="G417" s="7"/>
      <c r="I417" s="7"/>
    </row>
    <row r="418" spans="4:9">
      <c r="D418" s="7"/>
      <c r="E418" s="7"/>
      <c r="F418" s="5"/>
      <c r="G418" s="7"/>
      <c r="I418" s="7"/>
    </row>
    <row r="419" spans="4:9">
      <c r="D419" s="7"/>
      <c r="E419" s="7"/>
      <c r="F419" s="5"/>
      <c r="G419" s="7"/>
      <c r="I419" s="7"/>
    </row>
    <row r="420" spans="4:9">
      <c r="D420" s="7"/>
      <c r="E420" s="7"/>
      <c r="F420" s="5"/>
      <c r="G420" s="7"/>
      <c r="I420" s="7"/>
    </row>
    <row r="421" spans="4:9">
      <c r="D421" s="7"/>
      <c r="E421" s="7"/>
      <c r="F421" s="5"/>
      <c r="G421" s="7"/>
      <c r="I421" s="7"/>
    </row>
    <row r="422" spans="4:9">
      <c r="D422" s="7"/>
      <c r="E422" s="7"/>
      <c r="F422" s="5"/>
      <c r="G422" s="7"/>
      <c r="I422" s="7"/>
    </row>
    <row r="423" spans="4:9">
      <c r="D423" s="7"/>
      <c r="E423" s="7"/>
      <c r="F423" s="5"/>
      <c r="G423" s="7"/>
      <c r="I423" s="7"/>
    </row>
    <row r="424" spans="4:9">
      <c r="D424" s="7"/>
      <c r="E424" s="7"/>
      <c r="F424" s="5"/>
      <c r="G424" s="7"/>
      <c r="I424" s="7"/>
    </row>
    <row r="425" spans="4:9">
      <c r="D425" s="7"/>
      <c r="E425" s="7"/>
      <c r="F425" s="5"/>
      <c r="G425" s="7"/>
      <c r="I425" s="7"/>
    </row>
    <row r="426" spans="4:9">
      <c r="D426" s="7"/>
      <c r="E426" s="7"/>
      <c r="F426" s="5"/>
      <c r="G426" s="7"/>
      <c r="I426" s="7"/>
    </row>
    <row r="427" spans="4:9">
      <c r="D427" s="7"/>
      <c r="E427" s="7"/>
      <c r="F427" s="5"/>
      <c r="G427" s="7"/>
      <c r="I427" s="7"/>
    </row>
    <row r="428" spans="4:9">
      <c r="D428" s="7"/>
      <c r="E428" s="7"/>
      <c r="F428" s="5"/>
      <c r="G428" s="7"/>
      <c r="I428" s="7"/>
    </row>
    <row r="429" spans="4:9">
      <c r="D429" s="7"/>
      <c r="E429" s="7"/>
      <c r="F429" s="5"/>
      <c r="G429" s="7"/>
      <c r="I429" s="7"/>
    </row>
    <row r="430" spans="4:9">
      <c r="D430" s="7"/>
      <c r="E430" s="7"/>
      <c r="F430" s="5"/>
      <c r="G430" s="7"/>
      <c r="I430" s="7"/>
    </row>
    <row r="431" spans="4:9">
      <c r="D431" s="7"/>
      <c r="E431" s="7"/>
      <c r="F431" s="5"/>
      <c r="G431" s="7"/>
      <c r="I431" s="7"/>
    </row>
    <row r="432" spans="4:9">
      <c r="D432" s="7"/>
      <c r="E432" s="7"/>
      <c r="F432" s="5"/>
      <c r="G432" s="7"/>
      <c r="I432" s="7"/>
    </row>
    <row r="433" spans="4:9">
      <c r="D433" s="7"/>
      <c r="E433" s="7"/>
      <c r="F433" s="5"/>
      <c r="G433" s="7"/>
      <c r="I433" s="7"/>
    </row>
    <row r="434" spans="4:9">
      <c r="D434" s="7"/>
      <c r="E434" s="7"/>
      <c r="F434" s="5"/>
      <c r="G434" s="7"/>
      <c r="I434" s="7"/>
    </row>
    <row r="435" spans="4:9">
      <c r="D435" s="7"/>
      <c r="E435" s="7"/>
      <c r="F435" s="5"/>
      <c r="G435" s="7"/>
      <c r="I435" s="7"/>
    </row>
    <row r="436" spans="4:9">
      <c r="D436" s="7"/>
      <c r="E436" s="7"/>
      <c r="F436" s="5"/>
      <c r="G436" s="7"/>
      <c r="I436" s="7"/>
    </row>
    <row r="437" spans="4:9">
      <c r="D437" s="7"/>
      <c r="E437" s="7"/>
      <c r="F437" s="5"/>
      <c r="G437" s="7"/>
      <c r="I437" s="7"/>
    </row>
    <row r="438" spans="4:9">
      <c r="D438" s="7"/>
      <c r="E438" s="7"/>
      <c r="F438" s="5"/>
      <c r="G438" s="7"/>
      <c r="I438" s="7"/>
    </row>
    <row r="439" spans="4:9">
      <c r="D439" s="7"/>
      <c r="E439" s="7"/>
      <c r="F439" s="5"/>
      <c r="G439" s="7"/>
      <c r="I439" s="7"/>
    </row>
    <row r="440" spans="4:9">
      <c r="D440" s="7"/>
      <c r="E440" s="7"/>
      <c r="F440" s="5"/>
      <c r="G440" s="7"/>
      <c r="I440" s="7"/>
    </row>
    <row r="441" spans="4:9">
      <c r="D441" s="7"/>
      <c r="E441" s="7"/>
      <c r="F441" s="5"/>
      <c r="G441" s="7"/>
      <c r="I441" s="7"/>
    </row>
    <row r="442" spans="4:9">
      <c r="D442" s="7"/>
      <c r="E442" s="7"/>
      <c r="F442" s="5"/>
      <c r="G442" s="7"/>
      <c r="I442" s="7"/>
    </row>
    <row r="443" spans="4:9">
      <c r="D443" s="7"/>
      <c r="E443" s="7"/>
      <c r="F443" s="5"/>
      <c r="G443" s="7"/>
      <c r="I443" s="7"/>
    </row>
    <row r="444" spans="4:9">
      <c r="D444" s="7"/>
      <c r="E444" s="7"/>
      <c r="F444" s="5"/>
      <c r="G444" s="7"/>
      <c r="I444" s="7"/>
    </row>
    <row r="445" spans="4:9">
      <c r="D445" s="7"/>
      <c r="E445" s="7"/>
      <c r="F445" s="5"/>
      <c r="G445" s="7"/>
      <c r="I445" s="7"/>
    </row>
    <row r="446" spans="4:9">
      <c r="D446" s="7"/>
      <c r="E446" s="7"/>
      <c r="F446" s="5"/>
      <c r="G446" s="7"/>
      <c r="I446" s="7"/>
    </row>
    <row r="447" spans="4:9">
      <c r="D447" s="7"/>
      <c r="E447" s="7"/>
      <c r="F447" s="5"/>
      <c r="G447" s="7"/>
      <c r="I447" s="7"/>
    </row>
    <row r="448" spans="4:9">
      <c r="D448" s="7"/>
      <c r="E448" s="7"/>
      <c r="F448" s="5"/>
      <c r="G448" s="7"/>
      <c r="I448" s="7"/>
    </row>
    <row r="449" spans="4:9">
      <c r="D449" s="7"/>
      <c r="E449" s="7"/>
      <c r="F449" s="5"/>
      <c r="G449" s="7"/>
      <c r="I449" s="7"/>
    </row>
    <row r="450" spans="4:9">
      <c r="D450" s="7"/>
      <c r="E450" s="7"/>
      <c r="F450" s="5"/>
      <c r="G450" s="7"/>
      <c r="I450" s="7"/>
    </row>
    <row r="451" spans="4:9">
      <c r="D451" s="7"/>
      <c r="E451" s="7"/>
      <c r="F451" s="5"/>
      <c r="G451" s="7"/>
      <c r="I451" s="7"/>
    </row>
    <row r="452" spans="4:9">
      <c r="D452" s="7"/>
      <c r="E452" s="7"/>
      <c r="F452" s="5"/>
      <c r="G452" s="7"/>
      <c r="I452" s="7"/>
    </row>
    <row r="453" spans="4:9">
      <c r="D453" s="7"/>
      <c r="E453" s="7"/>
      <c r="F453" s="5"/>
      <c r="G453" s="7"/>
      <c r="I453" s="7"/>
    </row>
    <row r="454" spans="4:9">
      <c r="D454" s="7"/>
      <c r="E454" s="7"/>
      <c r="F454" s="5"/>
      <c r="G454" s="7"/>
      <c r="I454" s="7"/>
    </row>
    <row r="455" spans="4:9">
      <c r="D455" s="7"/>
      <c r="E455" s="7"/>
      <c r="F455" s="5"/>
      <c r="G455" s="7"/>
      <c r="I455" s="7"/>
    </row>
    <row r="456" spans="4:9">
      <c r="D456" s="7"/>
      <c r="E456" s="7"/>
      <c r="F456" s="5"/>
      <c r="G456" s="7"/>
      <c r="I456" s="7"/>
    </row>
    <row r="457" spans="4:9">
      <c r="D457" s="7"/>
      <c r="E457" s="7"/>
      <c r="F457" s="5"/>
      <c r="G457" s="7"/>
      <c r="I457" s="7"/>
    </row>
    <row r="458" spans="4:9">
      <c r="D458" s="7"/>
      <c r="E458" s="7"/>
      <c r="F458" s="5"/>
      <c r="G458" s="7"/>
      <c r="I458" s="7"/>
    </row>
    <row r="459" spans="4:9">
      <c r="D459" s="7"/>
      <c r="E459" s="7"/>
      <c r="F459" s="5"/>
      <c r="G459" s="7"/>
      <c r="I459" s="7"/>
    </row>
    <row r="460" spans="4:9">
      <c r="D460" s="7"/>
      <c r="E460" s="7"/>
      <c r="F460" s="5"/>
      <c r="G460" s="7"/>
      <c r="I460" s="7"/>
    </row>
    <row r="461" spans="4:9">
      <c r="D461" s="7"/>
      <c r="E461" s="7"/>
      <c r="F461" s="5"/>
      <c r="G461" s="7"/>
      <c r="I461" s="7"/>
    </row>
    <row r="462" spans="4:9">
      <c r="D462" s="7"/>
      <c r="E462" s="7"/>
      <c r="F462" s="5"/>
      <c r="G462" s="7"/>
      <c r="I462" s="7"/>
    </row>
    <row r="463" spans="4:9">
      <c r="D463" s="7"/>
      <c r="E463" s="7"/>
      <c r="F463" s="5"/>
      <c r="G463" s="7"/>
      <c r="I463" s="7"/>
    </row>
    <row r="464" spans="4:9">
      <c r="D464" s="7"/>
      <c r="E464" s="7"/>
      <c r="F464" s="5"/>
      <c r="G464" s="7"/>
      <c r="I464" s="7"/>
    </row>
    <row r="465" spans="4:9">
      <c r="D465" s="7"/>
      <c r="E465" s="7"/>
      <c r="F465" s="5"/>
      <c r="G465" s="7"/>
      <c r="I465" s="7"/>
    </row>
    <row r="466" spans="4:9">
      <c r="D466" s="7"/>
      <c r="E466" s="7"/>
      <c r="F466" s="5"/>
      <c r="G466" s="7"/>
      <c r="I466" s="7"/>
    </row>
    <row r="467" spans="4:9">
      <c r="D467" s="7"/>
      <c r="E467" s="7"/>
      <c r="F467" s="5"/>
      <c r="G467" s="7"/>
      <c r="I467" s="7"/>
    </row>
    <row r="468" spans="4:9">
      <c r="D468" s="7"/>
      <c r="E468" s="7"/>
      <c r="F468" s="5"/>
      <c r="G468" s="7"/>
      <c r="I468" s="7"/>
    </row>
    <row r="469" spans="4:9">
      <c r="D469" s="7"/>
      <c r="E469" s="7"/>
      <c r="F469" s="5"/>
      <c r="G469" s="7"/>
      <c r="I469" s="7"/>
    </row>
    <row r="470" spans="4:9">
      <c r="D470" s="7"/>
      <c r="E470" s="7"/>
      <c r="F470" s="5"/>
      <c r="G470" s="7"/>
      <c r="I470" s="7"/>
    </row>
    <row r="471" spans="4:9">
      <c r="D471" s="7"/>
      <c r="E471" s="7"/>
      <c r="F471" s="5"/>
      <c r="G471" s="7"/>
      <c r="I471" s="7"/>
    </row>
    <row r="472" spans="4:9">
      <c r="D472" s="7"/>
      <c r="E472" s="7"/>
      <c r="F472" s="5"/>
      <c r="G472" s="7"/>
      <c r="I472" s="7"/>
    </row>
    <row r="473" spans="4:9">
      <c r="D473" s="7"/>
      <c r="E473" s="7"/>
      <c r="F473" s="5"/>
      <c r="G473" s="7"/>
      <c r="I473" s="7"/>
    </row>
    <row r="474" spans="4:9">
      <c r="D474" s="7"/>
      <c r="E474" s="7"/>
      <c r="F474" s="5"/>
      <c r="G474" s="7"/>
      <c r="I474" s="7"/>
    </row>
    <row r="475" spans="4:9">
      <c r="D475" s="7"/>
      <c r="E475" s="7"/>
      <c r="F475" s="5"/>
      <c r="G475" s="7"/>
      <c r="I475" s="7"/>
    </row>
    <row r="476" spans="4:9">
      <c r="D476" s="7"/>
      <c r="E476" s="7"/>
      <c r="F476" s="5"/>
      <c r="G476" s="7"/>
      <c r="I476" s="7"/>
    </row>
    <row r="477" spans="4:9">
      <c r="D477" s="7"/>
      <c r="E477" s="7"/>
      <c r="F477" s="5"/>
      <c r="G477" s="7"/>
      <c r="I477" s="7"/>
    </row>
    <row r="478" spans="4:9">
      <c r="D478" s="7"/>
      <c r="E478" s="7"/>
      <c r="F478" s="5"/>
      <c r="G478" s="7"/>
      <c r="I478" s="7"/>
    </row>
    <row r="479" spans="4:9">
      <c r="D479" s="7"/>
      <c r="E479" s="7"/>
      <c r="F479" s="5"/>
      <c r="G479" s="7"/>
      <c r="I479" s="7"/>
    </row>
    <row r="480" spans="4:9">
      <c r="D480" s="7"/>
      <c r="E480" s="7"/>
      <c r="F480" s="5"/>
      <c r="G480" s="7"/>
      <c r="I480" s="7"/>
    </row>
    <row r="481" spans="4:9">
      <c r="D481" s="7"/>
      <c r="E481" s="7"/>
      <c r="F481" s="5"/>
      <c r="G481" s="7"/>
      <c r="I481" s="7"/>
    </row>
    <row r="482" spans="4:9">
      <c r="D482" s="7"/>
      <c r="E482" s="7"/>
      <c r="F482" s="5"/>
      <c r="G482" s="7"/>
      <c r="I482" s="7"/>
    </row>
    <row r="483" spans="4:9">
      <c r="D483" s="7"/>
      <c r="E483" s="7"/>
      <c r="F483" s="5"/>
      <c r="G483" s="7"/>
      <c r="I483" s="7"/>
    </row>
    <row r="484" spans="4:9">
      <c r="D484" s="7"/>
      <c r="E484" s="7"/>
      <c r="F484" s="5"/>
      <c r="G484" s="7"/>
      <c r="I484" s="7"/>
    </row>
    <row r="485" spans="4:9">
      <c r="D485" s="7"/>
      <c r="E485" s="7"/>
      <c r="F485" s="5"/>
      <c r="G485" s="7"/>
      <c r="I485" s="7"/>
    </row>
    <row r="486" spans="4:9">
      <c r="D486" s="7"/>
      <c r="E486" s="7"/>
      <c r="F486" s="5"/>
      <c r="G486" s="7"/>
      <c r="I486" s="7"/>
    </row>
    <row r="487" spans="4:9">
      <c r="D487" s="7"/>
      <c r="E487" s="7"/>
      <c r="F487" s="5"/>
      <c r="G487" s="7"/>
      <c r="I487" s="7"/>
    </row>
    <row r="488" spans="4:9">
      <c r="D488" s="7"/>
      <c r="E488" s="7"/>
      <c r="F488" s="5"/>
      <c r="G488" s="7"/>
      <c r="I488" s="7"/>
    </row>
    <row r="489" spans="4:9">
      <c r="D489" s="7"/>
      <c r="E489" s="7"/>
      <c r="F489" s="5"/>
      <c r="G489" s="7"/>
      <c r="I489" s="7"/>
    </row>
    <row r="490" spans="4:9">
      <c r="D490" s="7"/>
      <c r="E490" s="7"/>
      <c r="F490" s="5"/>
      <c r="G490" s="7"/>
      <c r="I490" s="7"/>
    </row>
    <row r="491" spans="4:9">
      <c r="D491" s="7"/>
      <c r="E491" s="7"/>
      <c r="F491" s="5"/>
      <c r="G491" s="7"/>
      <c r="I491" s="7"/>
    </row>
    <row r="492" spans="4:9">
      <c r="D492" s="7"/>
      <c r="E492" s="7"/>
      <c r="F492" s="5"/>
      <c r="G492" s="7"/>
      <c r="I492" s="7"/>
    </row>
    <row r="493" spans="4:9">
      <c r="D493" s="7"/>
      <c r="E493" s="7"/>
      <c r="F493" s="5"/>
      <c r="G493" s="7"/>
      <c r="I493" s="7"/>
    </row>
    <row r="494" spans="4:9">
      <c r="D494" s="7"/>
      <c r="E494" s="7"/>
      <c r="F494" s="5"/>
      <c r="G494" s="7"/>
      <c r="I494" s="7"/>
    </row>
    <row r="495" spans="4:9">
      <c r="D495" s="7"/>
      <c r="E495" s="7"/>
      <c r="F495" s="5"/>
      <c r="G495" s="7"/>
      <c r="I495" s="7"/>
    </row>
    <row r="496" spans="4:9">
      <c r="D496" s="7"/>
      <c r="E496" s="7"/>
      <c r="F496" s="5"/>
      <c r="G496" s="7"/>
      <c r="I496" s="7"/>
    </row>
    <row r="497" spans="4:9">
      <c r="D497" s="7"/>
      <c r="E497" s="7"/>
      <c r="F497" s="5"/>
      <c r="G497" s="7"/>
      <c r="I497" s="7"/>
    </row>
    <row r="498" spans="4:9">
      <c r="D498" s="7"/>
      <c r="E498" s="7"/>
      <c r="F498" s="5"/>
      <c r="G498" s="7"/>
      <c r="I498" s="7"/>
    </row>
    <row r="499" spans="4:9">
      <c r="D499" s="7"/>
      <c r="E499" s="7"/>
      <c r="F499" s="5"/>
      <c r="G499" s="7"/>
      <c r="I499" s="7"/>
    </row>
    <row r="500" spans="4:9">
      <c r="D500" s="7"/>
      <c r="E500" s="7"/>
      <c r="F500" s="5"/>
      <c r="G500" s="7"/>
      <c r="I500" s="7"/>
    </row>
  </sheetData>
  <phoneticPr fontId="6"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xr:uid="{00000000-0002-0000-0700-000000000000}">
          <x14:formula1>
            <xm:f>Lists!$K$2:$K$6</xm:f>
          </x14:formula1>
          <xm:sqref>H2:H500</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500"/>
  <sheetViews>
    <sheetView topLeftCell="A67" workbookViewId="0">
      <selection activeCell="A2" sqref="A2:A100"/>
    </sheetView>
  </sheetViews>
  <sheetFormatPr defaultRowHeight="14.25"/>
  <cols>
    <col min="1" max="2" width="14" customWidth="1"/>
    <col min="3" max="3" width="28" customWidth="1"/>
    <col min="4" max="11" width="14" customWidth="1"/>
    <col min="12" max="12" width="28" customWidth="1"/>
  </cols>
  <sheetData>
    <row r="1" spans="1:12" ht="32.1" customHeight="1">
      <c r="A1" s="2" t="s">
        <v>159</v>
      </c>
      <c r="B1" s="2" t="s">
        <v>160</v>
      </c>
      <c r="C1" s="2" t="s">
        <v>161</v>
      </c>
      <c r="D1" s="2" t="s">
        <v>106</v>
      </c>
      <c r="E1" s="2" t="s">
        <v>162</v>
      </c>
      <c r="F1" s="2" t="s">
        <v>163</v>
      </c>
      <c r="G1" s="2" t="s">
        <v>164</v>
      </c>
      <c r="H1" s="2" t="s">
        <v>165</v>
      </c>
      <c r="I1" s="2" t="s">
        <v>166</v>
      </c>
      <c r="J1" s="2" t="s">
        <v>167</v>
      </c>
      <c r="K1" s="2" t="s">
        <v>129</v>
      </c>
      <c r="L1" s="2" t="s">
        <v>15</v>
      </c>
    </row>
    <row r="2" spans="1:12" ht="28.5">
      <c r="A2" s="3" t="s">
        <v>168</v>
      </c>
      <c r="B2" s="3" t="s">
        <v>169</v>
      </c>
      <c r="C2" s="3" t="s">
        <v>170</v>
      </c>
      <c r="D2" s="4">
        <v>46310</v>
      </c>
      <c r="E2" s="3" t="s">
        <v>171</v>
      </c>
      <c r="F2" s="3" t="s">
        <v>172</v>
      </c>
      <c r="G2" s="3" t="s">
        <v>173</v>
      </c>
      <c r="H2" s="6">
        <v>7500</v>
      </c>
      <c r="I2" s="3">
        <v>150</v>
      </c>
      <c r="J2" s="3">
        <v>10</v>
      </c>
      <c r="K2" s="4">
        <v>46315</v>
      </c>
      <c r="L2" s="3" t="s">
        <v>174</v>
      </c>
    </row>
    <row r="3" spans="1:12">
      <c r="A3" s="3" t="s">
        <v>872</v>
      </c>
      <c r="B3" s="3"/>
      <c r="C3" s="3"/>
      <c r="D3" s="4"/>
      <c r="E3" s="3"/>
      <c r="F3" s="3"/>
      <c r="G3" s="3"/>
      <c r="H3" s="6"/>
      <c r="I3" s="3"/>
      <c r="J3" s="3"/>
      <c r="K3" s="4"/>
      <c r="L3" s="3"/>
    </row>
    <row r="4" spans="1:12">
      <c r="A4" s="3" t="s">
        <v>873</v>
      </c>
      <c r="B4" s="3"/>
      <c r="C4" s="3"/>
      <c r="D4" s="4"/>
      <c r="E4" s="3"/>
      <c r="F4" s="3"/>
      <c r="G4" s="3"/>
      <c r="H4" s="6"/>
      <c r="I4" s="3"/>
      <c r="J4" s="3"/>
      <c r="K4" s="4"/>
      <c r="L4" s="3"/>
    </row>
    <row r="5" spans="1:12">
      <c r="A5" s="3" t="s">
        <v>874</v>
      </c>
      <c r="B5" s="3"/>
      <c r="C5" s="3"/>
      <c r="D5" s="4"/>
      <c r="E5" s="3"/>
      <c r="F5" s="3"/>
      <c r="G5" s="3"/>
      <c r="H5" s="6"/>
      <c r="I5" s="3"/>
      <c r="J5" s="3"/>
      <c r="K5" s="4"/>
      <c r="L5" s="3"/>
    </row>
    <row r="6" spans="1:12">
      <c r="A6" s="3" t="s">
        <v>875</v>
      </c>
      <c r="B6" s="3"/>
      <c r="C6" s="3"/>
      <c r="D6" s="4"/>
      <c r="E6" s="3"/>
      <c r="F6" s="3"/>
      <c r="G6" s="3"/>
      <c r="H6" s="6"/>
      <c r="I6" s="3"/>
      <c r="J6" s="3"/>
      <c r="K6" s="4"/>
      <c r="L6" s="3"/>
    </row>
    <row r="7" spans="1:12">
      <c r="A7" s="3" t="s">
        <v>876</v>
      </c>
      <c r="B7" s="3"/>
      <c r="C7" s="3"/>
      <c r="D7" s="4"/>
      <c r="E7" s="3"/>
      <c r="F7" s="3"/>
      <c r="G7" s="3"/>
      <c r="H7" s="6"/>
      <c r="I7" s="3"/>
      <c r="J7" s="3"/>
      <c r="K7" s="4"/>
      <c r="L7" s="3"/>
    </row>
    <row r="8" spans="1:12">
      <c r="A8" s="3" t="s">
        <v>877</v>
      </c>
      <c r="B8" s="3"/>
      <c r="C8" s="3"/>
      <c r="D8" s="4"/>
      <c r="E8" s="3"/>
      <c r="F8" s="3"/>
      <c r="G8" s="3"/>
      <c r="H8" s="6"/>
      <c r="I8" s="3"/>
      <c r="J8" s="3"/>
      <c r="K8" s="4"/>
      <c r="L8" s="3"/>
    </row>
    <row r="9" spans="1:12">
      <c r="A9" s="3" t="s">
        <v>878</v>
      </c>
      <c r="B9" s="3"/>
      <c r="C9" s="3"/>
      <c r="D9" s="4"/>
      <c r="E9" s="3"/>
      <c r="F9" s="3"/>
      <c r="G9" s="3"/>
      <c r="H9" s="6"/>
      <c r="I9" s="3"/>
      <c r="J9" s="3"/>
      <c r="K9" s="4"/>
      <c r="L9" s="3"/>
    </row>
    <row r="10" spans="1:12">
      <c r="A10" s="3" t="s">
        <v>879</v>
      </c>
      <c r="B10" s="3"/>
      <c r="C10" s="3"/>
      <c r="D10" s="4"/>
      <c r="E10" s="3"/>
      <c r="F10" s="3"/>
      <c r="G10" s="3"/>
      <c r="H10" s="6"/>
      <c r="I10" s="3"/>
      <c r="J10" s="3"/>
      <c r="K10" s="4"/>
      <c r="L10" s="3"/>
    </row>
    <row r="11" spans="1:12">
      <c r="A11" s="3" t="s">
        <v>880</v>
      </c>
      <c r="B11" s="3"/>
      <c r="C11" s="3"/>
      <c r="D11" s="4"/>
      <c r="E11" s="3"/>
      <c r="F11" s="3"/>
      <c r="G11" s="3"/>
      <c r="H11" s="6"/>
      <c r="I11" s="3"/>
      <c r="J11" s="3"/>
      <c r="K11" s="4"/>
      <c r="L11" s="3"/>
    </row>
    <row r="12" spans="1:12">
      <c r="A12" s="3" t="s">
        <v>881</v>
      </c>
      <c r="B12" s="3"/>
      <c r="C12" s="3"/>
      <c r="D12" s="4"/>
      <c r="E12" s="3"/>
      <c r="F12" s="3"/>
      <c r="G12" s="3"/>
      <c r="H12" s="6"/>
      <c r="I12" s="3"/>
      <c r="J12" s="3"/>
      <c r="K12" s="4"/>
      <c r="L12" s="3"/>
    </row>
    <row r="13" spans="1:12">
      <c r="A13" s="3" t="s">
        <v>882</v>
      </c>
      <c r="B13" s="3"/>
      <c r="C13" s="3"/>
      <c r="D13" s="4"/>
      <c r="E13" s="3"/>
      <c r="F13" s="3"/>
      <c r="G13" s="3"/>
      <c r="H13" s="6"/>
      <c r="I13" s="3"/>
      <c r="J13" s="3"/>
      <c r="K13" s="4"/>
      <c r="L13" s="3"/>
    </row>
    <row r="14" spans="1:12">
      <c r="A14" s="3" t="s">
        <v>883</v>
      </c>
      <c r="B14" s="3"/>
      <c r="C14" s="3"/>
      <c r="D14" s="4"/>
      <c r="E14" s="3"/>
      <c r="F14" s="3"/>
      <c r="G14" s="3"/>
      <c r="H14" s="6"/>
      <c r="I14" s="3"/>
      <c r="J14" s="3"/>
      <c r="K14" s="4"/>
      <c r="L14" s="3"/>
    </row>
    <row r="15" spans="1:12">
      <c r="A15" s="3" t="s">
        <v>884</v>
      </c>
      <c r="B15" s="3"/>
      <c r="C15" s="3"/>
      <c r="D15" s="4"/>
      <c r="E15" s="3"/>
      <c r="F15" s="3"/>
      <c r="G15" s="3"/>
      <c r="H15" s="6"/>
      <c r="I15" s="3"/>
      <c r="J15" s="3"/>
      <c r="K15" s="4"/>
      <c r="L15" s="3"/>
    </row>
    <row r="16" spans="1:12">
      <c r="A16" s="3" t="s">
        <v>885</v>
      </c>
      <c r="B16" s="3"/>
      <c r="C16" s="3"/>
      <c r="D16" s="4"/>
      <c r="E16" s="3"/>
      <c r="F16" s="3"/>
      <c r="G16" s="3"/>
      <c r="H16" s="6"/>
      <c r="I16" s="3"/>
      <c r="J16" s="3"/>
      <c r="K16" s="4"/>
      <c r="L16" s="3"/>
    </row>
    <row r="17" spans="1:12">
      <c r="A17" s="3" t="s">
        <v>886</v>
      </c>
      <c r="B17" s="3"/>
      <c r="C17" s="3"/>
      <c r="D17" s="4"/>
      <c r="E17" s="3"/>
      <c r="F17" s="3"/>
      <c r="G17" s="3"/>
      <c r="H17" s="6"/>
      <c r="I17" s="3"/>
      <c r="J17" s="3"/>
      <c r="K17" s="4"/>
      <c r="L17" s="3"/>
    </row>
    <row r="18" spans="1:12">
      <c r="A18" s="3" t="s">
        <v>887</v>
      </c>
      <c r="B18" s="3"/>
      <c r="C18" s="3"/>
      <c r="D18" s="4"/>
      <c r="E18" s="3"/>
      <c r="F18" s="3"/>
      <c r="G18" s="3"/>
      <c r="H18" s="6"/>
      <c r="I18" s="3"/>
      <c r="J18" s="3"/>
      <c r="K18" s="4"/>
      <c r="L18" s="3"/>
    </row>
    <row r="19" spans="1:12">
      <c r="A19" s="3" t="s">
        <v>888</v>
      </c>
      <c r="B19" s="3"/>
      <c r="C19" s="3"/>
      <c r="D19" s="4"/>
      <c r="E19" s="3"/>
      <c r="F19" s="3"/>
      <c r="G19" s="3"/>
      <c r="H19" s="6"/>
      <c r="I19" s="3"/>
      <c r="J19" s="3"/>
      <c r="K19" s="4"/>
      <c r="L19" s="3"/>
    </row>
    <row r="20" spans="1:12">
      <c r="A20" s="3" t="s">
        <v>889</v>
      </c>
      <c r="B20" s="3"/>
      <c r="C20" s="3"/>
      <c r="D20" s="4"/>
      <c r="E20" s="3"/>
      <c r="F20" s="3"/>
      <c r="G20" s="3"/>
      <c r="H20" s="6"/>
      <c r="I20" s="3"/>
      <c r="J20" s="3"/>
      <c r="K20" s="4"/>
      <c r="L20" s="3"/>
    </row>
    <row r="21" spans="1:12">
      <c r="A21" s="3" t="s">
        <v>890</v>
      </c>
      <c r="B21" s="3"/>
      <c r="C21" s="3"/>
      <c r="D21" s="4"/>
      <c r="E21" s="3"/>
      <c r="F21" s="3"/>
      <c r="G21" s="3"/>
      <c r="H21" s="6"/>
      <c r="I21" s="3"/>
      <c r="J21" s="3"/>
      <c r="K21" s="4"/>
      <c r="L21" s="3"/>
    </row>
    <row r="22" spans="1:12">
      <c r="A22" s="3" t="s">
        <v>891</v>
      </c>
      <c r="B22" s="3"/>
      <c r="C22" s="3"/>
      <c r="D22" s="4"/>
      <c r="E22" s="3"/>
      <c r="F22" s="3"/>
      <c r="G22" s="3"/>
      <c r="H22" s="6"/>
      <c r="I22" s="3"/>
      <c r="J22" s="3"/>
      <c r="K22" s="4"/>
      <c r="L22" s="3"/>
    </row>
    <row r="23" spans="1:12">
      <c r="A23" s="3" t="s">
        <v>892</v>
      </c>
      <c r="B23" s="3"/>
      <c r="C23" s="3"/>
      <c r="D23" s="4"/>
      <c r="E23" s="3"/>
      <c r="F23" s="3"/>
      <c r="G23" s="3"/>
      <c r="H23" s="6"/>
      <c r="I23" s="3"/>
      <c r="J23" s="3"/>
      <c r="K23" s="4"/>
      <c r="L23" s="3"/>
    </row>
    <row r="24" spans="1:12">
      <c r="A24" s="3" t="s">
        <v>893</v>
      </c>
      <c r="B24" s="3"/>
      <c r="C24" s="3"/>
      <c r="D24" s="4"/>
      <c r="E24" s="3"/>
      <c r="F24" s="3"/>
      <c r="G24" s="3"/>
      <c r="H24" s="6"/>
      <c r="I24" s="3"/>
      <c r="J24" s="3"/>
      <c r="K24" s="4"/>
      <c r="L24" s="3"/>
    </row>
    <row r="25" spans="1:12">
      <c r="A25" s="3" t="s">
        <v>894</v>
      </c>
      <c r="B25" s="3"/>
      <c r="C25" s="3"/>
      <c r="D25" s="4"/>
      <c r="E25" s="3"/>
      <c r="F25" s="3"/>
      <c r="G25" s="3"/>
      <c r="H25" s="6"/>
      <c r="I25" s="3"/>
      <c r="J25" s="3"/>
      <c r="K25" s="4"/>
      <c r="L25" s="3"/>
    </row>
    <row r="26" spans="1:12">
      <c r="A26" s="3" t="s">
        <v>895</v>
      </c>
      <c r="B26" s="3"/>
      <c r="C26" s="3"/>
      <c r="D26" s="4"/>
      <c r="E26" s="3"/>
      <c r="F26" s="3"/>
      <c r="G26" s="3"/>
      <c r="H26" s="6"/>
      <c r="I26" s="3"/>
      <c r="J26" s="3"/>
      <c r="K26" s="4"/>
      <c r="L26" s="3"/>
    </row>
    <row r="27" spans="1:12">
      <c r="A27" s="3" t="s">
        <v>896</v>
      </c>
      <c r="B27" s="3"/>
      <c r="C27" s="3"/>
      <c r="D27" s="4"/>
      <c r="E27" s="3"/>
      <c r="F27" s="3"/>
      <c r="G27" s="3"/>
      <c r="H27" s="6"/>
      <c r="I27" s="3"/>
      <c r="J27" s="3"/>
      <c r="K27" s="4"/>
      <c r="L27" s="3"/>
    </row>
    <row r="28" spans="1:12">
      <c r="A28" s="3" t="s">
        <v>897</v>
      </c>
      <c r="B28" s="3"/>
      <c r="C28" s="3"/>
      <c r="D28" s="4"/>
      <c r="E28" s="3"/>
      <c r="F28" s="3"/>
      <c r="G28" s="3"/>
      <c r="H28" s="6"/>
      <c r="I28" s="3"/>
      <c r="J28" s="3"/>
      <c r="K28" s="4"/>
      <c r="L28" s="3"/>
    </row>
    <row r="29" spans="1:12">
      <c r="A29" s="3" t="s">
        <v>898</v>
      </c>
      <c r="B29" s="3"/>
      <c r="C29" s="3"/>
      <c r="D29" s="4"/>
      <c r="E29" s="3"/>
      <c r="F29" s="3"/>
      <c r="G29" s="3"/>
      <c r="H29" s="6"/>
      <c r="I29" s="3"/>
      <c r="J29" s="3"/>
      <c r="K29" s="4"/>
      <c r="L29" s="3"/>
    </row>
    <row r="30" spans="1:12">
      <c r="A30" s="3" t="s">
        <v>899</v>
      </c>
      <c r="B30" s="3"/>
      <c r="C30" s="3"/>
      <c r="D30" s="4"/>
      <c r="E30" s="3"/>
      <c r="F30" s="3"/>
      <c r="G30" s="3"/>
      <c r="H30" s="6"/>
      <c r="I30" s="3"/>
      <c r="J30" s="3"/>
      <c r="K30" s="4"/>
      <c r="L30" s="3"/>
    </row>
    <row r="31" spans="1:12">
      <c r="A31" s="3" t="s">
        <v>900</v>
      </c>
      <c r="B31" s="3"/>
      <c r="C31" s="3"/>
      <c r="D31" s="4"/>
      <c r="E31" s="3"/>
      <c r="F31" s="3"/>
      <c r="G31" s="3"/>
      <c r="H31" s="6"/>
      <c r="I31" s="3"/>
      <c r="J31" s="3"/>
      <c r="K31" s="4"/>
      <c r="L31" s="3"/>
    </row>
    <row r="32" spans="1:12">
      <c r="A32" s="3" t="s">
        <v>901</v>
      </c>
      <c r="B32" s="3"/>
      <c r="C32" s="3"/>
      <c r="D32" s="4"/>
      <c r="E32" s="3"/>
      <c r="F32" s="3"/>
      <c r="G32" s="3"/>
      <c r="H32" s="6"/>
      <c r="I32" s="3"/>
      <c r="J32" s="3"/>
      <c r="K32" s="4"/>
      <c r="L32" s="3"/>
    </row>
    <row r="33" spans="1:12">
      <c r="A33" s="3" t="s">
        <v>902</v>
      </c>
      <c r="B33" s="3"/>
      <c r="C33" s="3"/>
      <c r="D33" s="4"/>
      <c r="E33" s="3"/>
      <c r="F33" s="3"/>
      <c r="G33" s="3"/>
      <c r="H33" s="6"/>
      <c r="I33" s="3"/>
      <c r="J33" s="3"/>
      <c r="K33" s="4"/>
      <c r="L33" s="3"/>
    </row>
    <row r="34" spans="1:12">
      <c r="A34" s="3" t="s">
        <v>903</v>
      </c>
      <c r="B34" s="3"/>
      <c r="C34" s="3"/>
      <c r="D34" s="4"/>
      <c r="E34" s="3"/>
      <c r="F34" s="3"/>
      <c r="G34" s="3"/>
      <c r="H34" s="6"/>
      <c r="I34" s="3"/>
      <c r="J34" s="3"/>
      <c r="K34" s="4"/>
      <c r="L34" s="3"/>
    </row>
    <row r="35" spans="1:12">
      <c r="A35" s="3" t="s">
        <v>904</v>
      </c>
      <c r="B35" s="3"/>
      <c r="C35" s="3"/>
      <c r="D35" s="4"/>
      <c r="E35" s="3"/>
      <c r="F35" s="3"/>
      <c r="G35" s="3"/>
      <c r="H35" s="6"/>
      <c r="I35" s="3"/>
      <c r="J35" s="3"/>
      <c r="K35" s="4"/>
      <c r="L35" s="3"/>
    </row>
    <row r="36" spans="1:12">
      <c r="A36" s="3" t="s">
        <v>905</v>
      </c>
      <c r="B36" s="3"/>
      <c r="C36" s="3"/>
      <c r="D36" s="4"/>
      <c r="E36" s="3"/>
      <c r="F36" s="3"/>
      <c r="G36" s="3"/>
      <c r="H36" s="6"/>
      <c r="I36" s="3"/>
      <c r="J36" s="3"/>
      <c r="K36" s="4"/>
      <c r="L36" s="3"/>
    </row>
    <row r="37" spans="1:12">
      <c r="A37" s="3" t="s">
        <v>906</v>
      </c>
      <c r="B37" s="3"/>
      <c r="C37" s="3"/>
      <c r="D37" s="4"/>
      <c r="E37" s="3"/>
      <c r="F37" s="3"/>
      <c r="G37" s="3"/>
      <c r="H37" s="6"/>
      <c r="I37" s="3"/>
      <c r="J37" s="3"/>
      <c r="K37" s="4"/>
      <c r="L37" s="3"/>
    </row>
    <row r="38" spans="1:12">
      <c r="A38" s="3" t="s">
        <v>907</v>
      </c>
      <c r="B38" s="3"/>
      <c r="C38" s="3"/>
      <c r="D38" s="4"/>
      <c r="E38" s="3"/>
      <c r="F38" s="3"/>
      <c r="G38" s="3"/>
      <c r="H38" s="6"/>
      <c r="I38" s="3"/>
      <c r="J38" s="3"/>
      <c r="K38" s="4"/>
      <c r="L38" s="3"/>
    </row>
    <row r="39" spans="1:12">
      <c r="A39" s="3" t="s">
        <v>908</v>
      </c>
      <c r="B39" s="3"/>
      <c r="C39" s="3"/>
      <c r="D39" s="4"/>
      <c r="E39" s="3"/>
      <c r="F39" s="3"/>
      <c r="G39" s="3"/>
      <c r="H39" s="6"/>
      <c r="I39" s="3"/>
      <c r="J39" s="3"/>
      <c r="K39" s="4"/>
      <c r="L39" s="3"/>
    </row>
    <row r="40" spans="1:12">
      <c r="A40" s="3" t="s">
        <v>909</v>
      </c>
      <c r="B40" s="3"/>
      <c r="C40" s="3"/>
      <c r="D40" s="4"/>
      <c r="E40" s="3"/>
      <c r="F40" s="3"/>
      <c r="G40" s="3"/>
      <c r="H40" s="6"/>
      <c r="I40" s="3"/>
      <c r="J40" s="3"/>
      <c r="K40" s="4"/>
      <c r="L40" s="3"/>
    </row>
    <row r="41" spans="1:12">
      <c r="A41" s="3" t="s">
        <v>910</v>
      </c>
      <c r="B41" s="3"/>
      <c r="C41" s="3"/>
      <c r="D41" s="4"/>
      <c r="E41" s="3"/>
      <c r="F41" s="3"/>
      <c r="G41" s="3"/>
      <c r="H41" s="6"/>
      <c r="I41" s="3"/>
      <c r="J41" s="3"/>
      <c r="K41" s="4"/>
      <c r="L41" s="3"/>
    </row>
    <row r="42" spans="1:12">
      <c r="A42" s="3" t="s">
        <v>911</v>
      </c>
      <c r="B42" s="3"/>
      <c r="C42" s="3"/>
      <c r="D42" s="4"/>
      <c r="E42" s="3"/>
      <c r="F42" s="3"/>
      <c r="G42" s="3"/>
      <c r="H42" s="6"/>
      <c r="I42" s="3"/>
      <c r="J42" s="3"/>
      <c r="K42" s="4"/>
      <c r="L42" s="3"/>
    </row>
    <row r="43" spans="1:12">
      <c r="A43" s="3" t="s">
        <v>912</v>
      </c>
      <c r="B43" s="3"/>
      <c r="C43" s="3"/>
      <c r="D43" s="4"/>
      <c r="E43" s="3"/>
      <c r="F43" s="3"/>
      <c r="G43" s="3"/>
      <c r="H43" s="6"/>
      <c r="I43" s="3"/>
      <c r="J43" s="3"/>
      <c r="K43" s="4"/>
      <c r="L43" s="3"/>
    </row>
    <row r="44" spans="1:12">
      <c r="A44" s="3" t="s">
        <v>913</v>
      </c>
      <c r="B44" s="3"/>
      <c r="C44" s="3"/>
      <c r="D44" s="4"/>
      <c r="E44" s="3"/>
      <c r="F44" s="3"/>
      <c r="G44" s="3"/>
      <c r="H44" s="6"/>
      <c r="I44" s="3"/>
      <c r="J44" s="3"/>
      <c r="K44" s="4"/>
      <c r="L44" s="3"/>
    </row>
    <row r="45" spans="1:12">
      <c r="A45" s="3" t="s">
        <v>914</v>
      </c>
      <c r="B45" s="3"/>
      <c r="C45" s="3"/>
      <c r="D45" s="4"/>
      <c r="E45" s="3"/>
      <c r="F45" s="3"/>
      <c r="G45" s="3"/>
      <c r="H45" s="6"/>
      <c r="I45" s="3"/>
      <c r="J45" s="3"/>
      <c r="K45" s="4"/>
      <c r="L45" s="3"/>
    </row>
    <row r="46" spans="1:12">
      <c r="A46" s="3" t="s">
        <v>915</v>
      </c>
      <c r="B46" s="3"/>
      <c r="C46" s="3"/>
      <c r="D46" s="4"/>
      <c r="E46" s="3"/>
      <c r="F46" s="3"/>
      <c r="G46" s="3"/>
      <c r="H46" s="6"/>
      <c r="I46" s="3"/>
      <c r="J46" s="3"/>
      <c r="K46" s="4"/>
      <c r="L46" s="3"/>
    </row>
    <row r="47" spans="1:12">
      <c r="A47" s="3" t="s">
        <v>916</v>
      </c>
      <c r="B47" s="3"/>
      <c r="C47" s="3"/>
      <c r="D47" s="4"/>
      <c r="E47" s="3"/>
      <c r="F47" s="3"/>
      <c r="G47" s="3"/>
      <c r="H47" s="6"/>
      <c r="I47" s="3"/>
      <c r="J47" s="3"/>
      <c r="K47" s="4"/>
      <c r="L47" s="3"/>
    </row>
    <row r="48" spans="1:12">
      <c r="A48" s="3" t="s">
        <v>917</v>
      </c>
      <c r="B48" s="3"/>
      <c r="C48" s="3"/>
      <c r="D48" s="4"/>
      <c r="E48" s="3"/>
      <c r="F48" s="3"/>
      <c r="G48" s="3"/>
      <c r="H48" s="6"/>
      <c r="I48" s="3"/>
      <c r="J48" s="3"/>
      <c r="K48" s="4"/>
      <c r="L48" s="3"/>
    </row>
    <row r="49" spans="1:12">
      <c r="A49" s="3" t="s">
        <v>918</v>
      </c>
      <c r="B49" s="3"/>
      <c r="C49" s="3"/>
      <c r="D49" s="4"/>
      <c r="E49" s="3"/>
      <c r="F49" s="3"/>
      <c r="G49" s="3"/>
      <c r="H49" s="6"/>
      <c r="I49" s="3"/>
      <c r="J49" s="3"/>
      <c r="K49" s="4"/>
      <c r="L49" s="3"/>
    </row>
    <row r="50" spans="1:12">
      <c r="A50" s="3" t="s">
        <v>919</v>
      </c>
      <c r="B50" s="3"/>
      <c r="C50" s="3"/>
      <c r="D50" s="4"/>
      <c r="E50" s="3"/>
      <c r="F50" s="3"/>
      <c r="G50" s="3"/>
      <c r="H50" s="6"/>
      <c r="I50" s="3"/>
      <c r="J50" s="3"/>
      <c r="K50" s="4"/>
      <c r="L50" s="3"/>
    </row>
    <row r="51" spans="1:12">
      <c r="A51" s="3" t="s">
        <v>920</v>
      </c>
      <c r="B51" s="3"/>
      <c r="C51" s="3"/>
      <c r="D51" s="4"/>
      <c r="E51" s="3"/>
      <c r="F51" s="3"/>
      <c r="G51" s="3"/>
      <c r="H51" s="6"/>
      <c r="I51" s="3"/>
      <c r="J51" s="3"/>
      <c r="K51" s="4"/>
      <c r="L51" s="3"/>
    </row>
    <row r="52" spans="1:12">
      <c r="A52" s="3" t="s">
        <v>921</v>
      </c>
      <c r="B52" s="3"/>
      <c r="C52" s="3"/>
      <c r="D52" s="4"/>
      <c r="E52" s="3"/>
      <c r="F52" s="3"/>
      <c r="G52" s="3"/>
      <c r="H52" s="6"/>
      <c r="I52" s="3"/>
      <c r="J52" s="3"/>
      <c r="K52" s="4"/>
      <c r="L52" s="3"/>
    </row>
    <row r="53" spans="1:12">
      <c r="A53" s="3" t="s">
        <v>922</v>
      </c>
      <c r="B53" s="3"/>
      <c r="C53" s="3"/>
      <c r="D53" s="4"/>
      <c r="E53" s="3"/>
      <c r="F53" s="3"/>
      <c r="G53" s="3"/>
      <c r="H53" s="6"/>
      <c r="I53" s="3"/>
      <c r="J53" s="3"/>
      <c r="K53" s="4"/>
      <c r="L53" s="3"/>
    </row>
    <row r="54" spans="1:12">
      <c r="A54" s="3" t="s">
        <v>923</v>
      </c>
      <c r="B54" s="3"/>
      <c r="C54" s="3"/>
      <c r="D54" s="4"/>
      <c r="E54" s="3"/>
      <c r="F54" s="3"/>
      <c r="G54" s="3"/>
      <c r="H54" s="6"/>
      <c r="I54" s="3"/>
      <c r="J54" s="3"/>
      <c r="K54" s="4"/>
      <c r="L54" s="3"/>
    </row>
    <row r="55" spans="1:12">
      <c r="A55" s="3" t="s">
        <v>924</v>
      </c>
      <c r="B55" s="3"/>
      <c r="C55" s="3"/>
      <c r="D55" s="4"/>
      <c r="E55" s="3"/>
      <c r="F55" s="3"/>
      <c r="G55" s="3"/>
      <c r="H55" s="6"/>
      <c r="I55" s="3"/>
      <c r="J55" s="3"/>
      <c r="K55" s="4"/>
      <c r="L55" s="3"/>
    </row>
    <row r="56" spans="1:12">
      <c r="A56" s="3" t="s">
        <v>925</v>
      </c>
      <c r="B56" s="3"/>
      <c r="C56" s="3"/>
      <c r="D56" s="4"/>
      <c r="E56" s="3"/>
      <c r="F56" s="3"/>
      <c r="G56" s="3"/>
      <c r="H56" s="6"/>
      <c r="I56" s="3"/>
      <c r="J56" s="3"/>
      <c r="K56" s="4"/>
      <c r="L56" s="3"/>
    </row>
    <row r="57" spans="1:12">
      <c r="A57" s="3" t="s">
        <v>926</v>
      </c>
      <c r="B57" s="3"/>
      <c r="C57" s="3"/>
      <c r="D57" s="4"/>
      <c r="E57" s="3"/>
      <c r="F57" s="3"/>
      <c r="G57" s="3"/>
      <c r="H57" s="6"/>
      <c r="I57" s="3"/>
      <c r="J57" s="3"/>
      <c r="K57" s="4"/>
      <c r="L57" s="3"/>
    </row>
    <row r="58" spans="1:12">
      <c r="A58" s="3" t="s">
        <v>927</v>
      </c>
      <c r="B58" s="3"/>
      <c r="C58" s="3"/>
      <c r="D58" s="4"/>
      <c r="E58" s="3"/>
      <c r="F58" s="3"/>
      <c r="G58" s="3"/>
      <c r="H58" s="6"/>
      <c r="I58" s="3"/>
      <c r="J58" s="3"/>
      <c r="K58" s="4"/>
      <c r="L58" s="3"/>
    </row>
    <row r="59" spans="1:12">
      <c r="A59" s="3" t="s">
        <v>928</v>
      </c>
      <c r="B59" s="3"/>
      <c r="C59" s="3"/>
      <c r="D59" s="4"/>
      <c r="E59" s="3"/>
      <c r="F59" s="3"/>
      <c r="G59" s="3"/>
      <c r="H59" s="6"/>
      <c r="I59" s="3"/>
      <c r="J59" s="3"/>
      <c r="K59" s="4"/>
      <c r="L59" s="3"/>
    </row>
    <row r="60" spans="1:12">
      <c r="A60" s="3" t="s">
        <v>929</v>
      </c>
      <c r="B60" s="3"/>
      <c r="C60" s="3"/>
      <c r="D60" s="4"/>
      <c r="E60" s="3"/>
      <c r="F60" s="3"/>
      <c r="G60" s="3"/>
      <c r="H60" s="6"/>
      <c r="I60" s="3"/>
      <c r="J60" s="3"/>
      <c r="K60" s="4"/>
      <c r="L60" s="3"/>
    </row>
    <row r="61" spans="1:12">
      <c r="A61" s="3" t="s">
        <v>930</v>
      </c>
      <c r="B61" s="3"/>
      <c r="C61" s="3"/>
      <c r="D61" s="4"/>
      <c r="E61" s="3"/>
      <c r="F61" s="3"/>
      <c r="G61" s="3"/>
      <c r="H61" s="6"/>
      <c r="I61" s="3"/>
      <c r="J61" s="3"/>
      <c r="K61" s="4"/>
      <c r="L61" s="3"/>
    </row>
    <row r="62" spans="1:12">
      <c r="A62" s="3" t="s">
        <v>931</v>
      </c>
      <c r="B62" s="3"/>
      <c r="C62" s="3"/>
      <c r="D62" s="4"/>
      <c r="E62" s="3"/>
      <c r="F62" s="3"/>
      <c r="G62" s="3"/>
      <c r="H62" s="6"/>
      <c r="I62" s="3"/>
      <c r="J62" s="3"/>
      <c r="K62" s="4"/>
      <c r="L62" s="3"/>
    </row>
    <row r="63" spans="1:12">
      <c r="A63" s="3" t="s">
        <v>932</v>
      </c>
      <c r="B63" s="3"/>
      <c r="C63" s="3"/>
      <c r="D63" s="4"/>
      <c r="E63" s="3"/>
      <c r="F63" s="3"/>
      <c r="G63" s="3"/>
      <c r="H63" s="6"/>
      <c r="I63" s="3"/>
      <c r="J63" s="3"/>
      <c r="K63" s="4"/>
      <c r="L63" s="3"/>
    </row>
    <row r="64" spans="1:12">
      <c r="A64" s="3" t="s">
        <v>933</v>
      </c>
      <c r="B64" s="3"/>
      <c r="C64" s="3"/>
      <c r="D64" s="4"/>
      <c r="E64" s="3"/>
      <c r="F64" s="3"/>
      <c r="G64" s="3"/>
      <c r="H64" s="6"/>
      <c r="I64" s="3"/>
      <c r="J64" s="3"/>
      <c r="K64" s="4"/>
      <c r="L64" s="3"/>
    </row>
    <row r="65" spans="1:12">
      <c r="A65" s="3" t="s">
        <v>934</v>
      </c>
      <c r="B65" s="3"/>
      <c r="C65" s="3"/>
      <c r="D65" s="4"/>
      <c r="E65" s="3"/>
      <c r="F65" s="3"/>
      <c r="G65" s="3"/>
      <c r="H65" s="6"/>
      <c r="I65" s="3"/>
      <c r="J65" s="3"/>
      <c r="K65" s="4"/>
      <c r="L65" s="3"/>
    </row>
    <row r="66" spans="1:12">
      <c r="A66" s="3" t="s">
        <v>935</v>
      </c>
      <c r="B66" s="3"/>
      <c r="C66" s="3"/>
      <c r="D66" s="4"/>
      <c r="E66" s="3"/>
      <c r="F66" s="3"/>
      <c r="G66" s="3"/>
      <c r="H66" s="6"/>
      <c r="I66" s="3"/>
      <c r="J66" s="3"/>
      <c r="K66" s="4"/>
      <c r="L66" s="3"/>
    </row>
    <row r="67" spans="1:12">
      <c r="A67" s="3" t="s">
        <v>936</v>
      </c>
      <c r="B67" s="3"/>
      <c r="C67" s="3"/>
      <c r="D67" s="4"/>
      <c r="E67" s="3"/>
      <c r="F67" s="3"/>
      <c r="G67" s="3"/>
      <c r="H67" s="6"/>
      <c r="I67" s="3"/>
      <c r="J67" s="3"/>
      <c r="K67" s="4"/>
      <c r="L67" s="3"/>
    </row>
    <row r="68" spans="1:12">
      <c r="A68" s="3" t="s">
        <v>937</v>
      </c>
      <c r="B68" s="3"/>
      <c r="C68" s="3"/>
      <c r="D68" s="4"/>
      <c r="E68" s="3"/>
      <c r="F68" s="3"/>
      <c r="G68" s="3"/>
      <c r="H68" s="6"/>
      <c r="I68" s="3"/>
      <c r="J68" s="3"/>
      <c r="K68" s="4"/>
      <c r="L68" s="3"/>
    </row>
    <row r="69" spans="1:12">
      <c r="A69" s="3" t="s">
        <v>938</v>
      </c>
      <c r="B69" s="3"/>
      <c r="C69" s="3"/>
      <c r="D69" s="4"/>
      <c r="E69" s="3"/>
      <c r="F69" s="3"/>
      <c r="G69" s="3"/>
      <c r="H69" s="6"/>
      <c r="I69" s="3"/>
      <c r="J69" s="3"/>
      <c r="K69" s="4"/>
      <c r="L69" s="3"/>
    </row>
    <row r="70" spans="1:12">
      <c r="A70" s="3" t="s">
        <v>939</v>
      </c>
      <c r="B70" s="3"/>
      <c r="C70" s="3"/>
      <c r="D70" s="4"/>
      <c r="E70" s="3"/>
      <c r="F70" s="3"/>
      <c r="G70" s="3"/>
      <c r="H70" s="6"/>
      <c r="I70" s="3"/>
      <c r="J70" s="3"/>
      <c r="K70" s="4"/>
      <c r="L70" s="3"/>
    </row>
    <row r="71" spans="1:12">
      <c r="A71" s="3" t="s">
        <v>940</v>
      </c>
      <c r="B71" s="3"/>
      <c r="C71" s="3"/>
      <c r="D71" s="4"/>
      <c r="E71" s="3"/>
      <c r="F71" s="3"/>
      <c r="G71" s="3"/>
      <c r="H71" s="6"/>
      <c r="I71" s="3"/>
      <c r="J71" s="3"/>
      <c r="K71" s="4"/>
      <c r="L71" s="3"/>
    </row>
    <row r="72" spans="1:12">
      <c r="A72" s="3" t="s">
        <v>941</v>
      </c>
      <c r="B72" s="3"/>
      <c r="C72" s="3"/>
      <c r="D72" s="4"/>
      <c r="E72" s="3"/>
      <c r="F72" s="3"/>
      <c r="G72" s="3"/>
      <c r="H72" s="6"/>
      <c r="I72" s="3"/>
      <c r="J72" s="3"/>
      <c r="K72" s="4"/>
      <c r="L72" s="3"/>
    </row>
    <row r="73" spans="1:12">
      <c r="A73" s="3" t="s">
        <v>942</v>
      </c>
      <c r="B73" s="3"/>
      <c r="C73" s="3"/>
      <c r="D73" s="4"/>
      <c r="E73" s="3"/>
      <c r="F73" s="3"/>
      <c r="G73" s="3"/>
      <c r="H73" s="6"/>
      <c r="I73" s="3"/>
      <c r="J73" s="3"/>
      <c r="K73" s="4"/>
      <c r="L73" s="3"/>
    </row>
    <row r="74" spans="1:12">
      <c r="A74" s="3" t="s">
        <v>943</v>
      </c>
      <c r="B74" s="3"/>
      <c r="C74" s="3"/>
      <c r="D74" s="4"/>
      <c r="E74" s="3"/>
      <c r="F74" s="3"/>
      <c r="G74" s="3"/>
      <c r="H74" s="6"/>
      <c r="I74" s="3"/>
      <c r="J74" s="3"/>
      <c r="K74" s="4"/>
      <c r="L74" s="3"/>
    </row>
    <row r="75" spans="1:12">
      <c r="A75" s="3" t="s">
        <v>944</v>
      </c>
      <c r="B75" s="3"/>
      <c r="C75" s="3"/>
      <c r="D75" s="4"/>
      <c r="E75" s="3"/>
      <c r="F75" s="3"/>
      <c r="G75" s="3"/>
      <c r="H75" s="6"/>
      <c r="I75" s="3"/>
      <c r="J75" s="3"/>
      <c r="K75" s="4"/>
      <c r="L75" s="3"/>
    </row>
    <row r="76" spans="1:12">
      <c r="A76" s="3" t="s">
        <v>945</v>
      </c>
      <c r="B76" s="3"/>
      <c r="C76" s="3"/>
      <c r="D76" s="4"/>
      <c r="E76" s="3"/>
      <c r="F76" s="3"/>
      <c r="G76" s="3"/>
      <c r="H76" s="6"/>
      <c r="I76" s="3"/>
      <c r="J76" s="3"/>
      <c r="K76" s="4"/>
      <c r="L76" s="3"/>
    </row>
    <row r="77" spans="1:12">
      <c r="A77" s="3" t="s">
        <v>946</v>
      </c>
      <c r="B77" s="3"/>
      <c r="C77" s="3"/>
      <c r="D77" s="4"/>
      <c r="E77" s="3"/>
      <c r="F77" s="3"/>
      <c r="G77" s="3"/>
      <c r="H77" s="6"/>
      <c r="I77" s="3"/>
      <c r="J77" s="3"/>
      <c r="K77" s="4"/>
      <c r="L77" s="3"/>
    </row>
    <row r="78" spans="1:12">
      <c r="A78" s="3" t="s">
        <v>947</v>
      </c>
      <c r="B78" s="3"/>
      <c r="C78" s="3"/>
      <c r="D78" s="4"/>
      <c r="E78" s="3"/>
      <c r="F78" s="3"/>
      <c r="G78" s="3"/>
      <c r="H78" s="6"/>
      <c r="I78" s="3"/>
      <c r="J78" s="3"/>
      <c r="K78" s="4"/>
      <c r="L78" s="3"/>
    </row>
    <row r="79" spans="1:12">
      <c r="A79" s="3" t="s">
        <v>948</v>
      </c>
      <c r="B79" s="3"/>
      <c r="C79" s="3"/>
      <c r="D79" s="4"/>
      <c r="E79" s="3"/>
      <c r="F79" s="3"/>
      <c r="G79" s="3"/>
      <c r="H79" s="6"/>
      <c r="I79" s="3"/>
      <c r="J79" s="3"/>
      <c r="K79" s="4"/>
      <c r="L79" s="3"/>
    </row>
    <row r="80" spans="1:12">
      <c r="A80" s="3" t="s">
        <v>949</v>
      </c>
      <c r="B80" s="3"/>
      <c r="C80" s="3"/>
      <c r="D80" s="4"/>
      <c r="E80" s="3"/>
      <c r="F80" s="3"/>
      <c r="G80" s="3"/>
      <c r="H80" s="6"/>
      <c r="I80" s="3"/>
      <c r="J80" s="3"/>
      <c r="K80" s="4"/>
      <c r="L80" s="3"/>
    </row>
    <row r="81" spans="1:12">
      <c r="A81" s="3" t="s">
        <v>950</v>
      </c>
      <c r="B81" s="3"/>
      <c r="C81" s="3"/>
      <c r="D81" s="4"/>
      <c r="E81" s="3"/>
      <c r="F81" s="3"/>
      <c r="G81" s="3"/>
      <c r="H81" s="6"/>
      <c r="I81" s="3"/>
      <c r="J81" s="3"/>
      <c r="K81" s="4"/>
      <c r="L81" s="3"/>
    </row>
    <row r="82" spans="1:12">
      <c r="A82" s="3" t="s">
        <v>951</v>
      </c>
      <c r="B82" s="3"/>
      <c r="C82" s="3"/>
      <c r="D82" s="4"/>
      <c r="E82" s="3"/>
      <c r="F82" s="3"/>
      <c r="G82" s="3"/>
      <c r="H82" s="6"/>
      <c r="I82" s="3"/>
      <c r="J82" s="3"/>
      <c r="K82" s="4"/>
      <c r="L82" s="3"/>
    </row>
    <row r="83" spans="1:12">
      <c r="A83" s="3" t="s">
        <v>952</v>
      </c>
      <c r="B83" s="3"/>
      <c r="C83" s="3"/>
      <c r="D83" s="4"/>
      <c r="E83" s="3"/>
      <c r="F83" s="3"/>
      <c r="G83" s="3"/>
      <c r="H83" s="6"/>
      <c r="I83" s="3"/>
      <c r="J83" s="3"/>
      <c r="K83" s="4"/>
      <c r="L83" s="3"/>
    </row>
    <row r="84" spans="1:12">
      <c r="A84" s="3" t="s">
        <v>953</v>
      </c>
      <c r="B84" s="3"/>
      <c r="C84" s="3"/>
      <c r="D84" s="4"/>
      <c r="E84" s="3"/>
      <c r="F84" s="3"/>
      <c r="G84" s="3"/>
      <c r="H84" s="6"/>
      <c r="I84" s="3"/>
      <c r="J84" s="3"/>
      <c r="K84" s="4"/>
      <c r="L84" s="3"/>
    </row>
    <row r="85" spans="1:12">
      <c r="A85" s="3" t="s">
        <v>954</v>
      </c>
      <c r="B85" s="3"/>
      <c r="C85" s="3"/>
      <c r="D85" s="4"/>
      <c r="E85" s="3"/>
      <c r="F85" s="3"/>
      <c r="G85" s="3"/>
      <c r="H85" s="6"/>
      <c r="I85" s="3"/>
      <c r="J85" s="3"/>
      <c r="K85" s="4"/>
      <c r="L85" s="3"/>
    </row>
    <row r="86" spans="1:12">
      <c r="A86" s="3" t="s">
        <v>955</v>
      </c>
      <c r="B86" s="3"/>
      <c r="C86" s="3"/>
      <c r="D86" s="4"/>
      <c r="E86" s="3"/>
      <c r="F86" s="3"/>
      <c r="G86" s="3"/>
      <c r="H86" s="6"/>
      <c r="I86" s="3"/>
      <c r="J86" s="3"/>
      <c r="K86" s="4"/>
      <c r="L86" s="3"/>
    </row>
    <row r="87" spans="1:12">
      <c r="A87" s="3" t="s">
        <v>956</v>
      </c>
      <c r="B87" s="3"/>
      <c r="C87" s="3"/>
      <c r="D87" s="4"/>
      <c r="E87" s="3"/>
      <c r="F87" s="3"/>
      <c r="G87" s="3"/>
      <c r="H87" s="6"/>
      <c r="I87" s="3"/>
      <c r="J87" s="3"/>
      <c r="K87" s="4"/>
      <c r="L87" s="3"/>
    </row>
    <row r="88" spans="1:12">
      <c r="A88" s="3" t="s">
        <v>957</v>
      </c>
      <c r="B88" s="3"/>
      <c r="C88" s="3"/>
      <c r="D88" s="4"/>
      <c r="E88" s="3"/>
      <c r="F88" s="3"/>
      <c r="G88" s="3"/>
      <c r="H88" s="6"/>
      <c r="I88" s="3"/>
      <c r="J88" s="3"/>
      <c r="K88" s="4"/>
      <c r="L88" s="3"/>
    </row>
    <row r="89" spans="1:12">
      <c r="A89" s="3" t="s">
        <v>958</v>
      </c>
      <c r="B89" s="3"/>
      <c r="C89" s="3"/>
      <c r="D89" s="4"/>
      <c r="E89" s="3"/>
      <c r="F89" s="3"/>
      <c r="G89" s="3"/>
      <c r="H89" s="6"/>
      <c r="I89" s="3"/>
      <c r="J89" s="3"/>
      <c r="K89" s="4"/>
      <c r="L89" s="3"/>
    </row>
    <row r="90" spans="1:12">
      <c r="A90" s="3" t="s">
        <v>959</v>
      </c>
      <c r="B90" s="3"/>
      <c r="C90" s="3"/>
      <c r="D90" s="4"/>
      <c r="E90" s="3"/>
      <c r="F90" s="3"/>
      <c r="G90" s="3"/>
      <c r="H90" s="6"/>
      <c r="I90" s="3"/>
      <c r="J90" s="3"/>
      <c r="K90" s="4"/>
      <c r="L90" s="3"/>
    </row>
    <row r="91" spans="1:12">
      <c r="A91" s="3" t="s">
        <v>960</v>
      </c>
      <c r="B91" s="3"/>
      <c r="C91" s="3"/>
      <c r="D91" s="4"/>
      <c r="E91" s="3"/>
      <c r="F91" s="3"/>
      <c r="G91" s="3"/>
      <c r="H91" s="6"/>
      <c r="I91" s="3"/>
      <c r="J91" s="3"/>
      <c r="K91" s="4"/>
      <c r="L91" s="3"/>
    </row>
    <row r="92" spans="1:12">
      <c r="A92" s="3" t="s">
        <v>961</v>
      </c>
      <c r="B92" s="3"/>
      <c r="C92" s="3"/>
      <c r="D92" s="4"/>
      <c r="E92" s="3"/>
      <c r="F92" s="3"/>
      <c r="G92" s="3"/>
      <c r="H92" s="6"/>
      <c r="I92" s="3"/>
      <c r="J92" s="3"/>
      <c r="K92" s="4"/>
      <c r="L92" s="3"/>
    </row>
    <row r="93" spans="1:12">
      <c r="A93" s="3" t="s">
        <v>962</v>
      </c>
      <c r="B93" s="3"/>
      <c r="C93" s="3"/>
      <c r="D93" s="4"/>
      <c r="E93" s="3"/>
      <c r="F93" s="3"/>
      <c r="G93" s="3"/>
      <c r="H93" s="6"/>
      <c r="I93" s="3"/>
      <c r="J93" s="3"/>
      <c r="K93" s="4"/>
      <c r="L93" s="3"/>
    </row>
    <row r="94" spans="1:12">
      <c r="A94" s="3" t="s">
        <v>963</v>
      </c>
      <c r="B94" s="3"/>
      <c r="C94" s="3"/>
      <c r="D94" s="4"/>
      <c r="E94" s="3"/>
      <c r="F94" s="3"/>
      <c r="G94" s="3"/>
      <c r="H94" s="6"/>
      <c r="I94" s="3"/>
      <c r="J94" s="3"/>
      <c r="K94" s="4"/>
      <c r="L94" s="3"/>
    </row>
    <row r="95" spans="1:12">
      <c r="A95" s="3" t="s">
        <v>964</v>
      </c>
      <c r="B95" s="3"/>
      <c r="C95" s="3"/>
      <c r="D95" s="4"/>
      <c r="E95" s="3"/>
      <c r="F95" s="3"/>
      <c r="G95" s="3"/>
      <c r="H95" s="6"/>
      <c r="I95" s="3"/>
      <c r="J95" s="3"/>
      <c r="K95" s="4"/>
      <c r="L95" s="3"/>
    </row>
    <row r="96" spans="1:12">
      <c r="A96" s="3" t="s">
        <v>965</v>
      </c>
      <c r="B96" s="3"/>
      <c r="C96" s="3"/>
      <c r="D96" s="4"/>
      <c r="E96" s="3"/>
      <c r="F96" s="3"/>
      <c r="G96" s="3"/>
      <c r="H96" s="6"/>
      <c r="I96" s="3"/>
      <c r="J96" s="3"/>
      <c r="K96" s="4"/>
      <c r="L96" s="3"/>
    </row>
    <row r="97" spans="1:12">
      <c r="A97" s="3" t="s">
        <v>966</v>
      </c>
      <c r="B97" s="3"/>
      <c r="C97" s="3"/>
      <c r="D97" s="4"/>
      <c r="E97" s="3"/>
      <c r="F97" s="3"/>
      <c r="G97" s="3"/>
      <c r="H97" s="6"/>
      <c r="I97" s="3"/>
      <c r="J97" s="3"/>
      <c r="K97" s="4"/>
      <c r="L97" s="3"/>
    </row>
    <row r="98" spans="1:12">
      <c r="A98" s="3" t="s">
        <v>967</v>
      </c>
      <c r="B98" s="3"/>
      <c r="C98" s="3"/>
      <c r="D98" s="4"/>
      <c r="E98" s="3"/>
      <c r="F98" s="3"/>
      <c r="G98" s="3"/>
      <c r="H98" s="6"/>
      <c r="I98" s="3"/>
      <c r="J98" s="3"/>
      <c r="K98" s="4"/>
      <c r="L98" s="3"/>
    </row>
    <row r="99" spans="1:12">
      <c r="A99" s="3" t="s">
        <v>968</v>
      </c>
      <c r="B99" s="3"/>
      <c r="C99" s="3"/>
      <c r="D99" s="4"/>
      <c r="E99" s="3"/>
      <c r="F99" s="3"/>
      <c r="G99" s="3"/>
      <c r="H99" s="6"/>
      <c r="I99" s="3"/>
      <c r="J99" s="3"/>
      <c r="K99" s="4"/>
      <c r="L99" s="3"/>
    </row>
    <row r="100" spans="1:12">
      <c r="A100" s="3" t="s">
        <v>969</v>
      </c>
      <c r="B100" s="3"/>
      <c r="C100" s="3"/>
      <c r="D100" s="4"/>
      <c r="E100" s="3"/>
      <c r="F100" s="3"/>
      <c r="G100" s="3"/>
      <c r="H100" s="6"/>
      <c r="I100" s="3"/>
      <c r="J100" s="3"/>
      <c r="K100" s="4"/>
      <c r="L100" s="3"/>
    </row>
    <row r="101" spans="1:12">
      <c r="A101" s="3"/>
      <c r="B101" s="3"/>
      <c r="C101" s="3"/>
      <c r="D101" s="4"/>
      <c r="E101" s="3"/>
      <c r="F101" s="3"/>
      <c r="G101" s="3"/>
      <c r="H101" s="6"/>
      <c r="I101" s="3"/>
      <c r="J101" s="3"/>
      <c r="K101" s="4"/>
      <c r="L101" s="3"/>
    </row>
    <row r="102" spans="1:12">
      <c r="A102" s="3"/>
      <c r="B102" s="3"/>
      <c r="C102" s="3"/>
      <c r="D102" s="4"/>
      <c r="E102" s="3"/>
      <c r="F102" s="3"/>
      <c r="G102" s="3"/>
      <c r="H102" s="6"/>
      <c r="I102" s="3"/>
      <c r="J102" s="3"/>
      <c r="K102" s="4"/>
      <c r="L102" s="3"/>
    </row>
    <row r="103" spans="1:12">
      <c r="A103" s="3"/>
      <c r="B103" s="3"/>
      <c r="C103" s="3"/>
      <c r="D103" s="4"/>
      <c r="E103" s="3"/>
      <c r="F103" s="3"/>
      <c r="G103" s="3"/>
      <c r="H103" s="6"/>
      <c r="I103" s="3"/>
      <c r="J103" s="3"/>
      <c r="K103" s="4"/>
      <c r="L103" s="3"/>
    </row>
    <row r="104" spans="1:12">
      <c r="A104" s="3"/>
      <c r="B104" s="3"/>
      <c r="C104" s="3"/>
      <c r="D104" s="4"/>
      <c r="E104" s="3"/>
      <c r="F104" s="3"/>
      <c r="G104" s="3"/>
      <c r="H104" s="6"/>
      <c r="I104" s="3"/>
      <c r="J104" s="3"/>
      <c r="K104" s="4"/>
      <c r="L104" s="3"/>
    </row>
    <row r="105" spans="1:12">
      <c r="A105" s="3"/>
      <c r="B105" s="3"/>
      <c r="C105" s="3"/>
      <c r="D105" s="4"/>
      <c r="E105" s="3"/>
      <c r="F105" s="3"/>
      <c r="G105" s="3"/>
      <c r="H105" s="6"/>
      <c r="I105" s="3"/>
      <c r="J105" s="3"/>
      <c r="K105" s="4"/>
      <c r="L105" s="3"/>
    </row>
    <row r="106" spans="1:12">
      <c r="A106" s="3"/>
      <c r="B106" s="3"/>
      <c r="C106" s="3"/>
      <c r="D106" s="4"/>
      <c r="E106" s="3"/>
      <c r="F106" s="3"/>
      <c r="G106" s="3"/>
      <c r="H106" s="6"/>
      <c r="I106" s="3"/>
      <c r="J106" s="3"/>
      <c r="K106" s="4"/>
      <c r="L106" s="3"/>
    </row>
    <row r="107" spans="1:12">
      <c r="A107" s="3"/>
      <c r="B107" s="3"/>
      <c r="C107" s="3"/>
      <c r="D107" s="4"/>
      <c r="E107" s="3"/>
      <c r="F107" s="3"/>
      <c r="G107" s="3"/>
      <c r="H107" s="6"/>
      <c r="I107" s="3"/>
      <c r="J107" s="3"/>
      <c r="K107" s="4"/>
      <c r="L107" s="3"/>
    </row>
    <row r="108" spans="1:12">
      <c r="A108" s="3"/>
      <c r="B108" s="3"/>
      <c r="C108" s="3"/>
      <c r="D108" s="4"/>
      <c r="E108" s="3"/>
      <c r="F108" s="3"/>
      <c r="G108" s="3"/>
      <c r="H108" s="6"/>
      <c r="I108" s="3"/>
      <c r="J108" s="3"/>
      <c r="K108" s="4"/>
      <c r="L108" s="3"/>
    </row>
    <row r="109" spans="1:12">
      <c r="A109" s="3"/>
      <c r="B109" s="3"/>
      <c r="C109" s="3"/>
      <c r="D109" s="4"/>
      <c r="E109" s="3"/>
      <c r="F109" s="3"/>
      <c r="G109" s="3"/>
      <c r="H109" s="6"/>
      <c r="I109" s="3"/>
      <c r="J109" s="3"/>
      <c r="K109" s="4"/>
      <c r="L109" s="3"/>
    </row>
    <row r="110" spans="1:12">
      <c r="A110" s="3"/>
      <c r="B110" s="3"/>
      <c r="C110" s="3"/>
      <c r="D110" s="4"/>
      <c r="E110" s="3"/>
      <c r="F110" s="3"/>
      <c r="G110" s="3"/>
      <c r="H110" s="6"/>
      <c r="I110" s="3"/>
      <c r="J110" s="3"/>
      <c r="K110" s="4"/>
      <c r="L110" s="3"/>
    </row>
    <row r="111" spans="1:12">
      <c r="A111" s="3"/>
      <c r="B111" s="3"/>
      <c r="C111" s="3"/>
      <c r="D111" s="4"/>
      <c r="E111" s="3"/>
      <c r="F111" s="3"/>
      <c r="G111" s="3"/>
      <c r="H111" s="6"/>
      <c r="I111" s="3"/>
      <c r="J111" s="3"/>
      <c r="K111" s="4"/>
      <c r="L111" s="3"/>
    </row>
    <row r="112" spans="1:12">
      <c r="A112" s="3"/>
      <c r="B112" s="3"/>
      <c r="C112" s="3"/>
      <c r="D112" s="4"/>
      <c r="E112" s="3"/>
      <c r="F112" s="3"/>
      <c r="G112" s="3"/>
      <c r="H112" s="6"/>
      <c r="I112" s="3"/>
      <c r="J112" s="3"/>
      <c r="K112" s="4"/>
      <c r="L112" s="3"/>
    </row>
    <row r="113" spans="1:12">
      <c r="A113" s="3"/>
      <c r="B113" s="3"/>
      <c r="C113" s="3"/>
      <c r="D113" s="4"/>
      <c r="E113" s="3"/>
      <c r="F113" s="3"/>
      <c r="G113" s="3"/>
      <c r="H113" s="6"/>
      <c r="I113" s="3"/>
      <c r="J113" s="3"/>
      <c r="K113" s="4"/>
      <c r="L113" s="3"/>
    </row>
    <row r="114" spans="1:12">
      <c r="A114" s="3"/>
      <c r="B114" s="3"/>
      <c r="C114" s="3"/>
      <c r="D114" s="4"/>
      <c r="E114" s="3"/>
      <c r="F114" s="3"/>
      <c r="G114" s="3"/>
      <c r="H114" s="6"/>
      <c r="I114" s="3"/>
      <c r="J114" s="3"/>
      <c r="K114" s="4"/>
      <c r="L114" s="3"/>
    </row>
    <row r="115" spans="1:12">
      <c r="A115" s="3"/>
      <c r="B115" s="3"/>
      <c r="C115" s="3"/>
      <c r="D115" s="4"/>
      <c r="E115" s="3"/>
      <c r="F115" s="3"/>
      <c r="G115" s="3"/>
      <c r="H115" s="6"/>
      <c r="I115" s="3"/>
      <c r="J115" s="3"/>
      <c r="K115" s="4"/>
      <c r="L115" s="3"/>
    </row>
    <row r="116" spans="1:12">
      <c r="A116" s="3"/>
      <c r="B116" s="3"/>
      <c r="C116" s="3"/>
      <c r="D116" s="4"/>
      <c r="E116" s="3"/>
      <c r="F116" s="3"/>
      <c r="G116" s="3"/>
      <c r="H116" s="6"/>
      <c r="I116" s="3"/>
      <c r="J116" s="3"/>
      <c r="K116" s="4"/>
      <c r="L116" s="3"/>
    </row>
    <row r="117" spans="1:12">
      <c r="A117" s="3"/>
      <c r="B117" s="3"/>
      <c r="C117" s="3"/>
      <c r="D117" s="4"/>
      <c r="E117" s="3"/>
      <c r="F117" s="3"/>
      <c r="G117" s="3"/>
      <c r="H117" s="6"/>
      <c r="I117" s="3"/>
      <c r="J117" s="3"/>
      <c r="K117" s="4"/>
      <c r="L117" s="3"/>
    </row>
    <row r="118" spans="1:12">
      <c r="A118" s="3"/>
      <c r="B118" s="3"/>
      <c r="C118" s="3"/>
      <c r="D118" s="4"/>
      <c r="E118" s="3"/>
      <c r="F118" s="3"/>
      <c r="G118" s="3"/>
      <c r="H118" s="6"/>
      <c r="I118" s="3"/>
      <c r="J118" s="3"/>
      <c r="K118" s="4"/>
      <c r="L118" s="3"/>
    </row>
    <row r="119" spans="1:12">
      <c r="A119" s="3"/>
      <c r="B119" s="3"/>
      <c r="C119" s="3"/>
      <c r="D119" s="4"/>
      <c r="E119" s="3"/>
      <c r="F119" s="3"/>
      <c r="G119" s="3"/>
      <c r="H119" s="6"/>
      <c r="I119" s="3"/>
      <c r="J119" s="3"/>
      <c r="K119" s="4"/>
      <c r="L119" s="3"/>
    </row>
    <row r="120" spans="1:12">
      <c r="A120" s="3"/>
      <c r="B120" s="3"/>
      <c r="C120" s="3"/>
      <c r="D120" s="4"/>
      <c r="E120" s="3"/>
      <c r="F120" s="3"/>
      <c r="G120" s="3"/>
      <c r="H120" s="6"/>
      <c r="I120" s="3"/>
      <c r="J120" s="3"/>
      <c r="K120" s="4"/>
      <c r="L120" s="3"/>
    </row>
    <row r="121" spans="1:12">
      <c r="A121" s="3"/>
      <c r="B121" s="3"/>
      <c r="C121" s="3"/>
      <c r="D121" s="4"/>
      <c r="E121" s="3"/>
      <c r="F121" s="3"/>
      <c r="G121" s="3"/>
      <c r="H121" s="6"/>
      <c r="I121" s="3"/>
      <c r="J121" s="3"/>
      <c r="K121" s="4"/>
      <c r="L121" s="3"/>
    </row>
    <row r="122" spans="1:12">
      <c r="A122" s="3"/>
      <c r="B122" s="3"/>
      <c r="C122" s="3"/>
      <c r="D122" s="4"/>
      <c r="E122" s="3"/>
      <c r="F122" s="3"/>
      <c r="G122" s="3"/>
      <c r="H122" s="6"/>
      <c r="I122" s="3"/>
      <c r="J122" s="3"/>
      <c r="K122" s="4"/>
      <c r="L122" s="3"/>
    </row>
    <row r="123" spans="1:12">
      <c r="A123" s="3"/>
      <c r="B123" s="3"/>
      <c r="C123" s="3"/>
      <c r="D123" s="4"/>
      <c r="E123" s="3"/>
      <c r="F123" s="3"/>
      <c r="G123" s="3"/>
      <c r="H123" s="6"/>
      <c r="I123" s="3"/>
      <c r="J123" s="3"/>
      <c r="K123" s="4"/>
      <c r="L123" s="3"/>
    </row>
    <row r="124" spans="1:12">
      <c r="A124" s="3"/>
      <c r="B124" s="3"/>
      <c r="C124" s="3"/>
      <c r="D124" s="4"/>
      <c r="E124" s="3"/>
      <c r="F124" s="3"/>
      <c r="G124" s="3"/>
      <c r="H124" s="6"/>
      <c r="I124" s="3"/>
      <c r="J124" s="3"/>
      <c r="K124" s="4"/>
      <c r="L124" s="3"/>
    </row>
    <row r="125" spans="1:12">
      <c r="A125" s="3"/>
      <c r="B125" s="3"/>
      <c r="C125" s="3"/>
      <c r="D125" s="4"/>
      <c r="E125" s="3"/>
      <c r="F125" s="3"/>
      <c r="G125" s="3"/>
      <c r="H125" s="6"/>
      <c r="I125" s="3"/>
      <c r="J125" s="3"/>
      <c r="K125" s="4"/>
      <c r="L125" s="3"/>
    </row>
    <row r="126" spans="1:12">
      <c r="A126" s="3"/>
      <c r="B126" s="3"/>
      <c r="C126" s="3"/>
      <c r="D126" s="4"/>
      <c r="E126" s="3"/>
      <c r="F126" s="3"/>
      <c r="G126" s="3"/>
      <c r="H126" s="6"/>
      <c r="I126" s="3"/>
      <c r="J126" s="3"/>
      <c r="K126" s="4"/>
      <c r="L126" s="3"/>
    </row>
    <row r="127" spans="1:12">
      <c r="A127" s="3"/>
      <c r="B127" s="3"/>
      <c r="C127" s="3"/>
      <c r="D127" s="4"/>
      <c r="E127" s="3"/>
      <c r="F127" s="3"/>
      <c r="G127" s="3"/>
      <c r="H127" s="6"/>
      <c r="I127" s="3"/>
      <c r="J127" s="3"/>
      <c r="K127" s="4"/>
      <c r="L127" s="3"/>
    </row>
    <row r="128" spans="1:12">
      <c r="A128" s="3"/>
      <c r="B128" s="3"/>
      <c r="C128" s="3"/>
      <c r="D128" s="4"/>
      <c r="E128" s="3"/>
      <c r="F128" s="3"/>
      <c r="G128" s="3"/>
      <c r="H128" s="6"/>
      <c r="I128" s="3"/>
      <c r="J128" s="3"/>
      <c r="K128" s="4"/>
      <c r="L128" s="3"/>
    </row>
    <row r="129" spans="1:12">
      <c r="A129" s="3"/>
      <c r="B129" s="3"/>
      <c r="C129" s="3"/>
      <c r="D129" s="4"/>
      <c r="E129" s="3"/>
      <c r="F129" s="3"/>
      <c r="G129" s="3"/>
      <c r="H129" s="6"/>
      <c r="I129" s="3"/>
      <c r="J129" s="3"/>
      <c r="K129" s="4"/>
      <c r="L129" s="3"/>
    </row>
    <row r="130" spans="1:12">
      <c r="A130" s="3"/>
      <c r="B130" s="3"/>
      <c r="C130" s="3"/>
      <c r="D130" s="4"/>
      <c r="E130" s="3"/>
      <c r="F130" s="3"/>
      <c r="G130" s="3"/>
      <c r="H130" s="6"/>
      <c r="I130" s="3"/>
      <c r="J130" s="3"/>
      <c r="K130" s="4"/>
      <c r="L130" s="3"/>
    </row>
    <row r="131" spans="1:12">
      <c r="A131" s="3"/>
      <c r="B131" s="3"/>
      <c r="C131" s="3"/>
      <c r="D131" s="4"/>
      <c r="E131" s="3"/>
      <c r="F131" s="3"/>
      <c r="G131" s="3"/>
      <c r="H131" s="6"/>
      <c r="I131" s="3"/>
      <c r="J131" s="3"/>
      <c r="K131" s="4"/>
      <c r="L131" s="3"/>
    </row>
    <row r="132" spans="1:12">
      <c r="A132" s="3"/>
      <c r="B132" s="3"/>
      <c r="C132" s="3"/>
      <c r="D132" s="4"/>
      <c r="E132" s="3"/>
      <c r="F132" s="3"/>
      <c r="G132" s="3"/>
      <c r="H132" s="6"/>
      <c r="I132" s="3"/>
      <c r="J132" s="3"/>
      <c r="K132" s="4"/>
      <c r="L132" s="3"/>
    </row>
    <row r="133" spans="1:12">
      <c r="A133" s="3"/>
      <c r="B133" s="3"/>
      <c r="C133" s="3"/>
      <c r="D133" s="4"/>
      <c r="E133" s="3"/>
      <c r="F133" s="3"/>
      <c r="G133" s="3"/>
      <c r="H133" s="6"/>
      <c r="I133" s="3"/>
      <c r="J133" s="3"/>
      <c r="K133" s="4"/>
      <c r="L133" s="3"/>
    </row>
    <row r="134" spans="1:12">
      <c r="A134" s="3"/>
      <c r="B134" s="3"/>
      <c r="C134" s="3"/>
      <c r="D134" s="4"/>
      <c r="E134" s="3"/>
      <c r="F134" s="3"/>
      <c r="G134" s="3"/>
      <c r="H134" s="6"/>
      <c r="I134" s="3"/>
      <c r="J134" s="3"/>
      <c r="K134" s="4"/>
      <c r="L134" s="3"/>
    </row>
    <row r="135" spans="1:12">
      <c r="A135" s="3"/>
      <c r="B135" s="3"/>
      <c r="C135" s="3"/>
      <c r="D135" s="4"/>
      <c r="E135" s="3"/>
      <c r="F135" s="3"/>
      <c r="G135" s="3"/>
      <c r="H135" s="6"/>
      <c r="I135" s="3"/>
      <c r="J135" s="3"/>
      <c r="K135" s="4"/>
      <c r="L135" s="3"/>
    </row>
    <row r="136" spans="1:12">
      <c r="A136" s="3"/>
      <c r="B136" s="3"/>
      <c r="C136" s="3"/>
      <c r="D136" s="4"/>
      <c r="E136" s="3"/>
      <c r="F136" s="3"/>
      <c r="G136" s="3"/>
      <c r="H136" s="6"/>
      <c r="I136" s="3"/>
      <c r="J136" s="3"/>
      <c r="K136" s="4"/>
      <c r="L136" s="3"/>
    </row>
    <row r="137" spans="1:12">
      <c r="A137" s="3"/>
      <c r="B137" s="3"/>
      <c r="C137" s="3"/>
      <c r="D137" s="4"/>
      <c r="E137" s="3"/>
      <c r="F137" s="3"/>
      <c r="G137" s="3"/>
      <c r="H137" s="6"/>
      <c r="I137" s="3"/>
      <c r="J137" s="3"/>
      <c r="K137" s="4"/>
      <c r="L137" s="3"/>
    </row>
    <row r="138" spans="1:12">
      <c r="A138" s="3"/>
      <c r="B138" s="3"/>
      <c r="C138" s="3"/>
      <c r="D138" s="4"/>
      <c r="E138" s="3"/>
      <c r="F138" s="3"/>
      <c r="G138" s="3"/>
      <c r="H138" s="6"/>
      <c r="I138" s="3"/>
      <c r="J138" s="3"/>
      <c r="K138" s="4"/>
      <c r="L138" s="3"/>
    </row>
    <row r="139" spans="1:12">
      <c r="A139" s="3"/>
      <c r="B139" s="3"/>
      <c r="C139" s="3"/>
      <c r="D139" s="4"/>
      <c r="E139" s="3"/>
      <c r="F139" s="3"/>
      <c r="G139" s="3"/>
      <c r="H139" s="6"/>
      <c r="I139" s="3"/>
      <c r="J139" s="3"/>
      <c r="K139" s="4"/>
      <c r="L139" s="3"/>
    </row>
    <row r="140" spans="1:12">
      <c r="A140" s="3"/>
      <c r="B140" s="3"/>
      <c r="C140" s="3"/>
      <c r="D140" s="4"/>
      <c r="E140" s="3"/>
      <c r="F140" s="3"/>
      <c r="G140" s="3"/>
      <c r="H140" s="6"/>
      <c r="I140" s="3"/>
      <c r="J140" s="3"/>
      <c r="K140" s="4"/>
      <c r="L140" s="3"/>
    </row>
    <row r="141" spans="1:12">
      <c r="A141" s="3"/>
      <c r="B141" s="3"/>
      <c r="C141" s="3"/>
      <c r="D141" s="4"/>
      <c r="E141" s="3"/>
      <c r="F141" s="3"/>
      <c r="G141" s="3"/>
      <c r="H141" s="6"/>
      <c r="I141" s="3"/>
      <c r="J141" s="3"/>
      <c r="K141" s="4"/>
      <c r="L141" s="3"/>
    </row>
    <row r="142" spans="1:12">
      <c r="A142" s="3"/>
      <c r="B142" s="3"/>
      <c r="C142" s="3"/>
      <c r="D142" s="4"/>
      <c r="E142" s="3"/>
      <c r="F142" s="3"/>
      <c r="G142" s="3"/>
      <c r="H142" s="6"/>
      <c r="I142" s="3"/>
      <c r="J142" s="3"/>
      <c r="K142" s="4"/>
      <c r="L142" s="3"/>
    </row>
    <row r="143" spans="1:12">
      <c r="A143" s="3"/>
      <c r="B143" s="3"/>
      <c r="C143" s="3"/>
      <c r="D143" s="4"/>
      <c r="E143" s="3"/>
      <c r="F143" s="3"/>
      <c r="G143" s="3"/>
      <c r="H143" s="6"/>
      <c r="I143" s="3"/>
      <c r="J143" s="3"/>
      <c r="K143" s="4"/>
      <c r="L143" s="3"/>
    </row>
    <row r="144" spans="1:12">
      <c r="A144" s="3"/>
      <c r="B144" s="3"/>
      <c r="C144" s="3"/>
      <c r="D144" s="4"/>
      <c r="E144" s="3"/>
      <c r="F144" s="3"/>
      <c r="G144" s="3"/>
      <c r="H144" s="6"/>
      <c r="I144" s="3"/>
      <c r="J144" s="3"/>
      <c r="K144" s="4"/>
      <c r="L144" s="3"/>
    </row>
    <row r="145" spans="1:12">
      <c r="A145" s="3"/>
      <c r="B145" s="3"/>
      <c r="C145" s="3"/>
      <c r="D145" s="4"/>
      <c r="E145" s="3"/>
      <c r="F145" s="3"/>
      <c r="G145" s="3"/>
      <c r="H145" s="6"/>
      <c r="I145" s="3"/>
      <c r="J145" s="3"/>
      <c r="K145" s="4"/>
      <c r="L145" s="3"/>
    </row>
    <row r="146" spans="1:12">
      <c r="A146" s="3"/>
      <c r="B146" s="3"/>
      <c r="C146" s="3"/>
      <c r="D146" s="4"/>
      <c r="E146" s="3"/>
      <c r="F146" s="3"/>
      <c r="G146" s="3"/>
      <c r="H146" s="6"/>
      <c r="I146" s="3"/>
      <c r="J146" s="3"/>
      <c r="K146" s="4"/>
      <c r="L146" s="3"/>
    </row>
    <row r="147" spans="1:12">
      <c r="A147" s="3"/>
      <c r="B147" s="3"/>
      <c r="C147" s="3"/>
      <c r="D147" s="4"/>
      <c r="E147" s="3"/>
      <c r="F147" s="3"/>
      <c r="G147" s="3"/>
      <c r="H147" s="6"/>
      <c r="I147" s="3"/>
      <c r="J147" s="3"/>
      <c r="K147" s="4"/>
      <c r="L147" s="3"/>
    </row>
    <row r="148" spans="1:12">
      <c r="A148" s="3"/>
      <c r="B148" s="3"/>
      <c r="C148" s="3"/>
      <c r="D148" s="4"/>
      <c r="E148" s="3"/>
      <c r="F148" s="3"/>
      <c r="G148" s="3"/>
      <c r="H148" s="6"/>
      <c r="I148" s="3"/>
      <c r="J148" s="3"/>
      <c r="K148" s="4"/>
      <c r="L148" s="3"/>
    </row>
    <row r="149" spans="1:12">
      <c r="A149" s="3"/>
      <c r="B149" s="3"/>
      <c r="C149" s="3"/>
      <c r="D149" s="4"/>
      <c r="E149" s="3"/>
      <c r="F149" s="3"/>
      <c r="G149" s="3"/>
      <c r="H149" s="6"/>
      <c r="I149" s="3"/>
      <c r="J149" s="3"/>
      <c r="K149" s="4"/>
      <c r="L149" s="3"/>
    </row>
    <row r="150" spans="1:12">
      <c r="A150" s="3"/>
      <c r="B150" s="3"/>
      <c r="C150" s="3"/>
      <c r="D150" s="4"/>
      <c r="E150" s="3"/>
      <c r="F150" s="3"/>
      <c r="G150" s="3"/>
      <c r="H150" s="6"/>
      <c r="I150" s="3"/>
      <c r="J150" s="3"/>
      <c r="K150" s="4"/>
      <c r="L150" s="3"/>
    </row>
    <row r="151" spans="1:12">
      <c r="A151" s="3"/>
      <c r="B151" s="3"/>
      <c r="C151" s="3"/>
      <c r="D151" s="4"/>
      <c r="E151" s="3"/>
      <c r="F151" s="3"/>
      <c r="G151" s="3"/>
      <c r="H151" s="6"/>
      <c r="I151" s="3"/>
      <c r="J151" s="3"/>
      <c r="K151" s="4"/>
      <c r="L151" s="3"/>
    </row>
    <row r="152" spans="1:12">
      <c r="A152" s="3"/>
      <c r="B152" s="3"/>
      <c r="C152" s="3"/>
      <c r="D152" s="4"/>
      <c r="E152" s="3"/>
      <c r="F152" s="3"/>
      <c r="G152" s="3"/>
      <c r="H152" s="6"/>
      <c r="I152" s="3"/>
      <c r="J152" s="3"/>
      <c r="K152" s="4"/>
      <c r="L152" s="3"/>
    </row>
    <row r="153" spans="1:12">
      <c r="A153" s="3"/>
      <c r="B153" s="3"/>
      <c r="C153" s="3"/>
      <c r="D153" s="4"/>
      <c r="E153" s="3"/>
      <c r="F153" s="3"/>
      <c r="G153" s="3"/>
      <c r="H153" s="6"/>
      <c r="I153" s="3"/>
      <c r="J153" s="3"/>
      <c r="K153" s="4"/>
      <c r="L153" s="3"/>
    </row>
    <row r="154" spans="1:12">
      <c r="A154" s="3"/>
      <c r="B154" s="3"/>
      <c r="C154" s="3"/>
      <c r="D154" s="4"/>
      <c r="E154" s="3"/>
      <c r="F154" s="3"/>
      <c r="G154" s="3"/>
      <c r="H154" s="6"/>
      <c r="I154" s="3"/>
      <c r="J154" s="3"/>
      <c r="K154" s="4"/>
      <c r="L154" s="3"/>
    </row>
    <row r="155" spans="1:12">
      <c r="A155" s="3"/>
      <c r="B155" s="3"/>
      <c r="C155" s="3"/>
      <c r="D155" s="4"/>
      <c r="E155" s="3"/>
      <c r="F155" s="3"/>
      <c r="G155" s="3"/>
      <c r="H155" s="6"/>
      <c r="I155" s="3"/>
      <c r="J155" s="3"/>
      <c r="K155" s="4"/>
      <c r="L155" s="3"/>
    </row>
    <row r="156" spans="1:12">
      <c r="A156" s="3"/>
      <c r="B156" s="3"/>
      <c r="C156" s="3"/>
      <c r="D156" s="4"/>
      <c r="E156" s="3"/>
      <c r="F156" s="3"/>
      <c r="G156" s="3"/>
      <c r="H156" s="6"/>
      <c r="I156" s="3"/>
      <c r="J156" s="3"/>
      <c r="K156" s="4"/>
      <c r="L156" s="3"/>
    </row>
    <row r="157" spans="1:12">
      <c r="A157" s="3"/>
      <c r="B157" s="3"/>
      <c r="C157" s="3"/>
      <c r="D157" s="4"/>
      <c r="E157" s="3"/>
      <c r="F157" s="3"/>
      <c r="G157" s="3"/>
      <c r="H157" s="6"/>
      <c r="I157" s="3"/>
      <c r="J157" s="3"/>
      <c r="K157" s="4"/>
      <c r="L157" s="3"/>
    </row>
    <row r="158" spans="1:12">
      <c r="A158" s="3"/>
      <c r="B158" s="3"/>
      <c r="C158" s="3"/>
      <c r="D158" s="4"/>
      <c r="E158" s="3"/>
      <c r="F158" s="3"/>
      <c r="G158" s="3"/>
      <c r="H158" s="6"/>
      <c r="I158" s="3"/>
      <c r="J158" s="3"/>
      <c r="K158" s="4"/>
      <c r="L158" s="3"/>
    </row>
    <row r="159" spans="1:12">
      <c r="A159" s="3"/>
      <c r="B159" s="3"/>
      <c r="C159" s="3"/>
      <c r="D159" s="4"/>
      <c r="E159" s="3"/>
      <c r="F159" s="3"/>
      <c r="G159" s="3"/>
      <c r="H159" s="6"/>
      <c r="I159" s="3"/>
      <c r="J159" s="3"/>
      <c r="K159" s="4"/>
      <c r="L159" s="3"/>
    </row>
    <row r="160" spans="1:12">
      <c r="A160" s="3"/>
      <c r="B160" s="3"/>
      <c r="C160" s="3"/>
      <c r="D160" s="4"/>
      <c r="E160" s="3"/>
      <c r="F160" s="3"/>
      <c r="G160" s="3"/>
      <c r="H160" s="6"/>
      <c r="I160" s="3"/>
      <c r="J160" s="3"/>
      <c r="K160" s="4"/>
      <c r="L160" s="3"/>
    </row>
    <row r="161" spans="1:12">
      <c r="A161" s="3"/>
      <c r="B161" s="3"/>
      <c r="C161" s="3"/>
      <c r="D161" s="4"/>
      <c r="E161" s="3"/>
      <c r="F161" s="3"/>
      <c r="G161" s="3"/>
      <c r="H161" s="6"/>
      <c r="I161" s="3"/>
      <c r="J161" s="3"/>
      <c r="K161" s="4"/>
      <c r="L161" s="3"/>
    </row>
    <row r="162" spans="1:12">
      <c r="A162" s="3"/>
      <c r="B162" s="3"/>
      <c r="C162" s="3"/>
      <c r="D162" s="4"/>
      <c r="E162" s="3"/>
      <c r="F162" s="3"/>
      <c r="G162" s="3"/>
      <c r="H162" s="6"/>
      <c r="I162" s="3"/>
      <c r="J162" s="3"/>
      <c r="K162" s="4"/>
      <c r="L162" s="3"/>
    </row>
    <row r="163" spans="1:12">
      <c r="A163" s="3"/>
      <c r="B163" s="3"/>
      <c r="C163" s="3"/>
      <c r="D163" s="4"/>
      <c r="E163" s="3"/>
      <c r="F163" s="3"/>
      <c r="G163" s="3"/>
      <c r="H163" s="6"/>
      <c r="I163" s="3"/>
      <c r="J163" s="3"/>
      <c r="K163" s="4"/>
      <c r="L163" s="3"/>
    </row>
    <row r="164" spans="1:12">
      <c r="A164" s="3"/>
      <c r="B164" s="3"/>
      <c r="C164" s="3"/>
      <c r="D164" s="4"/>
      <c r="E164" s="3"/>
      <c r="F164" s="3"/>
      <c r="G164" s="3"/>
      <c r="H164" s="6"/>
      <c r="I164" s="3"/>
      <c r="J164" s="3"/>
      <c r="K164" s="4"/>
      <c r="L164" s="3"/>
    </row>
    <row r="165" spans="1:12">
      <c r="A165" s="3"/>
      <c r="B165" s="3"/>
      <c r="C165" s="3"/>
      <c r="D165" s="4"/>
      <c r="E165" s="3"/>
      <c r="F165" s="3"/>
      <c r="G165" s="3"/>
      <c r="H165" s="6"/>
      <c r="I165" s="3"/>
      <c r="J165" s="3"/>
      <c r="K165" s="4"/>
      <c r="L165" s="3"/>
    </row>
    <row r="166" spans="1:12">
      <c r="A166" s="3"/>
      <c r="B166" s="3"/>
      <c r="C166" s="3"/>
      <c r="D166" s="4"/>
      <c r="E166" s="3"/>
      <c r="F166" s="3"/>
      <c r="G166" s="3"/>
      <c r="H166" s="6"/>
      <c r="I166" s="3"/>
      <c r="J166" s="3"/>
      <c r="K166" s="4"/>
      <c r="L166" s="3"/>
    </row>
    <row r="167" spans="1:12">
      <c r="A167" s="3"/>
      <c r="B167" s="3"/>
      <c r="C167" s="3"/>
      <c r="D167" s="4"/>
      <c r="E167" s="3"/>
      <c r="F167" s="3"/>
      <c r="G167" s="3"/>
      <c r="H167" s="6"/>
      <c r="I167" s="3"/>
      <c r="J167" s="3"/>
      <c r="K167" s="4"/>
      <c r="L167" s="3"/>
    </row>
    <row r="168" spans="1:12">
      <c r="A168" s="3"/>
      <c r="B168" s="3"/>
      <c r="C168" s="3"/>
      <c r="D168" s="4"/>
      <c r="E168" s="3"/>
      <c r="F168" s="3"/>
      <c r="G168" s="3"/>
      <c r="H168" s="6"/>
      <c r="I168" s="3"/>
      <c r="J168" s="3"/>
      <c r="K168" s="4"/>
      <c r="L168" s="3"/>
    </row>
    <row r="169" spans="1:12">
      <c r="A169" s="3"/>
      <c r="B169" s="3"/>
      <c r="C169" s="3"/>
      <c r="D169" s="4"/>
      <c r="E169" s="3"/>
      <c r="F169" s="3"/>
      <c r="G169" s="3"/>
      <c r="H169" s="6"/>
      <c r="I169" s="3"/>
      <c r="J169" s="3"/>
      <c r="K169" s="4"/>
      <c r="L169" s="3"/>
    </row>
    <row r="170" spans="1:12">
      <c r="A170" s="3"/>
      <c r="B170" s="3"/>
      <c r="C170" s="3"/>
      <c r="D170" s="4"/>
      <c r="E170" s="3"/>
      <c r="F170" s="3"/>
      <c r="G170" s="3"/>
      <c r="H170" s="6"/>
      <c r="I170" s="3"/>
      <c r="J170" s="3"/>
      <c r="K170" s="4"/>
      <c r="L170" s="3"/>
    </row>
    <row r="171" spans="1:12">
      <c r="A171" s="3"/>
      <c r="B171" s="3"/>
      <c r="C171" s="3"/>
      <c r="D171" s="4"/>
      <c r="E171" s="3"/>
      <c r="F171" s="3"/>
      <c r="G171" s="3"/>
      <c r="H171" s="6"/>
      <c r="I171" s="3"/>
      <c r="J171" s="3"/>
      <c r="K171" s="4"/>
      <c r="L171" s="3"/>
    </row>
    <row r="172" spans="1:12">
      <c r="A172" s="3"/>
      <c r="B172" s="3"/>
      <c r="C172" s="3"/>
      <c r="D172" s="4"/>
      <c r="E172" s="3"/>
      <c r="F172" s="3"/>
      <c r="G172" s="3"/>
      <c r="H172" s="6"/>
      <c r="I172" s="3"/>
      <c r="J172" s="3"/>
      <c r="K172" s="4"/>
      <c r="L172" s="3"/>
    </row>
    <row r="173" spans="1:12">
      <c r="A173" s="3"/>
      <c r="B173" s="3"/>
      <c r="C173" s="3"/>
      <c r="D173" s="4"/>
      <c r="E173" s="3"/>
      <c r="F173" s="3"/>
      <c r="G173" s="3"/>
      <c r="H173" s="6"/>
      <c r="I173" s="3"/>
      <c r="J173" s="3"/>
      <c r="K173" s="4"/>
      <c r="L173" s="3"/>
    </row>
    <row r="174" spans="1:12">
      <c r="A174" s="3"/>
      <c r="B174" s="3"/>
      <c r="C174" s="3"/>
      <c r="D174" s="4"/>
      <c r="E174" s="3"/>
      <c r="F174" s="3"/>
      <c r="G174" s="3"/>
      <c r="H174" s="6"/>
      <c r="I174" s="3"/>
      <c r="J174" s="3"/>
      <c r="K174" s="4"/>
      <c r="L174" s="3"/>
    </row>
    <row r="175" spans="1:12">
      <c r="A175" s="3"/>
      <c r="B175" s="3"/>
      <c r="C175" s="3"/>
      <c r="D175" s="4"/>
      <c r="E175" s="3"/>
      <c r="F175" s="3"/>
      <c r="G175" s="3"/>
      <c r="H175" s="6"/>
      <c r="I175" s="3"/>
      <c r="J175" s="3"/>
      <c r="K175" s="4"/>
      <c r="L175" s="3"/>
    </row>
    <row r="176" spans="1:12">
      <c r="A176" s="3"/>
      <c r="B176" s="3"/>
      <c r="C176" s="3"/>
      <c r="D176" s="4"/>
      <c r="E176" s="3"/>
      <c r="F176" s="3"/>
      <c r="G176" s="3"/>
      <c r="H176" s="6"/>
      <c r="I176" s="3"/>
      <c r="J176" s="3"/>
      <c r="K176" s="4"/>
      <c r="L176" s="3"/>
    </row>
    <row r="177" spans="1:12">
      <c r="A177" s="3"/>
      <c r="B177" s="3"/>
      <c r="C177" s="3"/>
      <c r="D177" s="4"/>
      <c r="E177" s="3"/>
      <c r="F177" s="3"/>
      <c r="G177" s="3"/>
      <c r="H177" s="6"/>
      <c r="I177" s="3"/>
      <c r="J177" s="3"/>
      <c r="K177" s="4"/>
      <c r="L177" s="3"/>
    </row>
    <row r="178" spans="1:12">
      <c r="A178" s="3"/>
      <c r="B178" s="3"/>
      <c r="C178" s="3"/>
      <c r="D178" s="4"/>
      <c r="E178" s="3"/>
      <c r="F178" s="3"/>
      <c r="G178" s="3"/>
      <c r="H178" s="6"/>
      <c r="I178" s="3"/>
      <c r="J178" s="3"/>
      <c r="K178" s="4"/>
      <c r="L178" s="3"/>
    </row>
    <row r="179" spans="1:12">
      <c r="A179" s="3"/>
      <c r="B179" s="3"/>
      <c r="C179" s="3"/>
      <c r="D179" s="4"/>
      <c r="E179" s="3"/>
      <c r="F179" s="3"/>
      <c r="G179" s="3"/>
      <c r="H179" s="6"/>
      <c r="I179" s="3"/>
      <c r="J179" s="3"/>
      <c r="K179" s="4"/>
      <c r="L179" s="3"/>
    </row>
    <row r="180" spans="1:12">
      <c r="A180" s="3"/>
      <c r="B180" s="3"/>
      <c r="C180" s="3"/>
      <c r="D180" s="4"/>
      <c r="E180" s="3"/>
      <c r="F180" s="3"/>
      <c r="G180" s="3"/>
      <c r="H180" s="6"/>
      <c r="I180" s="3"/>
      <c r="J180" s="3"/>
      <c r="K180" s="4"/>
      <c r="L180" s="3"/>
    </row>
    <row r="181" spans="1:12">
      <c r="A181" s="3"/>
      <c r="B181" s="3"/>
      <c r="C181" s="3"/>
      <c r="D181" s="4"/>
      <c r="E181" s="3"/>
      <c r="F181" s="3"/>
      <c r="G181" s="3"/>
      <c r="H181" s="6"/>
      <c r="I181" s="3"/>
      <c r="J181" s="3"/>
      <c r="K181" s="4"/>
      <c r="L181" s="3"/>
    </row>
    <row r="182" spans="1:12">
      <c r="A182" s="3"/>
      <c r="B182" s="3"/>
      <c r="C182" s="3"/>
      <c r="D182" s="4"/>
      <c r="E182" s="3"/>
      <c r="F182" s="3"/>
      <c r="G182" s="3"/>
      <c r="H182" s="6"/>
      <c r="I182" s="3"/>
      <c r="J182" s="3"/>
      <c r="K182" s="4"/>
      <c r="L182" s="3"/>
    </row>
    <row r="183" spans="1:12">
      <c r="A183" s="3"/>
      <c r="B183" s="3"/>
      <c r="C183" s="3"/>
      <c r="D183" s="4"/>
      <c r="E183" s="3"/>
      <c r="F183" s="3"/>
      <c r="G183" s="3"/>
      <c r="H183" s="6"/>
      <c r="I183" s="3"/>
      <c r="J183" s="3"/>
      <c r="K183" s="4"/>
      <c r="L183" s="3"/>
    </row>
    <row r="184" spans="1:12">
      <c r="A184" s="3"/>
      <c r="B184" s="3"/>
      <c r="C184" s="3"/>
      <c r="D184" s="4"/>
      <c r="E184" s="3"/>
      <c r="F184" s="3"/>
      <c r="G184" s="3"/>
      <c r="H184" s="6"/>
      <c r="I184" s="3"/>
      <c r="J184" s="3"/>
      <c r="K184" s="4"/>
      <c r="L184" s="3"/>
    </row>
    <row r="185" spans="1:12">
      <c r="A185" s="3"/>
      <c r="B185" s="3"/>
      <c r="C185" s="3"/>
      <c r="D185" s="4"/>
      <c r="E185" s="3"/>
      <c r="F185" s="3"/>
      <c r="G185" s="3"/>
      <c r="H185" s="6"/>
      <c r="I185" s="3"/>
      <c r="J185" s="3"/>
      <c r="K185" s="4"/>
      <c r="L185" s="3"/>
    </row>
    <row r="186" spans="1:12">
      <c r="A186" s="3"/>
      <c r="B186" s="3"/>
      <c r="C186" s="3"/>
      <c r="D186" s="4"/>
      <c r="E186" s="3"/>
      <c r="F186" s="3"/>
      <c r="G186" s="3"/>
      <c r="H186" s="6"/>
      <c r="I186" s="3"/>
      <c r="J186" s="3"/>
      <c r="K186" s="4"/>
      <c r="L186" s="3"/>
    </row>
    <row r="187" spans="1:12">
      <c r="A187" s="3"/>
      <c r="B187" s="3"/>
      <c r="C187" s="3"/>
      <c r="D187" s="4"/>
      <c r="E187" s="3"/>
      <c r="F187" s="3"/>
      <c r="G187" s="3"/>
      <c r="H187" s="6"/>
      <c r="I187" s="3"/>
      <c r="J187" s="3"/>
      <c r="K187" s="4"/>
      <c r="L187" s="3"/>
    </row>
    <row r="188" spans="1:12">
      <c r="A188" s="3"/>
      <c r="B188" s="3"/>
      <c r="C188" s="3"/>
      <c r="D188" s="4"/>
      <c r="E188" s="3"/>
      <c r="F188" s="3"/>
      <c r="G188" s="3"/>
      <c r="H188" s="6"/>
      <c r="I188" s="3"/>
      <c r="J188" s="3"/>
      <c r="K188" s="4"/>
      <c r="L188" s="3"/>
    </row>
    <row r="189" spans="1:12">
      <c r="A189" s="3"/>
      <c r="B189" s="3"/>
      <c r="C189" s="3"/>
      <c r="D189" s="4"/>
      <c r="E189" s="3"/>
      <c r="F189" s="3"/>
      <c r="G189" s="3"/>
      <c r="H189" s="6"/>
      <c r="I189" s="3"/>
      <c r="J189" s="3"/>
      <c r="K189" s="4"/>
      <c r="L189" s="3"/>
    </row>
    <row r="190" spans="1:12">
      <c r="A190" s="3"/>
      <c r="B190" s="3"/>
      <c r="C190" s="3"/>
      <c r="D190" s="4"/>
      <c r="E190" s="3"/>
      <c r="F190" s="3"/>
      <c r="G190" s="3"/>
      <c r="H190" s="6"/>
      <c r="I190" s="3"/>
      <c r="J190" s="3"/>
      <c r="K190" s="4"/>
      <c r="L190" s="3"/>
    </row>
    <row r="191" spans="1:12">
      <c r="A191" s="3"/>
      <c r="B191" s="3"/>
      <c r="C191" s="3"/>
      <c r="D191" s="4"/>
      <c r="E191" s="3"/>
      <c r="F191" s="3"/>
      <c r="G191" s="3"/>
      <c r="H191" s="6"/>
      <c r="I191" s="3"/>
      <c r="J191" s="3"/>
      <c r="K191" s="4"/>
      <c r="L191" s="3"/>
    </row>
    <row r="192" spans="1:12">
      <c r="A192" s="3"/>
      <c r="B192" s="3"/>
      <c r="C192" s="3"/>
      <c r="D192" s="4"/>
      <c r="E192" s="3"/>
      <c r="F192" s="3"/>
      <c r="G192" s="3"/>
      <c r="H192" s="6"/>
      <c r="I192" s="3"/>
      <c r="J192" s="3"/>
      <c r="K192" s="4"/>
      <c r="L192" s="3"/>
    </row>
    <row r="193" spans="1:12">
      <c r="A193" s="3"/>
      <c r="B193" s="3"/>
      <c r="C193" s="3"/>
      <c r="D193" s="4"/>
      <c r="E193" s="3"/>
      <c r="F193" s="3"/>
      <c r="G193" s="3"/>
      <c r="H193" s="6"/>
      <c r="I193" s="3"/>
      <c r="J193" s="3"/>
      <c r="K193" s="4"/>
      <c r="L193" s="3"/>
    </row>
    <row r="194" spans="1:12">
      <c r="A194" s="3"/>
      <c r="B194" s="3"/>
      <c r="C194" s="3"/>
      <c r="D194" s="4"/>
      <c r="E194" s="3"/>
      <c r="F194" s="3"/>
      <c r="G194" s="3"/>
      <c r="H194" s="6"/>
      <c r="I194" s="3"/>
      <c r="J194" s="3"/>
      <c r="K194" s="4"/>
      <c r="L194" s="3"/>
    </row>
    <row r="195" spans="1:12">
      <c r="A195" s="3"/>
      <c r="B195" s="3"/>
      <c r="C195" s="3"/>
      <c r="D195" s="4"/>
      <c r="E195" s="3"/>
      <c r="F195" s="3"/>
      <c r="G195" s="3"/>
      <c r="H195" s="6"/>
      <c r="I195" s="3"/>
      <c r="J195" s="3"/>
      <c r="K195" s="4"/>
      <c r="L195" s="3"/>
    </row>
    <row r="196" spans="1:12">
      <c r="A196" s="3"/>
      <c r="B196" s="3"/>
      <c r="C196" s="3"/>
      <c r="D196" s="4"/>
      <c r="E196" s="3"/>
      <c r="F196" s="3"/>
      <c r="G196" s="3"/>
      <c r="H196" s="6"/>
      <c r="I196" s="3"/>
      <c r="J196" s="3"/>
      <c r="K196" s="4"/>
      <c r="L196" s="3"/>
    </row>
    <row r="197" spans="1:12">
      <c r="A197" s="3"/>
      <c r="B197" s="3"/>
      <c r="C197" s="3"/>
      <c r="D197" s="4"/>
      <c r="E197" s="3"/>
      <c r="F197" s="3"/>
      <c r="G197" s="3"/>
      <c r="H197" s="6"/>
      <c r="I197" s="3"/>
      <c r="J197" s="3"/>
      <c r="K197" s="4"/>
      <c r="L197" s="3"/>
    </row>
    <row r="198" spans="1:12">
      <c r="A198" s="3"/>
      <c r="B198" s="3"/>
      <c r="C198" s="3"/>
      <c r="D198" s="4"/>
      <c r="E198" s="3"/>
      <c r="F198" s="3"/>
      <c r="G198" s="3"/>
      <c r="H198" s="6"/>
      <c r="I198" s="3"/>
      <c r="J198" s="3"/>
      <c r="K198" s="4"/>
      <c r="L198" s="3"/>
    </row>
    <row r="199" spans="1:12">
      <c r="A199" s="3"/>
      <c r="B199" s="3"/>
      <c r="C199" s="3"/>
      <c r="D199" s="4"/>
      <c r="E199" s="3"/>
      <c r="F199" s="3"/>
      <c r="G199" s="3"/>
      <c r="H199" s="6"/>
      <c r="I199" s="3"/>
      <c r="J199" s="3"/>
      <c r="K199" s="4"/>
      <c r="L199" s="3"/>
    </row>
    <row r="200" spans="1:12">
      <c r="A200" s="3"/>
      <c r="B200" s="3"/>
      <c r="C200" s="3"/>
      <c r="D200" s="4"/>
      <c r="E200" s="3"/>
      <c r="F200" s="3"/>
      <c r="G200" s="3"/>
      <c r="H200" s="6"/>
      <c r="I200" s="3"/>
      <c r="J200" s="3"/>
      <c r="K200" s="4"/>
      <c r="L200" s="3"/>
    </row>
    <row r="201" spans="1:12">
      <c r="D201" s="5"/>
      <c r="H201" s="7"/>
      <c r="K201" s="5"/>
    </row>
    <row r="202" spans="1:12">
      <c r="D202" s="5"/>
      <c r="H202" s="7"/>
      <c r="K202" s="5"/>
    </row>
    <row r="203" spans="1:12">
      <c r="D203" s="5"/>
      <c r="H203" s="7"/>
      <c r="K203" s="5"/>
    </row>
    <row r="204" spans="1:12">
      <c r="D204" s="5"/>
      <c r="H204" s="7"/>
      <c r="K204" s="5"/>
    </row>
    <row r="205" spans="1:12">
      <c r="D205" s="5"/>
      <c r="H205" s="7"/>
      <c r="K205" s="5"/>
    </row>
    <row r="206" spans="1:12">
      <c r="D206" s="5"/>
      <c r="H206" s="7"/>
      <c r="K206" s="5"/>
    </row>
    <row r="207" spans="1:12">
      <c r="D207" s="5"/>
      <c r="H207" s="7"/>
      <c r="K207" s="5"/>
    </row>
    <row r="208" spans="1:12">
      <c r="D208" s="5"/>
      <c r="H208" s="7"/>
      <c r="K208" s="5"/>
    </row>
    <row r="209" spans="4:11">
      <c r="D209" s="5"/>
      <c r="H209" s="7"/>
      <c r="K209" s="5"/>
    </row>
    <row r="210" spans="4:11">
      <c r="D210" s="5"/>
      <c r="H210" s="7"/>
      <c r="K210" s="5"/>
    </row>
    <row r="211" spans="4:11">
      <c r="D211" s="5"/>
      <c r="H211" s="7"/>
      <c r="K211" s="5"/>
    </row>
    <row r="212" spans="4:11">
      <c r="D212" s="5"/>
      <c r="H212" s="7"/>
      <c r="K212" s="5"/>
    </row>
    <row r="213" spans="4:11">
      <c r="D213" s="5"/>
      <c r="H213" s="7"/>
      <c r="K213" s="5"/>
    </row>
    <row r="214" spans="4:11">
      <c r="D214" s="5"/>
      <c r="H214" s="7"/>
      <c r="K214" s="5"/>
    </row>
    <row r="215" spans="4:11">
      <c r="D215" s="5"/>
      <c r="H215" s="7"/>
      <c r="K215" s="5"/>
    </row>
    <row r="216" spans="4:11">
      <c r="D216" s="5"/>
      <c r="H216" s="7"/>
      <c r="K216" s="5"/>
    </row>
    <row r="217" spans="4:11">
      <c r="D217" s="5"/>
      <c r="H217" s="7"/>
      <c r="K217" s="5"/>
    </row>
    <row r="218" spans="4:11">
      <c r="D218" s="5"/>
      <c r="H218" s="7"/>
      <c r="K218" s="5"/>
    </row>
    <row r="219" spans="4:11">
      <c r="D219" s="5"/>
      <c r="H219" s="7"/>
      <c r="K219" s="5"/>
    </row>
    <row r="220" spans="4:11">
      <c r="D220" s="5"/>
      <c r="H220" s="7"/>
      <c r="K220" s="5"/>
    </row>
    <row r="221" spans="4:11">
      <c r="D221" s="5"/>
      <c r="H221" s="7"/>
      <c r="K221" s="5"/>
    </row>
    <row r="222" spans="4:11">
      <c r="D222" s="5"/>
      <c r="H222" s="7"/>
      <c r="K222" s="5"/>
    </row>
    <row r="223" spans="4:11">
      <c r="D223" s="5"/>
      <c r="H223" s="7"/>
      <c r="K223" s="5"/>
    </row>
    <row r="224" spans="4:11">
      <c r="D224" s="5"/>
      <c r="H224" s="7"/>
      <c r="K224" s="5"/>
    </row>
    <row r="225" spans="4:11">
      <c r="D225" s="5"/>
      <c r="H225" s="7"/>
      <c r="K225" s="5"/>
    </row>
    <row r="226" spans="4:11">
      <c r="D226" s="5"/>
      <c r="H226" s="7"/>
      <c r="K226" s="5"/>
    </row>
    <row r="227" spans="4:11">
      <c r="D227" s="5"/>
      <c r="H227" s="7"/>
      <c r="K227" s="5"/>
    </row>
    <row r="228" spans="4:11">
      <c r="D228" s="5"/>
      <c r="H228" s="7"/>
      <c r="K228" s="5"/>
    </row>
    <row r="229" spans="4:11">
      <c r="D229" s="5"/>
      <c r="H229" s="7"/>
      <c r="K229" s="5"/>
    </row>
    <row r="230" spans="4:11">
      <c r="D230" s="5"/>
      <c r="H230" s="7"/>
      <c r="K230" s="5"/>
    </row>
    <row r="231" spans="4:11">
      <c r="D231" s="5"/>
      <c r="H231" s="7"/>
      <c r="K231" s="5"/>
    </row>
    <row r="232" spans="4:11">
      <c r="D232" s="5"/>
      <c r="H232" s="7"/>
      <c r="K232" s="5"/>
    </row>
    <row r="233" spans="4:11">
      <c r="D233" s="5"/>
      <c r="H233" s="7"/>
      <c r="K233" s="5"/>
    </row>
    <row r="234" spans="4:11">
      <c r="D234" s="5"/>
      <c r="H234" s="7"/>
      <c r="K234" s="5"/>
    </row>
    <row r="235" spans="4:11">
      <c r="D235" s="5"/>
      <c r="H235" s="7"/>
      <c r="K235" s="5"/>
    </row>
    <row r="236" spans="4:11">
      <c r="D236" s="5"/>
      <c r="H236" s="7"/>
      <c r="K236" s="5"/>
    </row>
    <row r="237" spans="4:11">
      <c r="D237" s="5"/>
      <c r="H237" s="7"/>
      <c r="K237" s="5"/>
    </row>
    <row r="238" spans="4:11">
      <c r="D238" s="5"/>
      <c r="H238" s="7"/>
      <c r="K238" s="5"/>
    </row>
    <row r="239" spans="4:11">
      <c r="D239" s="5"/>
      <c r="H239" s="7"/>
      <c r="K239" s="5"/>
    </row>
    <row r="240" spans="4:11">
      <c r="D240" s="5"/>
      <c r="H240" s="7"/>
      <c r="K240" s="5"/>
    </row>
    <row r="241" spans="4:11">
      <c r="D241" s="5"/>
      <c r="H241" s="7"/>
      <c r="K241" s="5"/>
    </row>
    <row r="242" spans="4:11">
      <c r="D242" s="5"/>
      <c r="H242" s="7"/>
      <c r="K242" s="5"/>
    </row>
    <row r="243" spans="4:11">
      <c r="D243" s="5"/>
      <c r="H243" s="7"/>
      <c r="K243" s="5"/>
    </row>
    <row r="244" spans="4:11">
      <c r="D244" s="5"/>
      <c r="H244" s="7"/>
      <c r="K244" s="5"/>
    </row>
    <row r="245" spans="4:11">
      <c r="D245" s="5"/>
      <c r="H245" s="7"/>
      <c r="K245" s="5"/>
    </row>
    <row r="246" spans="4:11">
      <c r="D246" s="5"/>
      <c r="H246" s="7"/>
      <c r="K246" s="5"/>
    </row>
    <row r="247" spans="4:11">
      <c r="D247" s="5"/>
      <c r="H247" s="7"/>
      <c r="K247" s="5"/>
    </row>
    <row r="248" spans="4:11">
      <c r="D248" s="5"/>
      <c r="H248" s="7"/>
      <c r="K248" s="5"/>
    </row>
    <row r="249" spans="4:11">
      <c r="D249" s="5"/>
      <c r="H249" s="7"/>
      <c r="K249" s="5"/>
    </row>
    <row r="250" spans="4:11">
      <c r="D250" s="5"/>
      <c r="H250" s="7"/>
      <c r="K250" s="5"/>
    </row>
    <row r="251" spans="4:11">
      <c r="D251" s="5"/>
      <c r="H251" s="7"/>
      <c r="K251" s="5"/>
    </row>
    <row r="252" spans="4:11">
      <c r="D252" s="5"/>
      <c r="H252" s="7"/>
      <c r="K252" s="5"/>
    </row>
    <row r="253" spans="4:11">
      <c r="D253" s="5"/>
      <c r="H253" s="7"/>
      <c r="K253" s="5"/>
    </row>
    <row r="254" spans="4:11">
      <c r="D254" s="5"/>
      <c r="H254" s="7"/>
      <c r="K254" s="5"/>
    </row>
    <row r="255" spans="4:11">
      <c r="D255" s="5"/>
      <c r="H255" s="7"/>
      <c r="K255" s="5"/>
    </row>
    <row r="256" spans="4:11">
      <c r="D256" s="5"/>
      <c r="H256" s="7"/>
      <c r="K256" s="5"/>
    </row>
    <row r="257" spans="4:11">
      <c r="D257" s="5"/>
      <c r="H257" s="7"/>
      <c r="K257" s="5"/>
    </row>
    <row r="258" spans="4:11">
      <c r="D258" s="5"/>
      <c r="H258" s="7"/>
      <c r="K258" s="5"/>
    </row>
    <row r="259" spans="4:11">
      <c r="D259" s="5"/>
      <c r="H259" s="7"/>
      <c r="K259" s="5"/>
    </row>
    <row r="260" spans="4:11">
      <c r="D260" s="5"/>
      <c r="H260" s="7"/>
      <c r="K260" s="5"/>
    </row>
    <row r="261" spans="4:11">
      <c r="D261" s="5"/>
      <c r="H261" s="7"/>
      <c r="K261" s="5"/>
    </row>
    <row r="262" spans="4:11">
      <c r="D262" s="5"/>
      <c r="H262" s="7"/>
      <c r="K262" s="5"/>
    </row>
    <row r="263" spans="4:11">
      <c r="D263" s="5"/>
      <c r="H263" s="7"/>
      <c r="K263" s="5"/>
    </row>
    <row r="264" spans="4:11">
      <c r="D264" s="5"/>
      <c r="H264" s="7"/>
      <c r="K264" s="5"/>
    </row>
    <row r="265" spans="4:11">
      <c r="D265" s="5"/>
      <c r="H265" s="7"/>
      <c r="K265" s="5"/>
    </row>
    <row r="266" spans="4:11">
      <c r="D266" s="5"/>
      <c r="H266" s="7"/>
      <c r="K266" s="5"/>
    </row>
    <row r="267" spans="4:11">
      <c r="D267" s="5"/>
      <c r="H267" s="7"/>
      <c r="K267" s="5"/>
    </row>
    <row r="268" spans="4:11">
      <c r="D268" s="5"/>
      <c r="H268" s="7"/>
      <c r="K268" s="5"/>
    </row>
    <row r="269" spans="4:11">
      <c r="D269" s="5"/>
      <c r="H269" s="7"/>
      <c r="K269" s="5"/>
    </row>
    <row r="270" spans="4:11">
      <c r="D270" s="5"/>
      <c r="H270" s="7"/>
      <c r="K270" s="5"/>
    </row>
    <row r="271" spans="4:11">
      <c r="D271" s="5"/>
      <c r="H271" s="7"/>
      <c r="K271" s="5"/>
    </row>
    <row r="272" spans="4:11">
      <c r="D272" s="5"/>
      <c r="H272" s="7"/>
      <c r="K272" s="5"/>
    </row>
    <row r="273" spans="4:11">
      <c r="D273" s="5"/>
      <c r="H273" s="7"/>
      <c r="K273" s="5"/>
    </row>
    <row r="274" spans="4:11">
      <c r="D274" s="5"/>
      <c r="H274" s="7"/>
      <c r="K274" s="5"/>
    </row>
    <row r="275" spans="4:11">
      <c r="D275" s="5"/>
      <c r="H275" s="7"/>
      <c r="K275" s="5"/>
    </row>
    <row r="276" spans="4:11">
      <c r="D276" s="5"/>
      <c r="H276" s="7"/>
      <c r="K276" s="5"/>
    </row>
    <row r="277" spans="4:11">
      <c r="D277" s="5"/>
      <c r="H277" s="7"/>
      <c r="K277" s="5"/>
    </row>
    <row r="278" spans="4:11">
      <c r="D278" s="5"/>
      <c r="H278" s="7"/>
      <c r="K278" s="5"/>
    </row>
    <row r="279" spans="4:11">
      <c r="D279" s="5"/>
      <c r="H279" s="7"/>
      <c r="K279" s="5"/>
    </row>
    <row r="280" spans="4:11">
      <c r="D280" s="5"/>
      <c r="H280" s="7"/>
      <c r="K280" s="5"/>
    </row>
    <row r="281" spans="4:11">
      <c r="D281" s="5"/>
      <c r="H281" s="7"/>
      <c r="K281" s="5"/>
    </row>
    <row r="282" spans="4:11">
      <c r="D282" s="5"/>
      <c r="H282" s="7"/>
      <c r="K282" s="5"/>
    </row>
    <row r="283" spans="4:11">
      <c r="D283" s="5"/>
      <c r="H283" s="7"/>
      <c r="K283" s="5"/>
    </row>
    <row r="284" spans="4:11">
      <c r="D284" s="5"/>
      <c r="H284" s="7"/>
      <c r="K284" s="5"/>
    </row>
    <row r="285" spans="4:11">
      <c r="D285" s="5"/>
      <c r="H285" s="7"/>
      <c r="K285" s="5"/>
    </row>
    <row r="286" spans="4:11">
      <c r="D286" s="5"/>
      <c r="H286" s="7"/>
      <c r="K286" s="5"/>
    </row>
    <row r="287" spans="4:11">
      <c r="D287" s="5"/>
      <c r="H287" s="7"/>
      <c r="K287" s="5"/>
    </row>
    <row r="288" spans="4:11">
      <c r="D288" s="5"/>
      <c r="H288" s="7"/>
      <c r="K288" s="5"/>
    </row>
    <row r="289" spans="4:11">
      <c r="D289" s="5"/>
      <c r="H289" s="7"/>
      <c r="K289" s="5"/>
    </row>
    <row r="290" spans="4:11">
      <c r="D290" s="5"/>
      <c r="H290" s="7"/>
      <c r="K290" s="5"/>
    </row>
    <row r="291" spans="4:11">
      <c r="D291" s="5"/>
      <c r="H291" s="7"/>
      <c r="K291" s="5"/>
    </row>
    <row r="292" spans="4:11">
      <c r="D292" s="5"/>
      <c r="H292" s="7"/>
      <c r="K292" s="5"/>
    </row>
    <row r="293" spans="4:11">
      <c r="D293" s="5"/>
      <c r="H293" s="7"/>
      <c r="K293" s="5"/>
    </row>
    <row r="294" spans="4:11">
      <c r="D294" s="5"/>
      <c r="H294" s="7"/>
      <c r="K294" s="5"/>
    </row>
    <row r="295" spans="4:11">
      <c r="D295" s="5"/>
      <c r="H295" s="7"/>
      <c r="K295" s="5"/>
    </row>
    <row r="296" spans="4:11">
      <c r="D296" s="5"/>
      <c r="H296" s="7"/>
      <c r="K296" s="5"/>
    </row>
    <row r="297" spans="4:11">
      <c r="D297" s="5"/>
      <c r="H297" s="7"/>
      <c r="K297" s="5"/>
    </row>
    <row r="298" spans="4:11">
      <c r="D298" s="5"/>
      <c r="H298" s="7"/>
      <c r="K298" s="5"/>
    </row>
    <row r="299" spans="4:11">
      <c r="D299" s="5"/>
      <c r="H299" s="7"/>
      <c r="K299" s="5"/>
    </row>
    <row r="300" spans="4:11">
      <c r="D300" s="5"/>
      <c r="H300" s="7"/>
      <c r="K300" s="5"/>
    </row>
    <row r="301" spans="4:11">
      <c r="D301" s="5"/>
      <c r="H301" s="7"/>
      <c r="K301" s="5"/>
    </row>
    <row r="302" spans="4:11">
      <c r="D302" s="5"/>
      <c r="H302" s="7"/>
      <c r="K302" s="5"/>
    </row>
    <row r="303" spans="4:11">
      <c r="D303" s="5"/>
      <c r="H303" s="7"/>
      <c r="K303" s="5"/>
    </row>
    <row r="304" spans="4:11">
      <c r="D304" s="5"/>
      <c r="H304" s="7"/>
      <c r="K304" s="5"/>
    </row>
    <row r="305" spans="4:11">
      <c r="D305" s="5"/>
      <c r="H305" s="7"/>
      <c r="K305" s="5"/>
    </row>
    <row r="306" spans="4:11">
      <c r="D306" s="5"/>
      <c r="H306" s="7"/>
      <c r="K306" s="5"/>
    </row>
    <row r="307" spans="4:11">
      <c r="D307" s="5"/>
      <c r="H307" s="7"/>
      <c r="K307" s="5"/>
    </row>
    <row r="308" spans="4:11">
      <c r="D308" s="5"/>
      <c r="H308" s="7"/>
      <c r="K308" s="5"/>
    </row>
    <row r="309" spans="4:11">
      <c r="D309" s="5"/>
      <c r="H309" s="7"/>
      <c r="K309" s="5"/>
    </row>
    <row r="310" spans="4:11">
      <c r="D310" s="5"/>
      <c r="H310" s="7"/>
      <c r="K310" s="5"/>
    </row>
    <row r="311" spans="4:11">
      <c r="D311" s="5"/>
      <c r="H311" s="7"/>
      <c r="K311" s="5"/>
    </row>
    <row r="312" spans="4:11">
      <c r="D312" s="5"/>
      <c r="H312" s="7"/>
      <c r="K312" s="5"/>
    </row>
    <row r="313" spans="4:11">
      <c r="D313" s="5"/>
      <c r="H313" s="7"/>
      <c r="K313" s="5"/>
    </row>
    <row r="314" spans="4:11">
      <c r="D314" s="5"/>
      <c r="H314" s="7"/>
      <c r="K314" s="5"/>
    </row>
    <row r="315" spans="4:11">
      <c r="D315" s="5"/>
      <c r="H315" s="7"/>
      <c r="K315" s="5"/>
    </row>
    <row r="316" spans="4:11">
      <c r="D316" s="5"/>
      <c r="H316" s="7"/>
      <c r="K316" s="5"/>
    </row>
    <row r="317" spans="4:11">
      <c r="D317" s="5"/>
      <c r="H317" s="7"/>
      <c r="K317" s="5"/>
    </row>
    <row r="318" spans="4:11">
      <c r="D318" s="5"/>
      <c r="H318" s="7"/>
      <c r="K318" s="5"/>
    </row>
    <row r="319" spans="4:11">
      <c r="D319" s="5"/>
      <c r="H319" s="7"/>
      <c r="K319" s="5"/>
    </row>
    <row r="320" spans="4:11">
      <c r="D320" s="5"/>
      <c r="H320" s="7"/>
      <c r="K320" s="5"/>
    </row>
    <row r="321" spans="4:11">
      <c r="D321" s="5"/>
      <c r="H321" s="7"/>
      <c r="K321" s="5"/>
    </row>
    <row r="322" spans="4:11">
      <c r="D322" s="5"/>
      <c r="H322" s="7"/>
      <c r="K322" s="5"/>
    </row>
    <row r="323" spans="4:11">
      <c r="D323" s="5"/>
      <c r="H323" s="7"/>
      <c r="K323" s="5"/>
    </row>
    <row r="324" spans="4:11">
      <c r="D324" s="5"/>
      <c r="H324" s="7"/>
      <c r="K324" s="5"/>
    </row>
    <row r="325" spans="4:11">
      <c r="D325" s="5"/>
      <c r="H325" s="7"/>
      <c r="K325" s="5"/>
    </row>
    <row r="326" spans="4:11">
      <c r="D326" s="5"/>
      <c r="H326" s="7"/>
      <c r="K326" s="5"/>
    </row>
    <row r="327" spans="4:11">
      <c r="D327" s="5"/>
      <c r="H327" s="7"/>
      <c r="K327" s="5"/>
    </row>
    <row r="328" spans="4:11">
      <c r="D328" s="5"/>
      <c r="H328" s="7"/>
      <c r="K328" s="5"/>
    </row>
    <row r="329" spans="4:11">
      <c r="D329" s="5"/>
      <c r="H329" s="7"/>
      <c r="K329" s="5"/>
    </row>
    <row r="330" spans="4:11">
      <c r="D330" s="5"/>
      <c r="H330" s="7"/>
      <c r="K330" s="5"/>
    </row>
    <row r="331" spans="4:11">
      <c r="D331" s="5"/>
      <c r="H331" s="7"/>
      <c r="K331" s="5"/>
    </row>
    <row r="332" spans="4:11">
      <c r="D332" s="5"/>
      <c r="H332" s="7"/>
      <c r="K332" s="5"/>
    </row>
    <row r="333" spans="4:11">
      <c r="D333" s="5"/>
      <c r="H333" s="7"/>
      <c r="K333" s="5"/>
    </row>
    <row r="334" spans="4:11">
      <c r="D334" s="5"/>
      <c r="H334" s="7"/>
      <c r="K334" s="5"/>
    </row>
    <row r="335" spans="4:11">
      <c r="D335" s="5"/>
      <c r="H335" s="7"/>
      <c r="K335" s="5"/>
    </row>
    <row r="336" spans="4:11">
      <c r="D336" s="5"/>
      <c r="H336" s="7"/>
      <c r="K336" s="5"/>
    </row>
    <row r="337" spans="4:11">
      <c r="D337" s="5"/>
      <c r="H337" s="7"/>
      <c r="K337" s="5"/>
    </row>
    <row r="338" spans="4:11">
      <c r="D338" s="5"/>
      <c r="H338" s="7"/>
      <c r="K338" s="5"/>
    </row>
    <row r="339" spans="4:11">
      <c r="D339" s="5"/>
      <c r="H339" s="7"/>
      <c r="K339" s="5"/>
    </row>
    <row r="340" spans="4:11">
      <c r="D340" s="5"/>
      <c r="H340" s="7"/>
      <c r="K340" s="5"/>
    </row>
    <row r="341" spans="4:11">
      <c r="D341" s="5"/>
      <c r="H341" s="7"/>
      <c r="K341" s="5"/>
    </row>
    <row r="342" spans="4:11">
      <c r="D342" s="5"/>
      <c r="H342" s="7"/>
      <c r="K342" s="5"/>
    </row>
    <row r="343" spans="4:11">
      <c r="D343" s="5"/>
      <c r="H343" s="7"/>
      <c r="K343" s="5"/>
    </row>
    <row r="344" spans="4:11">
      <c r="D344" s="5"/>
      <c r="H344" s="7"/>
      <c r="K344" s="5"/>
    </row>
    <row r="345" spans="4:11">
      <c r="D345" s="5"/>
      <c r="H345" s="7"/>
      <c r="K345" s="5"/>
    </row>
    <row r="346" spans="4:11">
      <c r="D346" s="5"/>
      <c r="H346" s="7"/>
      <c r="K346" s="5"/>
    </row>
    <row r="347" spans="4:11">
      <c r="D347" s="5"/>
      <c r="H347" s="7"/>
      <c r="K347" s="5"/>
    </row>
    <row r="348" spans="4:11">
      <c r="D348" s="5"/>
      <c r="H348" s="7"/>
      <c r="K348" s="5"/>
    </row>
    <row r="349" spans="4:11">
      <c r="D349" s="5"/>
      <c r="H349" s="7"/>
      <c r="K349" s="5"/>
    </row>
    <row r="350" spans="4:11">
      <c r="D350" s="5"/>
      <c r="H350" s="7"/>
      <c r="K350" s="5"/>
    </row>
    <row r="351" spans="4:11">
      <c r="D351" s="5"/>
      <c r="H351" s="7"/>
      <c r="K351" s="5"/>
    </row>
    <row r="352" spans="4:11">
      <c r="D352" s="5"/>
      <c r="H352" s="7"/>
      <c r="K352" s="5"/>
    </row>
    <row r="353" spans="4:11">
      <c r="D353" s="5"/>
      <c r="H353" s="7"/>
      <c r="K353" s="5"/>
    </row>
    <row r="354" spans="4:11">
      <c r="D354" s="5"/>
      <c r="H354" s="7"/>
      <c r="K354" s="5"/>
    </row>
    <row r="355" spans="4:11">
      <c r="D355" s="5"/>
      <c r="H355" s="7"/>
      <c r="K355" s="5"/>
    </row>
    <row r="356" spans="4:11">
      <c r="D356" s="5"/>
      <c r="H356" s="7"/>
      <c r="K356" s="5"/>
    </row>
    <row r="357" spans="4:11">
      <c r="D357" s="5"/>
      <c r="H357" s="7"/>
      <c r="K357" s="5"/>
    </row>
    <row r="358" spans="4:11">
      <c r="D358" s="5"/>
      <c r="H358" s="7"/>
      <c r="K358" s="5"/>
    </row>
    <row r="359" spans="4:11">
      <c r="D359" s="5"/>
      <c r="H359" s="7"/>
      <c r="K359" s="5"/>
    </row>
    <row r="360" spans="4:11">
      <c r="D360" s="5"/>
      <c r="H360" s="7"/>
      <c r="K360" s="5"/>
    </row>
    <row r="361" spans="4:11">
      <c r="D361" s="5"/>
      <c r="H361" s="7"/>
      <c r="K361" s="5"/>
    </row>
    <row r="362" spans="4:11">
      <c r="D362" s="5"/>
      <c r="H362" s="7"/>
      <c r="K362" s="5"/>
    </row>
    <row r="363" spans="4:11">
      <c r="D363" s="5"/>
      <c r="H363" s="7"/>
      <c r="K363" s="5"/>
    </row>
    <row r="364" spans="4:11">
      <c r="D364" s="5"/>
      <c r="H364" s="7"/>
      <c r="K364" s="5"/>
    </row>
    <row r="365" spans="4:11">
      <c r="D365" s="5"/>
      <c r="H365" s="7"/>
      <c r="K365" s="5"/>
    </row>
    <row r="366" spans="4:11">
      <c r="D366" s="5"/>
      <c r="H366" s="7"/>
      <c r="K366" s="5"/>
    </row>
    <row r="367" spans="4:11">
      <c r="D367" s="5"/>
      <c r="H367" s="7"/>
      <c r="K367" s="5"/>
    </row>
    <row r="368" spans="4:11">
      <c r="D368" s="5"/>
      <c r="H368" s="7"/>
      <c r="K368" s="5"/>
    </row>
    <row r="369" spans="4:11">
      <c r="D369" s="5"/>
      <c r="H369" s="7"/>
      <c r="K369" s="5"/>
    </row>
    <row r="370" spans="4:11">
      <c r="D370" s="5"/>
      <c r="H370" s="7"/>
      <c r="K370" s="5"/>
    </row>
    <row r="371" spans="4:11">
      <c r="D371" s="5"/>
      <c r="H371" s="7"/>
      <c r="K371" s="5"/>
    </row>
    <row r="372" spans="4:11">
      <c r="D372" s="5"/>
      <c r="H372" s="7"/>
      <c r="K372" s="5"/>
    </row>
    <row r="373" spans="4:11">
      <c r="D373" s="5"/>
      <c r="H373" s="7"/>
      <c r="K373" s="5"/>
    </row>
    <row r="374" spans="4:11">
      <c r="D374" s="5"/>
      <c r="H374" s="7"/>
      <c r="K374" s="5"/>
    </row>
    <row r="375" spans="4:11">
      <c r="D375" s="5"/>
      <c r="H375" s="7"/>
      <c r="K375" s="5"/>
    </row>
    <row r="376" spans="4:11">
      <c r="D376" s="5"/>
      <c r="H376" s="7"/>
      <c r="K376" s="5"/>
    </row>
    <row r="377" spans="4:11">
      <c r="D377" s="5"/>
      <c r="H377" s="7"/>
      <c r="K377" s="5"/>
    </row>
    <row r="378" spans="4:11">
      <c r="D378" s="5"/>
      <c r="H378" s="7"/>
      <c r="K378" s="5"/>
    </row>
    <row r="379" spans="4:11">
      <c r="D379" s="5"/>
      <c r="H379" s="7"/>
      <c r="K379" s="5"/>
    </row>
    <row r="380" spans="4:11">
      <c r="D380" s="5"/>
      <c r="H380" s="7"/>
      <c r="K380" s="5"/>
    </row>
    <row r="381" spans="4:11">
      <c r="D381" s="5"/>
      <c r="H381" s="7"/>
      <c r="K381" s="5"/>
    </row>
    <row r="382" spans="4:11">
      <c r="D382" s="5"/>
      <c r="H382" s="7"/>
      <c r="K382" s="5"/>
    </row>
    <row r="383" spans="4:11">
      <c r="D383" s="5"/>
      <c r="H383" s="7"/>
      <c r="K383" s="5"/>
    </row>
    <row r="384" spans="4:11">
      <c r="D384" s="5"/>
      <c r="H384" s="7"/>
      <c r="K384" s="5"/>
    </row>
    <row r="385" spans="4:11">
      <c r="D385" s="5"/>
      <c r="H385" s="7"/>
      <c r="K385" s="5"/>
    </row>
    <row r="386" spans="4:11">
      <c r="D386" s="5"/>
      <c r="H386" s="7"/>
      <c r="K386" s="5"/>
    </row>
    <row r="387" spans="4:11">
      <c r="D387" s="5"/>
      <c r="H387" s="7"/>
      <c r="K387" s="5"/>
    </row>
    <row r="388" spans="4:11">
      <c r="D388" s="5"/>
      <c r="H388" s="7"/>
      <c r="K388" s="5"/>
    </row>
    <row r="389" spans="4:11">
      <c r="D389" s="5"/>
      <c r="H389" s="7"/>
      <c r="K389" s="5"/>
    </row>
    <row r="390" spans="4:11">
      <c r="D390" s="5"/>
      <c r="H390" s="7"/>
      <c r="K390" s="5"/>
    </row>
    <row r="391" spans="4:11">
      <c r="D391" s="5"/>
      <c r="H391" s="7"/>
      <c r="K391" s="5"/>
    </row>
    <row r="392" spans="4:11">
      <c r="D392" s="5"/>
      <c r="H392" s="7"/>
      <c r="K392" s="5"/>
    </row>
    <row r="393" spans="4:11">
      <c r="D393" s="5"/>
      <c r="H393" s="7"/>
      <c r="K393" s="5"/>
    </row>
    <row r="394" spans="4:11">
      <c r="D394" s="5"/>
      <c r="H394" s="7"/>
      <c r="K394" s="5"/>
    </row>
    <row r="395" spans="4:11">
      <c r="D395" s="5"/>
      <c r="H395" s="7"/>
      <c r="K395" s="5"/>
    </row>
    <row r="396" spans="4:11">
      <c r="D396" s="5"/>
      <c r="H396" s="7"/>
      <c r="K396" s="5"/>
    </row>
    <row r="397" spans="4:11">
      <c r="D397" s="5"/>
      <c r="H397" s="7"/>
      <c r="K397" s="5"/>
    </row>
    <row r="398" spans="4:11">
      <c r="D398" s="5"/>
      <c r="H398" s="7"/>
      <c r="K398" s="5"/>
    </row>
    <row r="399" spans="4:11">
      <c r="D399" s="5"/>
      <c r="H399" s="7"/>
      <c r="K399" s="5"/>
    </row>
    <row r="400" spans="4:11">
      <c r="D400" s="5"/>
      <c r="H400" s="7"/>
      <c r="K400" s="5"/>
    </row>
    <row r="401" spans="4:11">
      <c r="D401" s="5"/>
      <c r="H401" s="7"/>
      <c r="K401" s="5"/>
    </row>
    <row r="402" spans="4:11">
      <c r="D402" s="5"/>
      <c r="H402" s="7"/>
      <c r="K402" s="5"/>
    </row>
    <row r="403" spans="4:11">
      <c r="D403" s="5"/>
      <c r="H403" s="7"/>
      <c r="K403" s="5"/>
    </row>
    <row r="404" spans="4:11">
      <c r="D404" s="5"/>
      <c r="H404" s="7"/>
      <c r="K404" s="5"/>
    </row>
    <row r="405" spans="4:11">
      <c r="D405" s="5"/>
      <c r="H405" s="7"/>
      <c r="K405" s="5"/>
    </row>
    <row r="406" spans="4:11">
      <c r="D406" s="5"/>
      <c r="H406" s="7"/>
      <c r="K406" s="5"/>
    </row>
    <row r="407" spans="4:11">
      <c r="D407" s="5"/>
      <c r="H407" s="7"/>
      <c r="K407" s="5"/>
    </row>
    <row r="408" spans="4:11">
      <c r="D408" s="5"/>
      <c r="H408" s="7"/>
      <c r="K408" s="5"/>
    </row>
    <row r="409" spans="4:11">
      <c r="D409" s="5"/>
      <c r="H409" s="7"/>
      <c r="K409" s="5"/>
    </row>
    <row r="410" spans="4:11">
      <c r="D410" s="5"/>
      <c r="H410" s="7"/>
      <c r="K410" s="5"/>
    </row>
    <row r="411" spans="4:11">
      <c r="D411" s="5"/>
      <c r="H411" s="7"/>
      <c r="K411" s="5"/>
    </row>
    <row r="412" spans="4:11">
      <c r="D412" s="5"/>
      <c r="H412" s="7"/>
      <c r="K412" s="5"/>
    </row>
    <row r="413" spans="4:11">
      <c r="D413" s="5"/>
      <c r="H413" s="7"/>
      <c r="K413" s="5"/>
    </row>
    <row r="414" spans="4:11">
      <c r="D414" s="5"/>
      <c r="H414" s="7"/>
      <c r="K414" s="5"/>
    </row>
    <row r="415" spans="4:11">
      <c r="D415" s="5"/>
      <c r="H415" s="7"/>
      <c r="K415" s="5"/>
    </row>
    <row r="416" spans="4:11">
      <c r="D416" s="5"/>
      <c r="H416" s="7"/>
      <c r="K416" s="5"/>
    </row>
    <row r="417" spans="4:11">
      <c r="D417" s="5"/>
      <c r="H417" s="7"/>
      <c r="K417" s="5"/>
    </row>
    <row r="418" spans="4:11">
      <c r="D418" s="5"/>
      <c r="H418" s="7"/>
      <c r="K418" s="5"/>
    </row>
    <row r="419" spans="4:11">
      <c r="D419" s="5"/>
      <c r="H419" s="7"/>
      <c r="K419" s="5"/>
    </row>
    <row r="420" spans="4:11">
      <c r="D420" s="5"/>
      <c r="H420" s="7"/>
      <c r="K420" s="5"/>
    </row>
    <row r="421" spans="4:11">
      <c r="D421" s="5"/>
      <c r="H421" s="7"/>
      <c r="K421" s="5"/>
    </row>
    <row r="422" spans="4:11">
      <c r="D422" s="5"/>
      <c r="H422" s="7"/>
      <c r="K422" s="5"/>
    </row>
    <row r="423" spans="4:11">
      <c r="D423" s="5"/>
      <c r="H423" s="7"/>
      <c r="K423" s="5"/>
    </row>
    <row r="424" spans="4:11">
      <c r="D424" s="5"/>
      <c r="H424" s="7"/>
      <c r="K424" s="5"/>
    </row>
    <row r="425" spans="4:11">
      <c r="D425" s="5"/>
      <c r="H425" s="7"/>
      <c r="K425" s="5"/>
    </row>
    <row r="426" spans="4:11">
      <c r="D426" s="5"/>
      <c r="H426" s="7"/>
      <c r="K426" s="5"/>
    </row>
    <row r="427" spans="4:11">
      <c r="D427" s="5"/>
      <c r="H427" s="7"/>
      <c r="K427" s="5"/>
    </row>
    <row r="428" spans="4:11">
      <c r="D428" s="5"/>
      <c r="H428" s="7"/>
      <c r="K428" s="5"/>
    </row>
    <row r="429" spans="4:11">
      <c r="D429" s="5"/>
      <c r="H429" s="7"/>
      <c r="K429" s="5"/>
    </row>
    <row r="430" spans="4:11">
      <c r="D430" s="5"/>
      <c r="H430" s="7"/>
      <c r="K430" s="5"/>
    </row>
    <row r="431" spans="4:11">
      <c r="D431" s="5"/>
      <c r="H431" s="7"/>
      <c r="K431" s="5"/>
    </row>
    <row r="432" spans="4:11">
      <c r="D432" s="5"/>
      <c r="H432" s="7"/>
      <c r="K432" s="5"/>
    </row>
    <row r="433" spans="4:11">
      <c r="D433" s="5"/>
      <c r="H433" s="7"/>
      <c r="K433" s="5"/>
    </row>
    <row r="434" spans="4:11">
      <c r="D434" s="5"/>
      <c r="H434" s="7"/>
      <c r="K434" s="5"/>
    </row>
    <row r="435" spans="4:11">
      <c r="D435" s="5"/>
      <c r="H435" s="7"/>
      <c r="K435" s="5"/>
    </row>
    <row r="436" spans="4:11">
      <c r="D436" s="5"/>
      <c r="H436" s="7"/>
      <c r="K436" s="5"/>
    </row>
    <row r="437" spans="4:11">
      <c r="D437" s="5"/>
      <c r="H437" s="7"/>
      <c r="K437" s="5"/>
    </row>
    <row r="438" spans="4:11">
      <c r="D438" s="5"/>
      <c r="H438" s="7"/>
      <c r="K438" s="5"/>
    </row>
    <row r="439" spans="4:11">
      <c r="D439" s="5"/>
      <c r="H439" s="7"/>
      <c r="K439" s="5"/>
    </row>
    <row r="440" spans="4:11">
      <c r="D440" s="5"/>
      <c r="H440" s="7"/>
      <c r="K440" s="5"/>
    </row>
    <row r="441" spans="4:11">
      <c r="D441" s="5"/>
      <c r="H441" s="7"/>
      <c r="K441" s="5"/>
    </row>
    <row r="442" spans="4:11">
      <c r="D442" s="5"/>
      <c r="H442" s="7"/>
      <c r="K442" s="5"/>
    </row>
    <row r="443" spans="4:11">
      <c r="D443" s="5"/>
      <c r="H443" s="7"/>
      <c r="K443" s="5"/>
    </row>
    <row r="444" spans="4:11">
      <c r="D444" s="5"/>
      <c r="H444" s="7"/>
      <c r="K444" s="5"/>
    </row>
    <row r="445" spans="4:11">
      <c r="D445" s="5"/>
      <c r="H445" s="7"/>
      <c r="K445" s="5"/>
    </row>
    <row r="446" spans="4:11">
      <c r="D446" s="5"/>
      <c r="H446" s="7"/>
      <c r="K446" s="5"/>
    </row>
    <row r="447" spans="4:11">
      <c r="D447" s="5"/>
      <c r="H447" s="7"/>
      <c r="K447" s="5"/>
    </row>
    <row r="448" spans="4:11">
      <c r="D448" s="5"/>
      <c r="H448" s="7"/>
      <c r="K448" s="5"/>
    </row>
    <row r="449" spans="4:11">
      <c r="D449" s="5"/>
      <c r="H449" s="7"/>
      <c r="K449" s="5"/>
    </row>
    <row r="450" spans="4:11">
      <c r="D450" s="5"/>
      <c r="H450" s="7"/>
      <c r="K450" s="5"/>
    </row>
    <row r="451" spans="4:11">
      <c r="D451" s="5"/>
      <c r="H451" s="7"/>
      <c r="K451" s="5"/>
    </row>
    <row r="452" spans="4:11">
      <c r="D452" s="5"/>
      <c r="H452" s="7"/>
      <c r="K452" s="5"/>
    </row>
    <row r="453" spans="4:11">
      <c r="D453" s="5"/>
      <c r="H453" s="7"/>
      <c r="K453" s="5"/>
    </row>
    <row r="454" spans="4:11">
      <c r="D454" s="5"/>
      <c r="H454" s="7"/>
      <c r="K454" s="5"/>
    </row>
    <row r="455" spans="4:11">
      <c r="D455" s="5"/>
      <c r="H455" s="7"/>
      <c r="K455" s="5"/>
    </row>
    <row r="456" spans="4:11">
      <c r="D456" s="5"/>
      <c r="H456" s="7"/>
      <c r="K456" s="5"/>
    </row>
    <row r="457" spans="4:11">
      <c r="D457" s="5"/>
      <c r="H457" s="7"/>
      <c r="K457" s="5"/>
    </row>
    <row r="458" spans="4:11">
      <c r="D458" s="5"/>
      <c r="H458" s="7"/>
      <c r="K458" s="5"/>
    </row>
    <row r="459" spans="4:11">
      <c r="D459" s="5"/>
      <c r="H459" s="7"/>
      <c r="K459" s="5"/>
    </row>
    <row r="460" spans="4:11">
      <c r="D460" s="5"/>
      <c r="H460" s="7"/>
      <c r="K460" s="5"/>
    </row>
    <row r="461" spans="4:11">
      <c r="D461" s="5"/>
      <c r="H461" s="7"/>
      <c r="K461" s="5"/>
    </row>
    <row r="462" spans="4:11">
      <c r="D462" s="5"/>
      <c r="H462" s="7"/>
      <c r="K462" s="5"/>
    </row>
    <row r="463" spans="4:11">
      <c r="D463" s="5"/>
      <c r="H463" s="7"/>
      <c r="K463" s="5"/>
    </row>
    <row r="464" spans="4:11">
      <c r="D464" s="5"/>
      <c r="H464" s="7"/>
      <c r="K464" s="5"/>
    </row>
    <row r="465" spans="4:11">
      <c r="D465" s="5"/>
      <c r="H465" s="7"/>
      <c r="K465" s="5"/>
    </row>
    <row r="466" spans="4:11">
      <c r="D466" s="5"/>
      <c r="H466" s="7"/>
      <c r="K466" s="5"/>
    </row>
    <row r="467" spans="4:11">
      <c r="D467" s="5"/>
      <c r="H467" s="7"/>
      <c r="K467" s="5"/>
    </row>
    <row r="468" spans="4:11">
      <c r="D468" s="5"/>
      <c r="H468" s="7"/>
      <c r="K468" s="5"/>
    </row>
    <row r="469" spans="4:11">
      <c r="D469" s="5"/>
      <c r="H469" s="7"/>
      <c r="K469" s="5"/>
    </row>
    <row r="470" spans="4:11">
      <c r="D470" s="5"/>
      <c r="H470" s="7"/>
      <c r="K470" s="5"/>
    </row>
    <row r="471" spans="4:11">
      <c r="D471" s="5"/>
      <c r="H471" s="7"/>
      <c r="K471" s="5"/>
    </row>
    <row r="472" spans="4:11">
      <c r="D472" s="5"/>
      <c r="H472" s="7"/>
      <c r="K472" s="5"/>
    </row>
    <row r="473" spans="4:11">
      <c r="D473" s="5"/>
      <c r="H473" s="7"/>
      <c r="K473" s="5"/>
    </row>
    <row r="474" spans="4:11">
      <c r="D474" s="5"/>
      <c r="H474" s="7"/>
      <c r="K474" s="5"/>
    </row>
    <row r="475" spans="4:11">
      <c r="D475" s="5"/>
      <c r="H475" s="7"/>
      <c r="K475" s="5"/>
    </row>
    <row r="476" spans="4:11">
      <c r="D476" s="5"/>
      <c r="H476" s="7"/>
      <c r="K476" s="5"/>
    </row>
    <row r="477" spans="4:11">
      <c r="D477" s="5"/>
      <c r="H477" s="7"/>
      <c r="K477" s="5"/>
    </row>
    <row r="478" spans="4:11">
      <c r="D478" s="5"/>
      <c r="H478" s="7"/>
      <c r="K478" s="5"/>
    </row>
    <row r="479" spans="4:11">
      <c r="D479" s="5"/>
      <c r="H479" s="7"/>
      <c r="K479" s="5"/>
    </row>
    <row r="480" spans="4:11">
      <c r="D480" s="5"/>
      <c r="H480" s="7"/>
      <c r="K480" s="5"/>
    </row>
    <row r="481" spans="4:11">
      <c r="D481" s="5"/>
      <c r="H481" s="7"/>
      <c r="K481" s="5"/>
    </row>
    <row r="482" spans="4:11">
      <c r="D482" s="5"/>
      <c r="H482" s="7"/>
      <c r="K482" s="5"/>
    </row>
    <row r="483" spans="4:11">
      <c r="D483" s="5"/>
      <c r="H483" s="7"/>
      <c r="K483" s="5"/>
    </row>
    <row r="484" spans="4:11">
      <c r="D484" s="5"/>
      <c r="H484" s="7"/>
      <c r="K484" s="5"/>
    </row>
    <row r="485" spans="4:11">
      <c r="D485" s="5"/>
      <c r="H485" s="7"/>
      <c r="K485" s="5"/>
    </row>
    <row r="486" spans="4:11">
      <c r="D486" s="5"/>
      <c r="H486" s="7"/>
      <c r="K486" s="5"/>
    </row>
    <row r="487" spans="4:11">
      <c r="D487" s="5"/>
      <c r="H487" s="7"/>
      <c r="K487" s="5"/>
    </row>
    <row r="488" spans="4:11">
      <c r="D488" s="5"/>
      <c r="H488" s="7"/>
      <c r="K488" s="5"/>
    </row>
    <row r="489" spans="4:11">
      <c r="D489" s="5"/>
      <c r="H489" s="7"/>
      <c r="K489" s="5"/>
    </row>
    <row r="490" spans="4:11">
      <c r="D490" s="5"/>
      <c r="H490" s="7"/>
      <c r="K490" s="5"/>
    </row>
    <row r="491" spans="4:11">
      <c r="D491" s="5"/>
      <c r="H491" s="7"/>
      <c r="K491" s="5"/>
    </row>
    <row r="492" spans="4:11">
      <c r="D492" s="5"/>
      <c r="H492" s="7"/>
      <c r="K492" s="5"/>
    </row>
    <row r="493" spans="4:11">
      <c r="D493" s="5"/>
      <c r="H493" s="7"/>
      <c r="K493" s="5"/>
    </row>
    <row r="494" spans="4:11">
      <c r="D494" s="5"/>
      <c r="H494" s="7"/>
      <c r="K494" s="5"/>
    </row>
    <row r="495" spans="4:11">
      <c r="D495" s="5"/>
      <c r="H495" s="7"/>
      <c r="K495" s="5"/>
    </row>
    <row r="496" spans="4:11">
      <c r="D496" s="5"/>
      <c r="H496" s="7"/>
      <c r="K496" s="5"/>
    </row>
    <row r="497" spans="4:11">
      <c r="D497" s="5"/>
      <c r="H497" s="7"/>
      <c r="K497" s="5"/>
    </row>
    <row r="498" spans="4:11">
      <c r="D498" s="5"/>
      <c r="H498" s="7"/>
      <c r="K498" s="5"/>
    </row>
    <row r="499" spans="4:11">
      <c r="D499" s="5"/>
      <c r="H499" s="7"/>
      <c r="K499" s="5"/>
    </row>
    <row r="500" spans="4:11">
      <c r="D500" s="5"/>
      <c r="H500" s="7"/>
      <c r="K500" s="5"/>
    </row>
  </sheetData>
  <phoneticPr fontId="6" type="noConversion"/>
  <conditionalFormatting sqref="K2:K500">
    <cfRule type="expression" dxfId="1" priority="1">
      <formula>AND($K2&lt;&gt;"",$K2&lt;TODAY())</formula>
    </cfRule>
    <cfRule type="expression" dxfId="0" priority="2">
      <formula>AND($K2&gt;=TODAY(),$K2&lt;=TODAY()+7)</formula>
    </cfRule>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xr:uid="{00000000-0002-0000-0800-000000000000}">
          <x14:formula1>
            <xm:f>Lists!$I$2:$I$8</xm:f>
          </x14:formula1>
          <xm:sqref>G2:G500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500"/>
  <sheetViews>
    <sheetView topLeftCell="A67" workbookViewId="0">
      <selection activeCell="A2" sqref="A2:A100"/>
    </sheetView>
  </sheetViews>
  <sheetFormatPr defaultRowHeight="14.25"/>
  <cols>
    <col min="1" max="3" width="14" customWidth="1"/>
    <col min="4" max="4" width="28" customWidth="1"/>
    <col min="5" max="8" width="14" customWidth="1"/>
    <col min="9" max="9" width="28" customWidth="1"/>
  </cols>
  <sheetData>
    <row r="1" spans="1:9" ht="32.1" customHeight="1">
      <c r="A1" s="2" t="s">
        <v>175</v>
      </c>
      <c r="B1" s="2" t="s">
        <v>176</v>
      </c>
      <c r="C1" s="2" t="s">
        <v>177</v>
      </c>
      <c r="D1" s="2" t="s">
        <v>178</v>
      </c>
      <c r="E1" s="2" t="s">
        <v>107</v>
      </c>
      <c r="F1" s="2" t="s">
        <v>106</v>
      </c>
      <c r="G1" s="2" t="s">
        <v>111</v>
      </c>
      <c r="H1" s="2" t="s">
        <v>91</v>
      </c>
      <c r="I1" s="2" t="s">
        <v>15</v>
      </c>
    </row>
    <row r="2" spans="1:9" ht="42.75">
      <c r="A2" s="3" t="s">
        <v>179</v>
      </c>
      <c r="B2" s="3" t="s">
        <v>180</v>
      </c>
      <c r="C2" s="3" t="s">
        <v>181</v>
      </c>
      <c r="D2" s="3" t="s">
        <v>54</v>
      </c>
      <c r="E2" s="3" t="s">
        <v>57</v>
      </c>
      <c r="F2" s="4">
        <v>46205</v>
      </c>
      <c r="G2" s="3" t="s">
        <v>182</v>
      </c>
      <c r="H2" s="6">
        <v>15000</v>
      </c>
      <c r="I2" s="3" t="s">
        <v>183</v>
      </c>
    </row>
    <row r="3" spans="1:9">
      <c r="A3" s="3" t="s">
        <v>970</v>
      </c>
      <c r="B3" s="3"/>
      <c r="C3" s="3"/>
      <c r="D3" s="3"/>
      <c r="E3" s="3"/>
      <c r="F3" s="4"/>
      <c r="G3" s="3"/>
      <c r="H3" s="6"/>
      <c r="I3" s="3"/>
    </row>
    <row r="4" spans="1:9">
      <c r="A4" s="3" t="s">
        <v>971</v>
      </c>
      <c r="B4" s="3"/>
      <c r="C4" s="3"/>
      <c r="D4" s="3"/>
      <c r="E4" s="3"/>
      <c r="F4" s="4"/>
      <c r="G4" s="3"/>
      <c r="H4" s="6"/>
      <c r="I4" s="3"/>
    </row>
    <row r="5" spans="1:9">
      <c r="A5" s="3" t="s">
        <v>972</v>
      </c>
      <c r="B5" s="3"/>
      <c r="C5" s="3"/>
      <c r="D5" s="3"/>
      <c r="E5" s="3"/>
      <c r="F5" s="4"/>
      <c r="G5" s="3"/>
      <c r="H5" s="6"/>
      <c r="I5" s="3"/>
    </row>
    <row r="6" spans="1:9">
      <c r="A6" s="3" t="s">
        <v>973</v>
      </c>
      <c r="B6" s="3"/>
      <c r="C6" s="3"/>
      <c r="D6" s="3"/>
      <c r="E6" s="3"/>
      <c r="F6" s="4"/>
      <c r="G6" s="3"/>
      <c r="H6" s="6"/>
      <c r="I6" s="3"/>
    </row>
    <row r="7" spans="1:9">
      <c r="A7" s="3" t="s">
        <v>974</v>
      </c>
      <c r="B7" s="3"/>
      <c r="C7" s="3"/>
      <c r="D7" s="3"/>
      <c r="E7" s="3"/>
      <c r="F7" s="4"/>
      <c r="G7" s="3"/>
      <c r="H7" s="6"/>
      <c r="I7" s="3"/>
    </row>
    <row r="8" spans="1:9">
      <c r="A8" s="3" t="s">
        <v>975</v>
      </c>
      <c r="B8" s="3"/>
      <c r="C8" s="3"/>
      <c r="D8" s="3"/>
      <c r="E8" s="3"/>
      <c r="F8" s="4"/>
      <c r="G8" s="3"/>
      <c r="H8" s="6"/>
      <c r="I8" s="3"/>
    </row>
    <row r="9" spans="1:9">
      <c r="A9" s="3" t="s">
        <v>976</v>
      </c>
      <c r="B9" s="3"/>
      <c r="C9" s="3"/>
      <c r="D9" s="3"/>
      <c r="E9" s="3"/>
      <c r="F9" s="4"/>
      <c r="G9" s="3"/>
      <c r="H9" s="6"/>
      <c r="I9" s="3"/>
    </row>
    <row r="10" spans="1:9">
      <c r="A10" s="3" t="s">
        <v>977</v>
      </c>
      <c r="B10" s="3"/>
      <c r="C10" s="3"/>
      <c r="D10" s="3"/>
      <c r="E10" s="3"/>
      <c r="F10" s="4"/>
      <c r="G10" s="3"/>
      <c r="H10" s="6"/>
      <c r="I10" s="3"/>
    </row>
    <row r="11" spans="1:9">
      <c r="A11" s="3" t="s">
        <v>978</v>
      </c>
      <c r="B11" s="3"/>
      <c r="C11" s="3"/>
      <c r="D11" s="3"/>
      <c r="E11" s="3"/>
      <c r="F11" s="4"/>
      <c r="G11" s="3"/>
      <c r="H11" s="6"/>
      <c r="I11" s="3"/>
    </row>
    <row r="12" spans="1:9">
      <c r="A12" s="3" t="s">
        <v>979</v>
      </c>
      <c r="B12" s="3"/>
      <c r="C12" s="3"/>
      <c r="D12" s="3"/>
      <c r="E12" s="3"/>
      <c r="F12" s="4"/>
      <c r="G12" s="3"/>
      <c r="H12" s="6"/>
      <c r="I12" s="3"/>
    </row>
    <row r="13" spans="1:9">
      <c r="A13" s="3" t="s">
        <v>980</v>
      </c>
      <c r="B13" s="3"/>
      <c r="C13" s="3"/>
      <c r="D13" s="3"/>
      <c r="E13" s="3"/>
      <c r="F13" s="4"/>
      <c r="G13" s="3"/>
      <c r="H13" s="6"/>
      <c r="I13" s="3"/>
    </row>
    <row r="14" spans="1:9">
      <c r="A14" s="3" t="s">
        <v>981</v>
      </c>
      <c r="B14" s="3"/>
      <c r="C14" s="3"/>
      <c r="D14" s="3"/>
      <c r="E14" s="3"/>
      <c r="F14" s="4"/>
      <c r="G14" s="3"/>
      <c r="H14" s="6"/>
      <c r="I14" s="3"/>
    </row>
    <row r="15" spans="1:9">
      <c r="A15" s="3" t="s">
        <v>982</v>
      </c>
      <c r="B15" s="3"/>
      <c r="C15" s="3"/>
      <c r="D15" s="3"/>
      <c r="E15" s="3"/>
      <c r="F15" s="4"/>
      <c r="G15" s="3"/>
      <c r="H15" s="6"/>
      <c r="I15" s="3"/>
    </row>
    <row r="16" spans="1:9">
      <c r="A16" s="3" t="s">
        <v>983</v>
      </c>
      <c r="B16" s="3"/>
      <c r="C16" s="3"/>
      <c r="D16" s="3"/>
      <c r="E16" s="3"/>
      <c r="F16" s="4"/>
      <c r="G16" s="3"/>
      <c r="H16" s="6"/>
      <c r="I16" s="3"/>
    </row>
    <row r="17" spans="1:9">
      <c r="A17" s="3" t="s">
        <v>984</v>
      </c>
      <c r="B17" s="3"/>
      <c r="C17" s="3"/>
      <c r="D17" s="3"/>
      <c r="E17" s="3"/>
      <c r="F17" s="4"/>
      <c r="G17" s="3"/>
      <c r="H17" s="6"/>
      <c r="I17" s="3"/>
    </row>
    <row r="18" spans="1:9">
      <c r="A18" s="3" t="s">
        <v>985</v>
      </c>
      <c r="B18" s="3"/>
      <c r="C18" s="3"/>
      <c r="D18" s="3"/>
      <c r="E18" s="3"/>
      <c r="F18" s="4"/>
      <c r="G18" s="3"/>
      <c r="H18" s="6"/>
      <c r="I18" s="3"/>
    </row>
    <row r="19" spans="1:9">
      <c r="A19" s="3" t="s">
        <v>986</v>
      </c>
      <c r="B19" s="3"/>
      <c r="C19" s="3"/>
      <c r="D19" s="3"/>
      <c r="E19" s="3"/>
      <c r="F19" s="4"/>
      <c r="G19" s="3"/>
      <c r="H19" s="6"/>
      <c r="I19" s="3"/>
    </row>
    <row r="20" spans="1:9">
      <c r="A20" s="3" t="s">
        <v>987</v>
      </c>
      <c r="B20" s="3"/>
      <c r="C20" s="3"/>
      <c r="D20" s="3"/>
      <c r="E20" s="3"/>
      <c r="F20" s="4"/>
      <c r="G20" s="3"/>
      <c r="H20" s="6"/>
      <c r="I20" s="3"/>
    </row>
    <row r="21" spans="1:9">
      <c r="A21" s="3" t="s">
        <v>988</v>
      </c>
      <c r="B21" s="3"/>
      <c r="C21" s="3"/>
      <c r="D21" s="3"/>
      <c r="E21" s="3"/>
      <c r="F21" s="4"/>
      <c r="G21" s="3"/>
      <c r="H21" s="6"/>
      <c r="I21" s="3"/>
    </row>
    <row r="22" spans="1:9">
      <c r="A22" s="3" t="s">
        <v>989</v>
      </c>
      <c r="B22" s="3"/>
      <c r="C22" s="3"/>
      <c r="D22" s="3"/>
      <c r="E22" s="3"/>
      <c r="F22" s="4"/>
      <c r="G22" s="3"/>
      <c r="H22" s="6"/>
      <c r="I22" s="3"/>
    </row>
    <row r="23" spans="1:9">
      <c r="A23" s="3" t="s">
        <v>990</v>
      </c>
      <c r="B23" s="3"/>
      <c r="C23" s="3"/>
      <c r="D23" s="3"/>
      <c r="E23" s="3"/>
      <c r="F23" s="4"/>
      <c r="G23" s="3"/>
      <c r="H23" s="6"/>
      <c r="I23" s="3"/>
    </row>
    <row r="24" spans="1:9">
      <c r="A24" s="3" t="s">
        <v>991</v>
      </c>
      <c r="B24" s="3"/>
      <c r="C24" s="3"/>
      <c r="D24" s="3"/>
      <c r="E24" s="3"/>
      <c r="F24" s="4"/>
      <c r="G24" s="3"/>
      <c r="H24" s="6"/>
      <c r="I24" s="3"/>
    </row>
    <row r="25" spans="1:9">
      <c r="A25" s="3" t="s">
        <v>992</v>
      </c>
      <c r="B25" s="3"/>
      <c r="C25" s="3"/>
      <c r="D25" s="3"/>
      <c r="E25" s="3"/>
      <c r="F25" s="4"/>
      <c r="G25" s="3"/>
      <c r="H25" s="6"/>
      <c r="I25" s="3"/>
    </row>
    <row r="26" spans="1:9">
      <c r="A26" s="3" t="s">
        <v>993</v>
      </c>
      <c r="B26" s="3"/>
      <c r="C26" s="3"/>
      <c r="D26" s="3"/>
      <c r="E26" s="3"/>
      <c r="F26" s="4"/>
      <c r="G26" s="3"/>
      <c r="H26" s="6"/>
      <c r="I26" s="3"/>
    </row>
    <row r="27" spans="1:9">
      <c r="A27" s="3" t="s">
        <v>994</v>
      </c>
      <c r="B27" s="3"/>
      <c r="C27" s="3"/>
      <c r="D27" s="3"/>
      <c r="E27" s="3"/>
      <c r="F27" s="4"/>
      <c r="G27" s="3"/>
      <c r="H27" s="6"/>
      <c r="I27" s="3"/>
    </row>
    <row r="28" spans="1:9">
      <c r="A28" s="3" t="s">
        <v>995</v>
      </c>
      <c r="B28" s="3"/>
      <c r="C28" s="3"/>
      <c r="D28" s="3"/>
      <c r="E28" s="3"/>
      <c r="F28" s="4"/>
      <c r="G28" s="3"/>
      <c r="H28" s="6"/>
      <c r="I28" s="3"/>
    </row>
    <row r="29" spans="1:9">
      <c r="A29" s="3" t="s">
        <v>996</v>
      </c>
      <c r="B29" s="3"/>
      <c r="C29" s="3"/>
      <c r="D29" s="3"/>
      <c r="E29" s="3"/>
      <c r="F29" s="4"/>
      <c r="G29" s="3"/>
      <c r="H29" s="6"/>
      <c r="I29" s="3"/>
    </row>
    <row r="30" spans="1:9">
      <c r="A30" s="3" t="s">
        <v>997</v>
      </c>
      <c r="B30" s="3"/>
      <c r="C30" s="3"/>
      <c r="D30" s="3"/>
      <c r="E30" s="3"/>
      <c r="F30" s="4"/>
      <c r="G30" s="3"/>
      <c r="H30" s="6"/>
      <c r="I30" s="3"/>
    </row>
    <row r="31" spans="1:9">
      <c r="A31" s="3" t="s">
        <v>998</v>
      </c>
      <c r="B31" s="3"/>
      <c r="C31" s="3"/>
      <c r="D31" s="3"/>
      <c r="E31" s="3"/>
      <c r="F31" s="4"/>
      <c r="G31" s="3"/>
      <c r="H31" s="6"/>
      <c r="I31" s="3"/>
    </row>
    <row r="32" spans="1:9">
      <c r="A32" s="3" t="s">
        <v>999</v>
      </c>
      <c r="B32" s="3"/>
      <c r="C32" s="3"/>
      <c r="D32" s="3"/>
      <c r="E32" s="3"/>
      <c r="F32" s="4"/>
      <c r="G32" s="3"/>
      <c r="H32" s="6"/>
      <c r="I32" s="3"/>
    </row>
    <row r="33" spans="1:9">
      <c r="A33" s="3" t="s">
        <v>1000</v>
      </c>
      <c r="B33" s="3"/>
      <c r="C33" s="3"/>
      <c r="D33" s="3"/>
      <c r="E33" s="3"/>
      <c r="F33" s="4"/>
      <c r="G33" s="3"/>
      <c r="H33" s="6"/>
      <c r="I33" s="3"/>
    </row>
    <row r="34" spans="1:9">
      <c r="A34" s="3" t="s">
        <v>1001</v>
      </c>
      <c r="B34" s="3"/>
      <c r="C34" s="3"/>
      <c r="D34" s="3"/>
      <c r="E34" s="3"/>
      <c r="F34" s="4"/>
      <c r="G34" s="3"/>
      <c r="H34" s="6"/>
      <c r="I34" s="3"/>
    </row>
    <row r="35" spans="1:9">
      <c r="A35" s="3" t="s">
        <v>1002</v>
      </c>
      <c r="B35" s="3"/>
      <c r="C35" s="3"/>
      <c r="D35" s="3"/>
      <c r="E35" s="3"/>
      <c r="F35" s="4"/>
      <c r="G35" s="3"/>
      <c r="H35" s="6"/>
      <c r="I35" s="3"/>
    </row>
    <row r="36" spans="1:9">
      <c r="A36" s="3" t="s">
        <v>1003</v>
      </c>
      <c r="B36" s="3"/>
      <c r="C36" s="3"/>
      <c r="D36" s="3"/>
      <c r="E36" s="3"/>
      <c r="F36" s="4"/>
      <c r="G36" s="3"/>
      <c r="H36" s="6"/>
      <c r="I36" s="3"/>
    </row>
    <row r="37" spans="1:9">
      <c r="A37" s="3" t="s">
        <v>1004</v>
      </c>
      <c r="B37" s="3"/>
      <c r="C37" s="3"/>
      <c r="D37" s="3"/>
      <c r="E37" s="3"/>
      <c r="F37" s="4"/>
      <c r="G37" s="3"/>
      <c r="H37" s="6"/>
      <c r="I37" s="3"/>
    </row>
    <row r="38" spans="1:9">
      <c r="A38" s="3" t="s">
        <v>1005</v>
      </c>
      <c r="B38" s="3"/>
      <c r="C38" s="3"/>
      <c r="D38" s="3"/>
      <c r="E38" s="3"/>
      <c r="F38" s="4"/>
      <c r="G38" s="3"/>
      <c r="H38" s="6"/>
      <c r="I38" s="3"/>
    </row>
    <row r="39" spans="1:9">
      <c r="A39" s="3" t="s">
        <v>1006</v>
      </c>
      <c r="B39" s="3"/>
      <c r="C39" s="3"/>
      <c r="D39" s="3"/>
      <c r="E39" s="3"/>
      <c r="F39" s="4"/>
      <c r="G39" s="3"/>
      <c r="H39" s="6"/>
      <c r="I39" s="3"/>
    </row>
    <row r="40" spans="1:9">
      <c r="A40" s="3" t="s">
        <v>1007</v>
      </c>
      <c r="B40" s="3"/>
      <c r="C40" s="3"/>
      <c r="D40" s="3"/>
      <c r="E40" s="3"/>
      <c r="F40" s="4"/>
      <c r="G40" s="3"/>
      <c r="H40" s="6"/>
      <c r="I40" s="3"/>
    </row>
    <row r="41" spans="1:9">
      <c r="A41" s="3" t="s">
        <v>1008</v>
      </c>
      <c r="B41" s="3"/>
      <c r="C41" s="3"/>
      <c r="D41" s="3"/>
      <c r="E41" s="3"/>
      <c r="F41" s="4"/>
      <c r="G41" s="3"/>
      <c r="H41" s="6"/>
      <c r="I41" s="3"/>
    </row>
    <row r="42" spans="1:9">
      <c r="A42" s="3" t="s">
        <v>1009</v>
      </c>
      <c r="B42" s="3"/>
      <c r="C42" s="3"/>
      <c r="D42" s="3"/>
      <c r="E42" s="3"/>
      <c r="F42" s="4"/>
      <c r="G42" s="3"/>
      <c r="H42" s="6"/>
      <c r="I42" s="3"/>
    </row>
    <row r="43" spans="1:9">
      <c r="A43" s="3" t="s">
        <v>1010</v>
      </c>
      <c r="B43" s="3"/>
      <c r="C43" s="3"/>
      <c r="D43" s="3"/>
      <c r="E43" s="3"/>
      <c r="F43" s="4"/>
      <c r="G43" s="3"/>
      <c r="H43" s="6"/>
      <c r="I43" s="3"/>
    </row>
    <row r="44" spans="1:9">
      <c r="A44" s="3" t="s">
        <v>1011</v>
      </c>
      <c r="B44" s="3"/>
      <c r="C44" s="3"/>
      <c r="D44" s="3"/>
      <c r="E44" s="3"/>
      <c r="F44" s="4"/>
      <c r="G44" s="3"/>
      <c r="H44" s="6"/>
      <c r="I44" s="3"/>
    </row>
    <row r="45" spans="1:9">
      <c r="A45" s="3" t="s">
        <v>1012</v>
      </c>
      <c r="B45" s="3"/>
      <c r="C45" s="3"/>
      <c r="D45" s="3"/>
      <c r="E45" s="3"/>
      <c r="F45" s="4"/>
      <c r="G45" s="3"/>
      <c r="H45" s="6"/>
      <c r="I45" s="3"/>
    </row>
    <row r="46" spans="1:9">
      <c r="A46" s="3" t="s">
        <v>1013</v>
      </c>
      <c r="B46" s="3"/>
      <c r="C46" s="3"/>
      <c r="D46" s="3"/>
      <c r="E46" s="3"/>
      <c r="F46" s="4"/>
      <c r="G46" s="3"/>
      <c r="H46" s="6"/>
      <c r="I46" s="3"/>
    </row>
    <row r="47" spans="1:9">
      <c r="A47" s="3" t="s">
        <v>1014</v>
      </c>
      <c r="B47" s="3"/>
      <c r="C47" s="3"/>
      <c r="D47" s="3"/>
      <c r="E47" s="3"/>
      <c r="F47" s="4"/>
      <c r="G47" s="3"/>
      <c r="H47" s="6"/>
      <c r="I47" s="3"/>
    </row>
    <row r="48" spans="1:9">
      <c r="A48" s="3" t="s">
        <v>1015</v>
      </c>
      <c r="B48" s="3"/>
      <c r="C48" s="3"/>
      <c r="D48" s="3"/>
      <c r="E48" s="3"/>
      <c r="F48" s="4"/>
      <c r="G48" s="3"/>
      <c r="H48" s="6"/>
      <c r="I48" s="3"/>
    </row>
    <row r="49" spans="1:9">
      <c r="A49" s="3" t="s">
        <v>1016</v>
      </c>
      <c r="B49" s="3"/>
      <c r="C49" s="3"/>
      <c r="D49" s="3"/>
      <c r="E49" s="3"/>
      <c r="F49" s="4"/>
      <c r="G49" s="3"/>
      <c r="H49" s="6"/>
      <c r="I49" s="3"/>
    </row>
    <row r="50" spans="1:9">
      <c r="A50" s="3" t="s">
        <v>1017</v>
      </c>
      <c r="B50" s="3"/>
      <c r="C50" s="3"/>
      <c r="D50" s="3"/>
      <c r="E50" s="3"/>
      <c r="F50" s="4"/>
      <c r="G50" s="3"/>
      <c r="H50" s="6"/>
      <c r="I50" s="3"/>
    </row>
    <row r="51" spans="1:9">
      <c r="A51" s="3" t="s">
        <v>1018</v>
      </c>
      <c r="B51" s="3"/>
      <c r="C51" s="3"/>
      <c r="D51" s="3"/>
      <c r="E51" s="3"/>
      <c r="F51" s="4"/>
      <c r="G51" s="3"/>
      <c r="H51" s="6"/>
      <c r="I51" s="3"/>
    </row>
    <row r="52" spans="1:9">
      <c r="A52" s="3" t="s">
        <v>1019</v>
      </c>
      <c r="B52" s="3"/>
      <c r="C52" s="3"/>
      <c r="D52" s="3"/>
      <c r="E52" s="3"/>
      <c r="F52" s="4"/>
      <c r="G52" s="3"/>
      <c r="H52" s="6"/>
      <c r="I52" s="3"/>
    </row>
    <row r="53" spans="1:9">
      <c r="A53" s="3" t="s">
        <v>1020</v>
      </c>
      <c r="B53" s="3"/>
      <c r="C53" s="3"/>
      <c r="D53" s="3"/>
      <c r="E53" s="3"/>
      <c r="F53" s="4"/>
      <c r="G53" s="3"/>
      <c r="H53" s="6"/>
      <c r="I53" s="3"/>
    </row>
    <row r="54" spans="1:9">
      <c r="A54" s="3" t="s">
        <v>1021</v>
      </c>
      <c r="B54" s="3"/>
      <c r="C54" s="3"/>
      <c r="D54" s="3"/>
      <c r="E54" s="3"/>
      <c r="F54" s="4"/>
      <c r="G54" s="3"/>
      <c r="H54" s="6"/>
      <c r="I54" s="3"/>
    </row>
    <row r="55" spans="1:9">
      <c r="A55" s="3" t="s">
        <v>1022</v>
      </c>
      <c r="B55" s="3"/>
      <c r="C55" s="3"/>
      <c r="D55" s="3"/>
      <c r="E55" s="3"/>
      <c r="F55" s="4"/>
      <c r="G55" s="3"/>
      <c r="H55" s="6"/>
      <c r="I55" s="3"/>
    </row>
    <row r="56" spans="1:9">
      <c r="A56" s="3" t="s">
        <v>1023</v>
      </c>
      <c r="B56" s="3"/>
      <c r="C56" s="3"/>
      <c r="D56" s="3"/>
      <c r="E56" s="3"/>
      <c r="F56" s="4"/>
      <c r="G56" s="3"/>
      <c r="H56" s="6"/>
      <c r="I56" s="3"/>
    </row>
    <row r="57" spans="1:9">
      <c r="A57" s="3" t="s">
        <v>1024</v>
      </c>
      <c r="B57" s="3"/>
      <c r="C57" s="3"/>
      <c r="D57" s="3"/>
      <c r="E57" s="3"/>
      <c r="F57" s="4"/>
      <c r="G57" s="3"/>
      <c r="H57" s="6"/>
      <c r="I57" s="3"/>
    </row>
    <row r="58" spans="1:9">
      <c r="A58" s="3" t="s">
        <v>1025</v>
      </c>
      <c r="B58" s="3"/>
      <c r="C58" s="3"/>
      <c r="D58" s="3"/>
      <c r="E58" s="3"/>
      <c r="F58" s="4"/>
      <c r="G58" s="3"/>
      <c r="H58" s="6"/>
      <c r="I58" s="3"/>
    </row>
    <row r="59" spans="1:9">
      <c r="A59" s="3" t="s">
        <v>1026</v>
      </c>
      <c r="B59" s="3"/>
      <c r="C59" s="3"/>
      <c r="D59" s="3"/>
      <c r="E59" s="3"/>
      <c r="F59" s="4"/>
      <c r="G59" s="3"/>
      <c r="H59" s="6"/>
      <c r="I59" s="3"/>
    </row>
    <row r="60" spans="1:9">
      <c r="A60" s="3" t="s">
        <v>1027</v>
      </c>
      <c r="B60" s="3"/>
      <c r="C60" s="3"/>
      <c r="D60" s="3"/>
      <c r="E60" s="3"/>
      <c r="F60" s="4"/>
      <c r="G60" s="3"/>
      <c r="H60" s="6"/>
      <c r="I60" s="3"/>
    </row>
    <row r="61" spans="1:9">
      <c r="A61" s="3" t="s">
        <v>1028</v>
      </c>
      <c r="B61" s="3"/>
      <c r="C61" s="3"/>
      <c r="D61" s="3"/>
      <c r="E61" s="3"/>
      <c r="F61" s="4"/>
      <c r="G61" s="3"/>
      <c r="H61" s="6"/>
      <c r="I61" s="3"/>
    </row>
    <row r="62" spans="1:9">
      <c r="A62" s="3" t="s">
        <v>1029</v>
      </c>
      <c r="B62" s="3"/>
      <c r="C62" s="3"/>
      <c r="D62" s="3"/>
      <c r="E62" s="3"/>
      <c r="F62" s="4"/>
      <c r="G62" s="3"/>
      <c r="H62" s="6"/>
      <c r="I62" s="3"/>
    </row>
    <row r="63" spans="1:9">
      <c r="A63" s="3" t="s">
        <v>1030</v>
      </c>
      <c r="B63" s="3"/>
      <c r="C63" s="3"/>
      <c r="D63" s="3"/>
      <c r="E63" s="3"/>
      <c r="F63" s="4"/>
      <c r="G63" s="3"/>
      <c r="H63" s="6"/>
      <c r="I63" s="3"/>
    </row>
    <row r="64" spans="1:9">
      <c r="A64" s="3" t="s">
        <v>1031</v>
      </c>
      <c r="B64" s="3"/>
      <c r="C64" s="3"/>
      <c r="D64" s="3"/>
      <c r="E64" s="3"/>
      <c r="F64" s="4"/>
      <c r="G64" s="3"/>
      <c r="H64" s="6"/>
      <c r="I64" s="3"/>
    </row>
    <row r="65" spans="1:9">
      <c r="A65" s="3" t="s">
        <v>1032</v>
      </c>
      <c r="B65" s="3"/>
      <c r="C65" s="3"/>
      <c r="D65" s="3"/>
      <c r="E65" s="3"/>
      <c r="F65" s="4"/>
      <c r="G65" s="3"/>
      <c r="H65" s="6"/>
      <c r="I65" s="3"/>
    </row>
    <row r="66" spans="1:9">
      <c r="A66" s="3" t="s">
        <v>1033</v>
      </c>
      <c r="B66" s="3"/>
      <c r="C66" s="3"/>
      <c r="D66" s="3"/>
      <c r="E66" s="3"/>
      <c r="F66" s="4"/>
      <c r="G66" s="3"/>
      <c r="H66" s="6"/>
      <c r="I66" s="3"/>
    </row>
    <row r="67" spans="1:9">
      <c r="A67" s="3" t="s">
        <v>1034</v>
      </c>
      <c r="B67" s="3"/>
      <c r="C67" s="3"/>
      <c r="D67" s="3"/>
      <c r="E67" s="3"/>
      <c r="F67" s="4"/>
      <c r="G67" s="3"/>
      <c r="H67" s="6"/>
      <c r="I67" s="3"/>
    </row>
    <row r="68" spans="1:9">
      <c r="A68" s="3" t="s">
        <v>1035</v>
      </c>
      <c r="B68" s="3"/>
      <c r="C68" s="3"/>
      <c r="D68" s="3"/>
      <c r="E68" s="3"/>
      <c r="F68" s="4"/>
      <c r="G68" s="3"/>
      <c r="H68" s="6"/>
      <c r="I68" s="3"/>
    </row>
    <row r="69" spans="1:9">
      <c r="A69" s="3" t="s">
        <v>1036</v>
      </c>
      <c r="B69" s="3"/>
      <c r="C69" s="3"/>
      <c r="D69" s="3"/>
      <c r="E69" s="3"/>
      <c r="F69" s="4"/>
      <c r="G69" s="3"/>
      <c r="H69" s="6"/>
      <c r="I69" s="3"/>
    </row>
    <row r="70" spans="1:9">
      <c r="A70" s="3" t="s">
        <v>1037</v>
      </c>
      <c r="B70" s="3"/>
      <c r="C70" s="3"/>
      <c r="D70" s="3"/>
      <c r="E70" s="3"/>
      <c r="F70" s="4"/>
      <c r="G70" s="3"/>
      <c r="H70" s="6"/>
      <c r="I70" s="3"/>
    </row>
    <row r="71" spans="1:9">
      <c r="A71" s="3" t="s">
        <v>1038</v>
      </c>
      <c r="B71" s="3"/>
      <c r="C71" s="3"/>
      <c r="D71" s="3"/>
      <c r="E71" s="3"/>
      <c r="F71" s="4"/>
      <c r="G71" s="3"/>
      <c r="H71" s="6"/>
      <c r="I71" s="3"/>
    </row>
    <row r="72" spans="1:9">
      <c r="A72" s="3" t="s">
        <v>1039</v>
      </c>
      <c r="B72" s="3"/>
      <c r="C72" s="3"/>
      <c r="D72" s="3"/>
      <c r="E72" s="3"/>
      <c r="F72" s="4"/>
      <c r="G72" s="3"/>
      <c r="H72" s="6"/>
      <c r="I72" s="3"/>
    </row>
    <row r="73" spans="1:9">
      <c r="A73" s="3" t="s">
        <v>1040</v>
      </c>
      <c r="B73" s="3"/>
      <c r="C73" s="3"/>
      <c r="D73" s="3"/>
      <c r="E73" s="3"/>
      <c r="F73" s="4"/>
      <c r="G73" s="3"/>
      <c r="H73" s="6"/>
      <c r="I73" s="3"/>
    </row>
    <row r="74" spans="1:9">
      <c r="A74" s="3" t="s">
        <v>1041</v>
      </c>
      <c r="B74" s="3"/>
      <c r="C74" s="3"/>
      <c r="D74" s="3"/>
      <c r="E74" s="3"/>
      <c r="F74" s="4"/>
      <c r="G74" s="3"/>
      <c r="H74" s="6"/>
      <c r="I74" s="3"/>
    </row>
    <row r="75" spans="1:9">
      <c r="A75" s="3" t="s">
        <v>1042</v>
      </c>
      <c r="B75" s="3"/>
      <c r="C75" s="3"/>
      <c r="D75" s="3"/>
      <c r="E75" s="3"/>
      <c r="F75" s="4"/>
      <c r="G75" s="3"/>
      <c r="H75" s="6"/>
      <c r="I75" s="3"/>
    </row>
    <row r="76" spans="1:9">
      <c r="A76" s="3" t="s">
        <v>1043</v>
      </c>
      <c r="B76" s="3"/>
      <c r="C76" s="3"/>
      <c r="D76" s="3"/>
      <c r="E76" s="3"/>
      <c r="F76" s="4"/>
      <c r="G76" s="3"/>
      <c r="H76" s="6"/>
      <c r="I76" s="3"/>
    </row>
    <row r="77" spans="1:9">
      <c r="A77" s="3" t="s">
        <v>1044</v>
      </c>
      <c r="B77" s="3"/>
      <c r="C77" s="3"/>
      <c r="D77" s="3"/>
      <c r="E77" s="3"/>
      <c r="F77" s="4"/>
      <c r="G77" s="3"/>
      <c r="H77" s="6"/>
      <c r="I77" s="3"/>
    </row>
    <row r="78" spans="1:9">
      <c r="A78" s="3" t="s">
        <v>1045</v>
      </c>
      <c r="B78" s="3"/>
      <c r="C78" s="3"/>
      <c r="D78" s="3"/>
      <c r="E78" s="3"/>
      <c r="F78" s="4"/>
      <c r="G78" s="3"/>
      <c r="H78" s="6"/>
      <c r="I78" s="3"/>
    </row>
    <row r="79" spans="1:9">
      <c r="A79" s="3" t="s">
        <v>1046</v>
      </c>
      <c r="B79" s="3"/>
      <c r="C79" s="3"/>
      <c r="D79" s="3"/>
      <c r="E79" s="3"/>
      <c r="F79" s="4"/>
      <c r="G79" s="3"/>
      <c r="H79" s="6"/>
      <c r="I79" s="3"/>
    </row>
    <row r="80" spans="1:9">
      <c r="A80" s="3" t="s">
        <v>1047</v>
      </c>
      <c r="B80" s="3"/>
      <c r="C80" s="3"/>
      <c r="D80" s="3"/>
      <c r="E80" s="3"/>
      <c r="F80" s="4"/>
      <c r="G80" s="3"/>
      <c r="H80" s="6"/>
      <c r="I80" s="3"/>
    </row>
    <row r="81" spans="1:9">
      <c r="A81" s="3" t="s">
        <v>1048</v>
      </c>
      <c r="B81" s="3"/>
      <c r="C81" s="3"/>
      <c r="D81" s="3"/>
      <c r="E81" s="3"/>
      <c r="F81" s="4"/>
      <c r="G81" s="3"/>
      <c r="H81" s="6"/>
      <c r="I81" s="3"/>
    </row>
    <row r="82" spans="1:9">
      <c r="A82" s="3" t="s">
        <v>1049</v>
      </c>
      <c r="B82" s="3"/>
      <c r="C82" s="3"/>
      <c r="D82" s="3"/>
      <c r="E82" s="3"/>
      <c r="F82" s="4"/>
      <c r="G82" s="3"/>
      <c r="H82" s="6"/>
      <c r="I82" s="3"/>
    </row>
    <row r="83" spans="1:9">
      <c r="A83" s="3" t="s">
        <v>1050</v>
      </c>
      <c r="B83" s="3"/>
      <c r="C83" s="3"/>
      <c r="D83" s="3"/>
      <c r="E83" s="3"/>
      <c r="F83" s="4"/>
      <c r="G83" s="3"/>
      <c r="H83" s="6"/>
      <c r="I83" s="3"/>
    </row>
    <row r="84" spans="1:9">
      <c r="A84" s="3" t="s">
        <v>1051</v>
      </c>
      <c r="B84" s="3"/>
      <c r="C84" s="3"/>
      <c r="D84" s="3"/>
      <c r="E84" s="3"/>
      <c r="F84" s="4"/>
      <c r="G84" s="3"/>
      <c r="H84" s="6"/>
      <c r="I84" s="3"/>
    </row>
    <row r="85" spans="1:9">
      <c r="A85" s="3" t="s">
        <v>1052</v>
      </c>
      <c r="B85" s="3"/>
      <c r="C85" s="3"/>
      <c r="D85" s="3"/>
      <c r="E85" s="3"/>
      <c r="F85" s="4"/>
      <c r="G85" s="3"/>
      <c r="H85" s="6"/>
      <c r="I85" s="3"/>
    </row>
    <row r="86" spans="1:9">
      <c r="A86" s="3" t="s">
        <v>1053</v>
      </c>
      <c r="B86" s="3"/>
      <c r="C86" s="3"/>
      <c r="D86" s="3"/>
      <c r="E86" s="3"/>
      <c r="F86" s="4"/>
      <c r="G86" s="3"/>
      <c r="H86" s="6"/>
      <c r="I86" s="3"/>
    </row>
    <row r="87" spans="1:9">
      <c r="A87" s="3" t="s">
        <v>1054</v>
      </c>
      <c r="B87" s="3"/>
      <c r="C87" s="3"/>
      <c r="D87" s="3"/>
      <c r="E87" s="3"/>
      <c r="F87" s="4"/>
      <c r="G87" s="3"/>
      <c r="H87" s="6"/>
      <c r="I87" s="3"/>
    </row>
    <row r="88" spans="1:9">
      <c r="A88" s="3" t="s">
        <v>1055</v>
      </c>
      <c r="B88" s="3"/>
      <c r="C88" s="3"/>
      <c r="D88" s="3"/>
      <c r="E88" s="3"/>
      <c r="F88" s="4"/>
      <c r="G88" s="3"/>
      <c r="H88" s="6"/>
      <c r="I88" s="3"/>
    </row>
    <row r="89" spans="1:9">
      <c r="A89" s="3" t="s">
        <v>1056</v>
      </c>
      <c r="B89" s="3"/>
      <c r="C89" s="3"/>
      <c r="D89" s="3"/>
      <c r="E89" s="3"/>
      <c r="F89" s="4"/>
      <c r="G89" s="3"/>
      <c r="H89" s="6"/>
      <c r="I89" s="3"/>
    </row>
    <row r="90" spans="1:9">
      <c r="A90" s="3" t="s">
        <v>1057</v>
      </c>
      <c r="B90" s="3"/>
      <c r="C90" s="3"/>
      <c r="D90" s="3"/>
      <c r="E90" s="3"/>
      <c r="F90" s="4"/>
      <c r="G90" s="3"/>
      <c r="H90" s="6"/>
      <c r="I90" s="3"/>
    </row>
    <row r="91" spans="1:9">
      <c r="A91" s="3" t="s">
        <v>1058</v>
      </c>
      <c r="B91" s="3"/>
      <c r="C91" s="3"/>
      <c r="D91" s="3"/>
      <c r="E91" s="3"/>
      <c r="F91" s="4"/>
      <c r="G91" s="3"/>
      <c r="H91" s="6"/>
      <c r="I91" s="3"/>
    </row>
    <row r="92" spans="1:9">
      <c r="A92" s="3" t="s">
        <v>1059</v>
      </c>
      <c r="B92" s="3"/>
      <c r="C92" s="3"/>
      <c r="D92" s="3"/>
      <c r="E92" s="3"/>
      <c r="F92" s="4"/>
      <c r="G92" s="3"/>
      <c r="H92" s="6"/>
      <c r="I92" s="3"/>
    </row>
    <row r="93" spans="1:9">
      <c r="A93" s="3" t="s">
        <v>1060</v>
      </c>
      <c r="B93" s="3"/>
      <c r="C93" s="3"/>
      <c r="D93" s="3"/>
      <c r="E93" s="3"/>
      <c r="F93" s="4"/>
      <c r="G93" s="3"/>
      <c r="H93" s="6"/>
      <c r="I93" s="3"/>
    </row>
    <row r="94" spans="1:9">
      <c r="A94" s="3" t="s">
        <v>1061</v>
      </c>
      <c r="B94" s="3"/>
      <c r="C94" s="3"/>
      <c r="D94" s="3"/>
      <c r="E94" s="3"/>
      <c r="F94" s="4"/>
      <c r="G94" s="3"/>
      <c r="H94" s="6"/>
      <c r="I94" s="3"/>
    </row>
    <row r="95" spans="1:9">
      <c r="A95" s="3" t="s">
        <v>1062</v>
      </c>
      <c r="B95" s="3"/>
      <c r="C95" s="3"/>
      <c r="D95" s="3"/>
      <c r="E95" s="3"/>
      <c r="F95" s="4"/>
      <c r="G95" s="3"/>
      <c r="H95" s="6"/>
      <c r="I95" s="3"/>
    </row>
    <row r="96" spans="1:9">
      <c r="A96" s="3" t="s">
        <v>1063</v>
      </c>
      <c r="B96" s="3"/>
      <c r="C96" s="3"/>
      <c r="D96" s="3"/>
      <c r="E96" s="3"/>
      <c r="F96" s="4"/>
      <c r="G96" s="3"/>
      <c r="H96" s="6"/>
      <c r="I96" s="3"/>
    </row>
    <row r="97" spans="1:9">
      <c r="A97" s="3" t="s">
        <v>1064</v>
      </c>
      <c r="B97" s="3"/>
      <c r="C97" s="3"/>
      <c r="D97" s="3"/>
      <c r="E97" s="3"/>
      <c r="F97" s="4"/>
      <c r="G97" s="3"/>
      <c r="H97" s="6"/>
      <c r="I97" s="3"/>
    </row>
    <row r="98" spans="1:9">
      <c r="A98" s="3" t="s">
        <v>1065</v>
      </c>
      <c r="B98" s="3"/>
      <c r="C98" s="3"/>
      <c r="D98" s="3"/>
      <c r="E98" s="3"/>
      <c r="F98" s="4"/>
      <c r="G98" s="3"/>
      <c r="H98" s="6"/>
      <c r="I98" s="3"/>
    </row>
    <row r="99" spans="1:9">
      <c r="A99" s="3" t="s">
        <v>1066</v>
      </c>
      <c r="B99" s="3"/>
      <c r="C99" s="3"/>
      <c r="D99" s="3"/>
      <c r="E99" s="3"/>
      <c r="F99" s="4"/>
      <c r="G99" s="3"/>
      <c r="H99" s="6"/>
      <c r="I99" s="3"/>
    </row>
    <row r="100" spans="1:9">
      <c r="A100" s="3" t="s">
        <v>1067</v>
      </c>
      <c r="B100" s="3"/>
      <c r="C100" s="3"/>
      <c r="D100" s="3"/>
      <c r="E100" s="3"/>
      <c r="F100" s="4"/>
      <c r="G100" s="3"/>
      <c r="H100" s="6"/>
      <c r="I100" s="3"/>
    </row>
    <row r="101" spans="1:9">
      <c r="A101" s="3"/>
      <c r="B101" s="3"/>
      <c r="C101" s="3"/>
      <c r="D101" s="3"/>
      <c r="E101" s="3"/>
      <c r="F101" s="4"/>
      <c r="G101" s="3"/>
      <c r="H101" s="6"/>
      <c r="I101" s="3"/>
    </row>
    <row r="102" spans="1:9">
      <c r="A102" s="3"/>
      <c r="B102" s="3"/>
      <c r="C102" s="3"/>
      <c r="D102" s="3"/>
      <c r="E102" s="3"/>
      <c r="F102" s="4"/>
      <c r="G102" s="3"/>
      <c r="H102" s="6"/>
      <c r="I102" s="3"/>
    </row>
    <row r="103" spans="1:9">
      <c r="A103" s="3"/>
      <c r="B103" s="3"/>
      <c r="C103" s="3"/>
      <c r="D103" s="3"/>
      <c r="E103" s="3"/>
      <c r="F103" s="4"/>
      <c r="G103" s="3"/>
      <c r="H103" s="6"/>
      <c r="I103" s="3"/>
    </row>
    <row r="104" spans="1:9">
      <c r="A104" s="3"/>
      <c r="B104" s="3"/>
      <c r="C104" s="3"/>
      <c r="D104" s="3"/>
      <c r="E104" s="3"/>
      <c r="F104" s="4"/>
      <c r="G104" s="3"/>
      <c r="H104" s="6"/>
      <c r="I104" s="3"/>
    </row>
    <row r="105" spans="1:9">
      <c r="A105" s="3"/>
      <c r="B105" s="3"/>
      <c r="C105" s="3"/>
      <c r="D105" s="3"/>
      <c r="E105" s="3"/>
      <c r="F105" s="4"/>
      <c r="G105" s="3"/>
      <c r="H105" s="6"/>
      <c r="I105" s="3"/>
    </row>
    <row r="106" spans="1:9">
      <c r="A106" s="3"/>
      <c r="B106" s="3"/>
      <c r="C106" s="3"/>
      <c r="D106" s="3"/>
      <c r="E106" s="3"/>
      <c r="F106" s="4"/>
      <c r="G106" s="3"/>
      <c r="H106" s="6"/>
      <c r="I106" s="3"/>
    </row>
    <row r="107" spans="1:9">
      <c r="A107" s="3"/>
      <c r="B107" s="3"/>
      <c r="C107" s="3"/>
      <c r="D107" s="3"/>
      <c r="E107" s="3"/>
      <c r="F107" s="4"/>
      <c r="G107" s="3"/>
      <c r="H107" s="6"/>
      <c r="I107" s="3"/>
    </row>
    <row r="108" spans="1:9">
      <c r="A108" s="3"/>
      <c r="B108" s="3"/>
      <c r="C108" s="3"/>
      <c r="D108" s="3"/>
      <c r="E108" s="3"/>
      <c r="F108" s="4"/>
      <c r="G108" s="3"/>
      <c r="H108" s="6"/>
      <c r="I108" s="3"/>
    </row>
    <row r="109" spans="1:9">
      <c r="A109" s="3"/>
      <c r="B109" s="3"/>
      <c r="C109" s="3"/>
      <c r="D109" s="3"/>
      <c r="E109" s="3"/>
      <c r="F109" s="4"/>
      <c r="G109" s="3"/>
      <c r="H109" s="6"/>
      <c r="I109" s="3"/>
    </row>
    <row r="110" spans="1:9">
      <c r="A110" s="3"/>
      <c r="B110" s="3"/>
      <c r="C110" s="3"/>
      <c r="D110" s="3"/>
      <c r="E110" s="3"/>
      <c r="F110" s="4"/>
      <c r="G110" s="3"/>
      <c r="H110" s="6"/>
      <c r="I110" s="3"/>
    </row>
    <row r="111" spans="1:9">
      <c r="A111" s="3"/>
      <c r="B111" s="3"/>
      <c r="C111" s="3"/>
      <c r="D111" s="3"/>
      <c r="E111" s="3"/>
      <c r="F111" s="4"/>
      <c r="G111" s="3"/>
      <c r="H111" s="6"/>
      <c r="I111" s="3"/>
    </row>
    <row r="112" spans="1:9">
      <c r="A112" s="3"/>
      <c r="B112" s="3"/>
      <c r="C112" s="3"/>
      <c r="D112" s="3"/>
      <c r="E112" s="3"/>
      <c r="F112" s="4"/>
      <c r="G112" s="3"/>
      <c r="H112" s="6"/>
      <c r="I112" s="3"/>
    </row>
    <row r="113" spans="1:9">
      <c r="A113" s="3"/>
      <c r="B113" s="3"/>
      <c r="C113" s="3"/>
      <c r="D113" s="3"/>
      <c r="E113" s="3"/>
      <c r="F113" s="4"/>
      <c r="G113" s="3"/>
      <c r="H113" s="6"/>
      <c r="I113" s="3"/>
    </row>
    <row r="114" spans="1:9">
      <c r="A114" s="3"/>
      <c r="B114" s="3"/>
      <c r="C114" s="3"/>
      <c r="D114" s="3"/>
      <c r="E114" s="3"/>
      <c r="F114" s="4"/>
      <c r="G114" s="3"/>
      <c r="H114" s="6"/>
      <c r="I114" s="3"/>
    </row>
    <row r="115" spans="1:9">
      <c r="A115" s="3"/>
      <c r="B115" s="3"/>
      <c r="C115" s="3"/>
      <c r="D115" s="3"/>
      <c r="E115" s="3"/>
      <c r="F115" s="4"/>
      <c r="G115" s="3"/>
      <c r="H115" s="6"/>
      <c r="I115" s="3"/>
    </row>
    <row r="116" spans="1:9">
      <c r="A116" s="3"/>
      <c r="B116" s="3"/>
      <c r="C116" s="3"/>
      <c r="D116" s="3"/>
      <c r="E116" s="3"/>
      <c r="F116" s="4"/>
      <c r="G116" s="3"/>
      <c r="H116" s="6"/>
      <c r="I116" s="3"/>
    </row>
    <row r="117" spans="1:9">
      <c r="A117" s="3"/>
      <c r="B117" s="3"/>
      <c r="C117" s="3"/>
      <c r="D117" s="3"/>
      <c r="E117" s="3"/>
      <c r="F117" s="4"/>
      <c r="G117" s="3"/>
      <c r="H117" s="6"/>
      <c r="I117" s="3"/>
    </row>
    <row r="118" spans="1:9">
      <c r="A118" s="3"/>
      <c r="B118" s="3"/>
      <c r="C118" s="3"/>
      <c r="D118" s="3"/>
      <c r="E118" s="3"/>
      <c r="F118" s="4"/>
      <c r="G118" s="3"/>
      <c r="H118" s="6"/>
      <c r="I118" s="3"/>
    </row>
    <row r="119" spans="1:9">
      <c r="A119" s="3"/>
      <c r="B119" s="3"/>
      <c r="C119" s="3"/>
      <c r="D119" s="3"/>
      <c r="E119" s="3"/>
      <c r="F119" s="4"/>
      <c r="G119" s="3"/>
      <c r="H119" s="6"/>
      <c r="I119" s="3"/>
    </row>
    <row r="120" spans="1:9">
      <c r="A120" s="3"/>
      <c r="B120" s="3"/>
      <c r="C120" s="3"/>
      <c r="D120" s="3"/>
      <c r="E120" s="3"/>
      <c r="F120" s="4"/>
      <c r="G120" s="3"/>
      <c r="H120" s="6"/>
      <c r="I120" s="3"/>
    </row>
    <row r="121" spans="1:9">
      <c r="A121" s="3"/>
      <c r="B121" s="3"/>
      <c r="C121" s="3"/>
      <c r="D121" s="3"/>
      <c r="E121" s="3"/>
      <c r="F121" s="4"/>
      <c r="G121" s="3"/>
      <c r="H121" s="6"/>
      <c r="I121" s="3"/>
    </row>
    <row r="122" spans="1:9">
      <c r="A122" s="3"/>
      <c r="B122" s="3"/>
      <c r="C122" s="3"/>
      <c r="D122" s="3"/>
      <c r="E122" s="3"/>
      <c r="F122" s="4"/>
      <c r="G122" s="3"/>
      <c r="H122" s="6"/>
      <c r="I122" s="3"/>
    </row>
    <row r="123" spans="1:9">
      <c r="A123" s="3"/>
      <c r="B123" s="3"/>
      <c r="C123" s="3"/>
      <c r="D123" s="3"/>
      <c r="E123" s="3"/>
      <c r="F123" s="4"/>
      <c r="G123" s="3"/>
      <c r="H123" s="6"/>
      <c r="I123" s="3"/>
    </row>
    <row r="124" spans="1:9">
      <c r="A124" s="3"/>
      <c r="B124" s="3"/>
      <c r="C124" s="3"/>
      <c r="D124" s="3"/>
      <c r="E124" s="3"/>
      <c r="F124" s="4"/>
      <c r="G124" s="3"/>
      <c r="H124" s="6"/>
      <c r="I124" s="3"/>
    </row>
    <row r="125" spans="1:9">
      <c r="A125" s="3"/>
      <c r="B125" s="3"/>
      <c r="C125" s="3"/>
      <c r="D125" s="3"/>
      <c r="E125" s="3"/>
      <c r="F125" s="4"/>
      <c r="G125" s="3"/>
      <c r="H125" s="6"/>
      <c r="I125" s="3"/>
    </row>
    <row r="126" spans="1:9">
      <c r="A126" s="3"/>
      <c r="B126" s="3"/>
      <c r="C126" s="3"/>
      <c r="D126" s="3"/>
      <c r="E126" s="3"/>
      <c r="F126" s="4"/>
      <c r="G126" s="3"/>
      <c r="H126" s="6"/>
      <c r="I126" s="3"/>
    </row>
    <row r="127" spans="1:9">
      <c r="A127" s="3"/>
      <c r="B127" s="3"/>
      <c r="C127" s="3"/>
      <c r="D127" s="3"/>
      <c r="E127" s="3"/>
      <c r="F127" s="4"/>
      <c r="G127" s="3"/>
      <c r="H127" s="6"/>
      <c r="I127" s="3"/>
    </row>
    <row r="128" spans="1:9">
      <c r="A128" s="3"/>
      <c r="B128" s="3"/>
      <c r="C128" s="3"/>
      <c r="D128" s="3"/>
      <c r="E128" s="3"/>
      <c r="F128" s="4"/>
      <c r="G128" s="3"/>
      <c r="H128" s="6"/>
      <c r="I128" s="3"/>
    </row>
    <row r="129" spans="1:9">
      <c r="A129" s="3"/>
      <c r="B129" s="3"/>
      <c r="C129" s="3"/>
      <c r="D129" s="3"/>
      <c r="E129" s="3"/>
      <c r="F129" s="4"/>
      <c r="G129" s="3"/>
      <c r="H129" s="6"/>
      <c r="I129" s="3"/>
    </row>
    <row r="130" spans="1:9">
      <c r="A130" s="3"/>
      <c r="B130" s="3"/>
      <c r="C130" s="3"/>
      <c r="D130" s="3"/>
      <c r="E130" s="3"/>
      <c r="F130" s="4"/>
      <c r="G130" s="3"/>
      <c r="H130" s="6"/>
      <c r="I130" s="3"/>
    </row>
    <row r="131" spans="1:9">
      <c r="A131" s="3"/>
      <c r="B131" s="3"/>
      <c r="C131" s="3"/>
      <c r="D131" s="3"/>
      <c r="E131" s="3"/>
      <c r="F131" s="4"/>
      <c r="G131" s="3"/>
      <c r="H131" s="6"/>
      <c r="I131" s="3"/>
    </row>
    <row r="132" spans="1:9">
      <c r="A132" s="3"/>
      <c r="B132" s="3"/>
      <c r="C132" s="3"/>
      <c r="D132" s="3"/>
      <c r="E132" s="3"/>
      <c r="F132" s="4"/>
      <c r="G132" s="3"/>
      <c r="H132" s="6"/>
      <c r="I132" s="3"/>
    </row>
    <row r="133" spans="1:9">
      <c r="A133" s="3"/>
      <c r="B133" s="3"/>
      <c r="C133" s="3"/>
      <c r="D133" s="3"/>
      <c r="E133" s="3"/>
      <c r="F133" s="4"/>
      <c r="G133" s="3"/>
      <c r="H133" s="6"/>
      <c r="I133" s="3"/>
    </row>
    <row r="134" spans="1:9">
      <c r="A134" s="3"/>
      <c r="B134" s="3"/>
      <c r="C134" s="3"/>
      <c r="D134" s="3"/>
      <c r="E134" s="3"/>
      <c r="F134" s="4"/>
      <c r="G134" s="3"/>
      <c r="H134" s="6"/>
      <c r="I134" s="3"/>
    </row>
    <row r="135" spans="1:9">
      <c r="A135" s="3"/>
      <c r="B135" s="3"/>
      <c r="C135" s="3"/>
      <c r="D135" s="3"/>
      <c r="E135" s="3"/>
      <c r="F135" s="4"/>
      <c r="G135" s="3"/>
      <c r="H135" s="6"/>
      <c r="I135" s="3"/>
    </row>
    <row r="136" spans="1:9">
      <c r="A136" s="3"/>
      <c r="B136" s="3"/>
      <c r="C136" s="3"/>
      <c r="D136" s="3"/>
      <c r="E136" s="3"/>
      <c r="F136" s="4"/>
      <c r="G136" s="3"/>
      <c r="H136" s="6"/>
      <c r="I136" s="3"/>
    </row>
    <row r="137" spans="1:9">
      <c r="A137" s="3"/>
      <c r="B137" s="3"/>
      <c r="C137" s="3"/>
      <c r="D137" s="3"/>
      <c r="E137" s="3"/>
      <c r="F137" s="4"/>
      <c r="G137" s="3"/>
      <c r="H137" s="6"/>
      <c r="I137" s="3"/>
    </row>
    <row r="138" spans="1:9">
      <c r="A138" s="3"/>
      <c r="B138" s="3"/>
      <c r="C138" s="3"/>
      <c r="D138" s="3"/>
      <c r="E138" s="3"/>
      <c r="F138" s="4"/>
      <c r="G138" s="3"/>
      <c r="H138" s="6"/>
      <c r="I138" s="3"/>
    </row>
    <row r="139" spans="1:9">
      <c r="A139" s="3"/>
      <c r="B139" s="3"/>
      <c r="C139" s="3"/>
      <c r="D139" s="3"/>
      <c r="E139" s="3"/>
      <c r="F139" s="4"/>
      <c r="G139" s="3"/>
      <c r="H139" s="6"/>
      <c r="I139" s="3"/>
    </row>
    <row r="140" spans="1:9">
      <c r="A140" s="3"/>
      <c r="B140" s="3"/>
      <c r="C140" s="3"/>
      <c r="D140" s="3"/>
      <c r="E140" s="3"/>
      <c r="F140" s="4"/>
      <c r="G140" s="3"/>
      <c r="H140" s="6"/>
      <c r="I140" s="3"/>
    </row>
    <row r="141" spans="1:9">
      <c r="A141" s="3"/>
      <c r="B141" s="3"/>
      <c r="C141" s="3"/>
      <c r="D141" s="3"/>
      <c r="E141" s="3"/>
      <c r="F141" s="4"/>
      <c r="G141" s="3"/>
      <c r="H141" s="6"/>
      <c r="I141" s="3"/>
    </row>
    <row r="142" spans="1:9">
      <c r="A142" s="3"/>
      <c r="B142" s="3"/>
      <c r="C142" s="3"/>
      <c r="D142" s="3"/>
      <c r="E142" s="3"/>
      <c r="F142" s="4"/>
      <c r="G142" s="3"/>
      <c r="H142" s="6"/>
      <c r="I142" s="3"/>
    </row>
    <row r="143" spans="1:9">
      <c r="A143" s="3"/>
      <c r="B143" s="3"/>
      <c r="C143" s="3"/>
      <c r="D143" s="3"/>
      <c r="E143" s="3"/>
      <c r="F143" s="4"/>
      <c r="G143" s="3"/>
      <c r="H143" s="6"/>
      <c r="I143" s="3"/>
    </row>
    <row r="144" spans="1:9">
      <c r="A144" s="3"/>
      <c r="B144" s="3"/>
      <c r="C144" s="3"/>
      <c r="D144" s="3"/>
      <c r="E144" s="3"/>
      <c r="F144" s="4"/>
      <c r="G144" s="3"/>
      <c r="H144" s="6"/>
      <c r="I144" s="3"/>
    </row>
    <row r="145" spans="1:9">
      <c r="A145" s="3"/>
      <c r="B145" s="3"/>
      <c r="C145" s="3"/>
      <c r="D145" s="3"/>
      <c r="E145" s="3"/>
      <c r="F145" s="4"/>
      <c r="G145" s="3"/>
      <c r="H145" s="6"/>
      <c r="I145" s="3"/>
    </row>
    <row r="146" spans="1:9">
      <c r="A146" s="3"/>
      <c r="B146" s="3"/>
      <c r="C146" s="3"/>
      <c r="D146" s="3"/>
      <c r="E146" s="3"/>
      <c r="F146" s="4"/>
      <c r="G146" s="3"/>
      <c r="H146" s="6"/>
      <c r="I146" s="3"/>
    </row>
    <row r="147" spans="1:9">
      <c r="A147" s="3"/>
      <c r="B147" s="3"/>
      <c r="C147" s="3"/>
      <c r="D147" s="3"/>
      <c r="E147" s="3"/>
      <c r="F147" s="4"/>
      <c r="G147" s="3"/>
      <c r="H147" s="6"/>
      <c r="I147" s="3"/>
    </row>
    <row r="148" spans="1:9">
      <c r="A148" s="3"/>
      <c r="B148" s="3"/>
      <c r="C148" s="3"/>
      <c r="D148" s="3"/>
      <c r="E148" s="3"/>
      <c r="F148" s="4"/>
      <c r="G148" s="3"/>
      <c r="H148" s="6"/>
      <c r="I148" s="3"/>
    </row>
    <row r="149" spans="1:9">
      <c r="A149" s="3"/>
      <c r="B149" s="3"/>
      <c r="C149" s="3"/>
      <c r="D149" s="3"/>
      <c r="E149" s="3"/>
      <c r="F149" s="4"/>
      <c r="G149" s="3"/>
      <c r="H149" s="6"/>
      <c r="I149" s="3"/>
    </row>
    <row r="150" spans="1:9">
      <c r="A150" s="3"/>
      <c r="B150" s="3"/>
      <c r="C150" s="3"/>
      <c r="D150" s="3"/>
      <c r="E150" s="3"/>
      <c r="F150" s="4"/>
      <c r="G150" s="3"/>
      <c r="H150" s="6"/>
      <c r="I150" s="3"/>
    </row>
    <row r="151" spans="1:9">
      <c r="A151" s="3"/>
      <c r="B151" s="3"/>
      <c r="C151" s="3"/>
      <c r="D151" s="3"/>
      <c r="E151" s="3"/>
      <c r="F151" s="4"/>
      <c r="G151" s="3"/>
      <c r="H151" s="6"/>
      <c r="I151" s="3"/>
    </row>
    <row r="152" spans="1:9">
      <c r="A152" s="3"/>
      <c r="B152" s="3"/>
      <c r="C152" s="3"/>
      <c r="D152" s="3"/>
      <c r="E152" s="3"/>
      <c r="F152" s="4"/>
      <c r="G152" s="3"/>
      <c r="H152" s="6"/>
      <c r="I152" s="3"/>
    </row>
    <row r="153" spans="1:9">
      <c r="A153" s="3"/>
      <c r="B153" s="3"/>
      <c r="C153" s="3"/>
      <c r="D153" s="3"/>
      <c r="E153" s="3"/>
      <c r="F153" s="4"/>
      <c r="G153" s="3"/>
      <c r="H153" s="6"/>
      <c r="I153" s="3"/>
    </row>
    <row r="154" spans="1:9">
      <c r="A154" s="3"/>
      <c r="B154" s="3"/>
      <c r="C154" s="3"/>
      <c r="D154" s="3"/>
      <c r="E154" s="3"/>
      <c r="F154" s="4"/>
      <c r="G154" s="3"/>
      <c r="H154" s="6"/>
      <c r="I154" s="3"/>
    </row>
    <row r="155" spans="1:9">
      <c r="A155" s="3"/>
      <c r="B155" s="3"/>
      <c r="C155" s="3"/>
      <c r="D155" s="3"/>
      <c r="E155" s="3"/>
      <c r="F155" s="4"/>
      <c r="G155" s="3"/>
      <c r="H155" s="6"/>
      <c r="I155" s="3"/>
    </row>
    <row r="156" spans="1:9">
      <c r="A156" s="3"/>
      <c r="B156" s="3"/>
      <c r="C156" s="3"/>
      <c r="D156" s="3"/>
      <c r="E156" s="3"/>
      <c r="F156" s="4"/>
      <c r="G156" s="3"/>
      <c r="H156" s="6"/>
      <c r="I156" s="3"/>
    </row>
    <row r="157" spans="1:9">
      <c r="A157" s="3"/>
      <c r="B157" s="3"/>
      <c r="C157" s="3"/>
      <c r="D157" s="3"/>
      <c r="E157" s="3"/>
      <c r="F157" s="4"/>
      <c r="G157" s="3"/>
      <c r="H157" s="6"/>
      <c r="I157" s="3"/>
    </row>
    <row r="158" spans="1:9">
      <c r="A158" s="3"/>
      <c r="B158" s="3"/>
      <c r="C158" s="3"/>
      <c r="D158" s="3"/>
      <c r="E158" s="3"/>
      <c r="F158" s="4"/>
      <c r="G158" s="3"/>
      <c r="H158" s="6"/>
      <c r="I158" s="3"/>
    </row>
    <row r="159" spans="1:9">
      <c r="A159" s="3"/>
      <c r="B159" s="3"/>
      <c r="C159" s="3"/>
      <c r="D159" s="3"/>
      <c r="E159" s="3"/>
      <c r="F159" s="4"/>
      <c r="G159" s="3"/>
      <c r="H159" s="6"/>
      <c r="I159" s="3"/>
    </row>
    <row r="160" spans="1:9">
      <c r="A160" s="3"/>
      <c r="B160" s="3"/>
      <c r="C160" s="3"/>
      <c r="D160" s="3"/>
      <c r="E160" s="3"/>
      <c r="F160" s="4"/>
      <c r="G160" s="3"/>
      <c r="H160" s="6"/>
      <c r="I160" s="3"/>
    </row>
    <row r="161" spans="1:9">
      <c r="A161" s="3"/>
      <c r="B161" s="3"/>
      <c r="C161" s="3"/>
      <c r="D161" s="3"/>
      <c r="E161" s="3"/>
      <c r="F161" s="4"/>
      <c r="G161" s="3"/>
      <c r="H161" s="6"/>
      <c r="I161" s="3"/>
    </row>
    <row r="162" spans="1:9">
      <c r="A162" s="3"/>
      <c r="B162" s="3"/>
      <c r="C162" s="3"/>
      <c r="D162" s="3"/>
      <c r="E162" s="3"/>
      <c r="F162" s="4"/>
      <c r="G162" s="3"/>
      <c r="H162" s="6"/>
      <c r="I162" s="3"/>
    </row>
    <row r="163" spans="1:9">
      <c r="A163" s="3"/>
      <c r="B163" s="3"/>
      <c r="C163" s="3"/>
      <c r="D163" s="3"/>
      <c r="E163" s="3"/>
      <c r="F163" s="4"/>
      <c r="G163" s="3"/>
      <c r="H163" s="6"/>
      <c r="I163" s="3"/>
    </row>
    <row r="164" spans="1:9">
      <c r="A164" s="3"/>
      <c r="B164" s="3"/>
      <c r="C164" s="3"/>
      <c r="D164" s="3"/>
      <c r="E164" s="3"/>
      <c r="F164" s="4"/>
      <c r="G164" s="3"/>
      <c r="H164" s="6"/>
      <c r="I164" s="3"/>
    </row>
    <row r="165" spans="1:9">
      <c r="A165" s="3"/>
      <c r="B165" s="3"/>
      <c r="C165" s="3"/>
      <c r="D165" s="3"/>
      <c r="E165" s="3"/>
      <c r="F165" s="4"/>
      <c r="G165" s="3"/>
      <c r="H165" s="6"/>
      <c r="I165" s="3"/>
    </row>
    <row r="166" spans="1:9">
      <c r="A166" s="3"/>
      <c r="B166" s="3"/>
      <c r="C166" s="3"/>
      <c r="D166" s="3"/>
      <c r="E166" s="3"/>
      <c r="F166" s="4"/>
      <c r="G166" s="3"/>
      <c r="H166" s="6"/>
      <c r="I166" s="3"/>
    </row>
    <row r="167" spans="1:9">
      <c r="A167" s="3"/>
      <c r="B167" s="3"/>
      <c r="C167" s="3"/>
      <c r="D167" s="3"/>
      <c r="E167" s="3"/>
      <c r="F167" s="4"/>
      <c r="G167" s="3"/>
      <c r="H167" s="6"/>
      <c r="I167" s="3"/>
    </row>
    <row r="168" spans="1:9">
      <c r="A168" s="3"/>
      <c r="B168" s="3"/>
      <c r="C168" s="3"/>
      <c r="D168" s="3"/>
      <c r="E168" s="3"/>
      <c r="F168" s="4"/>
      <c r="G168" s="3"/>
      <c r="H168" s="6"/>
      <c r="I168" s="3"/>
    </row>
    <row r="169" spans="1:9">
      <c r="A169" s="3"/>
      <c r="B169" s="3"/>
      <c r="C169" s="3"/>
      <c r="D169" s="3"/>
      <c r="E169" s="3"/>
      <c r="F169" s="4"/>
      <c r="G169" s="3"/>
      <c r="H169" s="6"/>
      <c r="I169" s="3"/>
    </row>
    <row r="170" spans="1:9">
      <c r="A170" s="3"/>
      <c r="B170" s="3"/>
      <c r="C170" s="3"/>
      <c r="D170" s="3"/>
      <c r="E170" s="3"/>
      <c r="F170" s="4"/>
      <c r="G170" s="3"/>
      <c r="H170" s="6"/>
      <c r="I170" s="3"/>
    </row>
    <row r="171" spans="1:9">
      <c r="A171" s="3"/>
      <c r="B171" s="3"/>
      <c r="C171" s="3"/>
      <c r="D171" s="3"/>
      <c r="E171" s="3"/>
      <c r="F171" s="4"/>
      <c r="G171" s="3"/>
      <c r="H171" s="6"/>
      <c r="I171" s="3"/>
    </row>
    <row r="172" spans="1:9">
      <c r="A172" s="3"/>
      <c r="B172" s="3"/>
      <c r="C172" s="3"/>
      <c r="D172" s="3"/>
      <c r="E172" s="3"/>
      <c r="F172" s="4"/>
      <c r="G172" s="3"/>
      <c r="H172" s="6"/>
      <c r="I172" s="3"/>
    </row>
    <row r="173" spans="1:9">
      <c r="A173" s="3"/>
      <c r="B173" s="3"/>
      <c r="C173" s="3"/>
      <c r="D173" s="3"/>
      <c r="E173" s="3"/>
      <c r="F173" s="4"/>
      <c r="G173" s="3"/>
      <c r="H173" s="6"/>
      <c r="I173" s="3"/>
    </row>
    <row r="174" spans="1:9">
      <c r="A174" s="3"/>
      <c r="B174" s="3"/>
      <c r="C174" s="3"/>
      <c r="D174" s="3"/>
      <c r="E174" s="3"/>
      <c r="F174" s="4"/>
      <c r="G174" s="3"/>
      <c r="H174" s="6"/>
      <c r="I174" s="3"/>
    </row>
    <row r="175" spans="1:9">
      <c r="A175" s="3"/>
      <c r="B175" s="3"/>
      <c r="C175" s="3"/>
      <c r="D175" s="3"/>
      <c r="E175" s="3"/>
      <c r="F175" s="4"/>
      <c r="G175" s="3"/>
      <c r="H175" s="6"/>
      <c r="I175" s="3"/>
    </row>
    <row r="176" spans="1:9">
      <c r="A176" s="3"/>
      <c r="B176" s="3"/>
      <c r="C176" s="3"/>
      <c r="D176" s="3"/>
      <c r="E176" s="3"/>
      <c r="F176" s="4"/>
      <c r="G176" s="3"/>
      <c r="H176" s="6"/>
      <c r="I176" s="3"/>
    </row>
    <row r="177" spans="1:9">
      <c r="A177" s="3"/>
      <c r="B177" s="3"/>
      <c r="C177" s="3"/>
      <c r="D177" s="3"/>
      <c r="E177" s="3"/>
      <c r="F177" s="4"/>
      <c r="G177" s="3"/>
      <c r="H177" s="6"/>
      <c r="I177" s="3"/>
    </row>
    <row r="178" spans="1:9">
      <c r="A178" s="3"/>
      <c r="B178" s="3"/>
      <c r="C178" s="3"/>
      <c r="D178" s="3"/>
      <c r="E178" s="3"/>
      <c r="F178" s="4"/>
      <c r="G178" s="3"/>
      <c r="H178" s="6"/>
      <c r="I178" s="3"/>
    </row>
    <row r="179" spans="1:9">
      <c r="A179" s="3"/>
      <c r="B179" s="3"/>
      <c r="C179" s="3"/>
      <c r="D179" s="3"/>
      <c r="E179" s="3"/>
      <c r="F179" s="4"/>
      <c r="G179" s="3"/>
      <c r="H179" s="6"/>
      <c r="I179" s="3"/>
    </row>
    <row r="180" spans="1:9">
      <c r="A180" s="3"/>
      <c r="B180" s="3"/>
      <c r="C180" s="3"/>
      <c r="D180" s="3"/>
      <c r="E180" s="3"/>
      <c r="F180" s="4"/>
      <c r="G180" s="3"/>
      <c r="H180" s="6"/>
      <c r="I180" s="3"/>
    </row>
    <row r="181" spans="1:9">
      <c r="A181" s="3"/>
      <c r="B181" s="3"/>
      <c r="C181" s="3"/>
      <c r="D181" s="3"/>
      <c r="E181" s="3"/>
      <c r="F181" s="4"/>
      <c r="G181" s="3"/>
      <c r="H181" s="6"/>
      <c r="I181" s="3"/>
    </row>
    <row r="182" spans="1:9">
      <c r="A182" s="3"/>
      <c r="B182" s="3"/>
      <c r="C182" s="3"/>
      <c r="D182" s="3"/>
      <c r="E182" s="3"/>
      <c r="F182" s="4"/>
      <c r="G182" s="3"/>
      <c r="H182" s="6"/>
      <c r="I182" s="3"/>
    </row>
    <row r="183" spans="1:9">
      <c r="A183" s="3"/>
      <c r="B183" s="3"/>
      <c r="C183" s="3"/>
      <c r="D183" s="3"/>
      <c r="E183" s="3"/>
      <c r="F183" s="4"/>
      <c r="G183" s="3"/>
      <c r="H183" s="6"/>
      <c r="I183" s="3"/>
    </row>
    <row r="184" spans="1:9">
      <c r="A184" s="3"/>
      <c r="B184" s="3"/>
      <c r="C184" s="3"/>
      <c r="D184" s="3"/>
      <c r="E184" s="3"/>
      <c r="F184" s="4"/>
      <c r="G184" s="3"/>
      <c r="H184" s="6"/>
      <c r="I184" s="3"/>
    </row>
    <row r="185" spans="1:9">
      <c r="A185" s="3"/>
      <c r="B185" s="3"/>
      <c r="C185" s="3"/>
      <c r="D185" s="3"/>
      <c r="E185" s="3"/>
      <c r="F185" s="4"/>
      <c r="G185" s="3"/>
      <c r="H185" s="6"/>
      <c r="I185" s="3"/>
    </row>
    <row r="186" spans="1:9">
      <c r="A186" s="3"/>
      <c r="B186" s="3"/>
      <c r="C186" s="3"/>
      <c r="D186" s="3"/>
      <c r="E186" s="3"/>
      <c r="F186" s="4"/>
      <c r="G186" s="3"/>
      <c r="H186" s="6"/>
      <c r="I186" s="3"/>
    </row>
    <row r="187" spans="1:9">
      <c r="A187" s="3"/>
      <c r="B187" s="3"/>
      <c r="C187" s="3"/>
      <c r="D187" s="3"/>
      <c r="E187" s="3"/>
      <c r="F187" s="4"/>
      <c r="G187" s="3"/>
      <c r="H187" s="6"/>
      <c r="I187" s="3"/>
    </row>
    <row r="188" spans="1:9">
      <c r="A188" s="3"/>
      <c r="B188" s="3"/>
      <c r="C188" s="3"/>
      <c r="D188" s="3"/>
      <c r="E188" s="3"/>
      <c r="F188" s="4"/>
      <c r="G188" s="3"/>
      <c r="H188" s="6"/>
      <c r="I188" s="3"/>
    </row>
    <row r="189" spans="1:9">
      <c r="A189" s="3"/>
      <c r="B189" s="3"/>
      <c r="C189" s="3"/>
      <c r="D189" s="3"/>
      <c r="E189" s="3"/>
      <c r="F189" s="4"/>
      <c r="G189" s="3"/>
      <c r="H189" s="6"/>
      <c r="I189" s="3"/>
    </row>
    <row r="190" spans="1:9">
      <c r="A190" s="3"/>
      <c r="B190" s="3"/>
      <c r="C190" s="3"/>
      <c r="D190" s="3"/>
      <c r="E190" s="3"/>
      <c r="F190" s="4"/>
      <c r="G190" s="3"/>
      <c r="H190" s="6"/>
      <c r="I190" s="3"/>
    </row>
    <row r="191" spans="1:9">
      <c r="A191" s="3"/>
      <c r="B191" s="3"/>
      <c r="C191" s="3"/>
      <c r="D191" s="3"/>
      <c r="E191" s="3"/>
      <c r="F191" s="4"/>
      <c r="G191" s="3"/>
      <c r="H191" s="6"/>
      <c r="I191" s="3"/>
    </row>
    <row r="192" spans="1:9">
      <c r="A192" s="3"/>
      <c r="B192" s="3"/>
      <c r="C192" s="3"/>
      <c r="D192" s="3"/>
      <c r="E192" s="3"/>
      <c r="F192" s="4"/>
      <c r="G192" s="3"/>
      <c r="H192" s="6"/>
      <c r="I192" s="3"/>
    </row>
    <row r="193" spans="1:9">
      <c r="A193" s="3"/>
      <c r="B193" s="3"/>
      <c r="C193" s="3"/>
      <c r="D193" s="3"/>
      <c r="E193" s="3"/>
      <c r="F193" s="4"/>
      <c r="G193" s="3"/>
      <c r="H193" s="6"/>
      <c r="I193" s="3"/>
    </row>
    <row r="194" spans="1:9">
      <c r="A194" s="3"/>
      <c r="B194" s="3"/>
      <c r="C194" s="3"/>
      <c r="D194" s="3"/>
      <c r="E194" s="3"/>
      <c r="F194" s="4"/>
      <c r="G194" s="3"/>
      <c r="H194" s="6"/>
      <c r="I194" s="3"/>
    </row>
    <row r="195" spans="1:9">
      <c r="A195" s="3"/>
      <c r="B195" s="3"/>
      <c r="C195" s="3"/>
      <c r="D195" s="3"/>
      <c r="E195" s="3"/>
      <c r="F195" s="4"/>
      <c r="G195" s="3"/>
      <c r="H195" s="6"/>
      <c r="I195" s="3"/>
    </row>
    <row r="196" spans="1:9">
      <c r="A196" s="3"/>
      <c r="B196" s="3"/>
      <c r="C196" s="3"/>
      <c r="D196" s="3"/>
      <c r="E196" s="3"/>
      <c r="F196" s="4"/>
      <c r="G196" s="3"/>
      <c r="H196" s="6"/>
      <c r="I196" s="3"/>
    </row>
    <row r="197" spans="1:9">
      <c r="A197" s="3"/>
      <c r="B197" s="3"/>
      <c r="C197" s="3"/>
      <c r="D197" s="3"/>
      <c r="E197" s="3"/>
      <c r="F197" s="4"/>
      <c r="G197" s="3"/>
      <c r="H197" s="6"/>
      <c r="I197" s="3"/>
    </row>
    <row r="198" spans="1:9">
      <c r="A198" s="3"/>
      <c r="B198" s="3"/>
      <c r="C198" s="3"/>
      <c r="D198" s="3"/>
      <c r="E198" s="3"/>
      <c r="F198" s="4"/>
      <c r="G198" s="3"/>
      <c r="H198" s="6"/>
      <c r="I198" s="3"/>
    </row>
    <row r="199" spans="1:9">
      <c r="A199" s="3"/>
      <c r="B199" s="3"/>
      <c r="C199" s="3"/>
      <c r="D199" s="3"/>
      <c r="E199" s="3"/>
      <c r="F199" s="4"/>
      <c r="G199" s="3"/>
      <c r="H199" s="6"/>
      <c r="I199" s="3"/>
    </row>
    <row r="200" spans="1:9">
      <c r="A200" s="3"/>
      <c r="B200" s="3"/>
      <c r="C200" s="3"/>
      <c r="D200" s="3"/>
      <c r="E200" s="3"/>
      <c r="F200" s="4"/>
      <c r="G200" s="3"/>
      <c r="H200" s="6"/>
      <c r="I200" s="3"/>
    </row>
    <row r="201" spans="1:9">
      <c r="F201" s="5"/>
      <c r="H201" s="7"/>
    </row>
    <row r="202" spans="1:9">
      <c r="F202" s="5"/>
      <c r="H202" s="7"/>
    </row>
    <row r="203" spans="1:9">
      <c r="F203" s="5"/>
      <c r="H203" s="7"/>
    </row>
    <row r="204" spans="1:9">
      <c r="F204" s="5"/>
      <c r="H204" s="7"/>
    </row>
    <row r="205" spans="1:9">
      <c r="F205" s="5"/>
      <c r="H205" s="7"/>
    </row>
    <row r="206" spans="1:9">
      <c r="F206" s="5"/>
      <c r="H206" s="7"/>
    </row>
    <row r="207" spans="1:9">
      <c r="F207" s="5"/>
      <c r="H207" s="7"/>
    </row>
    <row r="208" spans="1:9">
      <c r="F208" s="5"/>
      <c r="H208" s="7"/>
    </row>
    <row r="209" spans="6:8">
      <c r="F209" s="5"/>
      <c r="H209" s="7"/>
    </row>
    <row r="210" spans="6:8">
      <c r="F210" s="5"/>
      <c r="H210" s="7"/>
    </row>
    <row r="211" spans="6:8">
      <c r="F211" s="5"/>
      <c r="H211" s="7"/>
    </row>
    <row r="212" spans="6:8">
      <c r="F212" s="5"/>
      <c r="H212" s="7"/>
    </row>
    <row r="213" spans="6:8">
      <c r="F213" s="5"/>
      <c r="H213" s="7"/>
    </row>
    <row r="214" spans="6:8">
      <c r="F214" s="5"/>
      <c r="H214" s="7"/>
    </row>
    <row r="215" spans="6:8">
      <c r="F215" s="5"/>
      <c r="H215" s="7"/>
    </row>
    <row r="216" spans="6:8">
      <c r="F216" s="5"/>
      <c r="H216" s="7"/>
    </row>
    <row r="217" spans="6:8">
      <c r="F217" s="5"/>
      <c r="H217" s="7"/>
    </row>
    <row r="218" spans="6:8">
      <c r="F218" s="5"/>
      <c r="H218" s="7"/>
    </row>
    <row r="219" spans="6:8">
      <c r="F219" s="5"/>
      <c r="H219" s="7"/>
    </row>
    <row r="220" spans="6:8">
      <c r="F220" s="5"/>
      <c r="H220" s="7"/>
    </row>
    <row r="221" spans="6:8">
      <c r="F221" s="5"/>
      <c r="H221" s="7"/>
    </row>
    <row r="222" spans="6:8">
      <c r="F222" s="5"/>
      <c r="H222" s="7"/>
    </row>
    <row r="223" spans="6:8">
      <c r="F223" s="5"/>
      <c r="H223" s="7"/>
    </row>
    <row r="224" spans="6:8">
      <c r="F224" s="5"/>
      <c r="H224" s="7"/>
    </row>
    <row r="225" spans="6:8">
      <c r="F225" s="5"/>
      <c r="H225" s="7"/>
    </row>
    <row r="226" spans="6:8">
      <c r="F226" s="5"/>
      <c r="H226" s="7"/>
    </row>
    <row r="227" spans="6:8">
      <c r="F227" s="5"/>
      <c r="H227" s="7"/>
    </row>
    <row r="228" spans="6:8">
      <c r="F228" s="5"/>
      <c r="H228" s="7"/>
    </row>
    <row r="229" spans="6:8">
      <c r="F229" s="5"/>
      <c r="H229" s="7"/>
    </row>
    <row r="230" spans="6:8">
      <c r="F230" s="5"/>
      <c r="H230" s="7"/>
    </row>
    <row r="231" spans="6:8">
      <c r="F231" s="5"/>
      <c r="H231" s="7"/>
    </row>
    <row r="232" spans="6:8">
      <c r="F232" s="5"/>
      <c r="H232" s="7"/>
    </row>
    <row r="233" spans="6:8">
      <c r="F233" s="5"/>
      <c r="H233" s="7"/>
    </row>
    <row r="234" spans="6:8">
      <c r="F234" s="5"/>
      <c r="H234" s="7"/>
    </row>
    <row r="235" spans="6:8">
      <c r="F235" s="5"/>
      <c r="H235" s="7"/>
    </row>
    <row r="236" spans="6:8">
      <c r="F236" s="5"/>
      <c r="H236" s="7"/>
    </row>
    <row r="237" spans="6:8">
      <c r="F237" s="5"/>
      <c r="H237" s="7"/>
    </row>
    <row r="238" spans="6:8">
      <c r="F238" s="5"/>
      <c r="H238" s="7"/>
    </row>
    <row r="239" spans="6:8">
      <c r="F239" s="5"/>
      <c r="H239" s="7"/>
    </row>
    <row r="240" spans="6:8">
      <c r="F240" s="5"/>
      <c r="H240" s="7"/>
    </row>
    <row r="241" spans="6:8">
      <c r="F241" s="5"/>
      <c r="H241" s="7"/>
    </row>
    <row r="242" spans="6:8">
      <c r="F242" s="5"/>
      <c r="H242" s="7"/>
    </row>
    <row r="243" spans="6:8">
      <c r="F243" s="5"/>
      <c r="H243" s="7"/>
    </row>
    <row r="244" spans="6:8">
      <c r="F244" s="5"/>
      <c r="H244" s="7"/>
    </row>
    <row r="245" spans="6:8">
      <c r="F245" s="5"/>
      <c r="H245" s="7"/>
    </row>
    <row r="246" spans="6:8">
      <c r="F246" s="5"/>
      <c r="H246" s="7"/>
    </row>
    <row r="247" spans="6:8">
      <c r="F247" s="5"/>
      <c r="H247" s="7"/>
    </row>
    <row r="248" spans="6:8">
      <c r="F248" s="5"/>
      <c r="H248" s="7"/>
    </row>
    <row r="249" spans="6:8">
      <c r="F249" s="5"/>
      <c r="H249" s="7"/>
    </row>
    <row r="250" spans="6:8">
      <c r="F250" s="5"/>
      <c r="H250" s="7"/>
    </row>
    <row r="251" spans="6:8">
      <c r="F251" s="5"/>
      <c r="H251" s="7"/>
    </row>
    <row r="252" spans="6:8">
      <c r="F252" s="5"/>
      <c r="H252" s="7"/>
    </row>
    <row r="253" spans="6:8">
      <c r="F253" s="5"/>
      <c r="H253" s="7"/>
    </row>
    <row r="254" spans="6:8">
      <c r="F254" s="5"/>
      <c r="H254" s="7"/>
    </row>
    <row r="255" spans="6:8">
      <c r="F255" s="5"/>
      <c r="H255" s="7"/>
    </row>
    <row r="256" spans="6:8">
      <c r="F256" s="5"/>
      <c r="H256" s="7"/>
    </row>
    <row r="257" spans="6:8">
      <c r="F257" s="5"/>
      <c r="H257" s="7"/>
    </row>
    <row r="258" spans="6:8">
      <c r="F258" s="5"/>
      <c r="H258" s="7"/>
    </row>
    <row r="259" spans="6:8">
      <c r="F259" s="5"/>
      <c r="H259" s="7"/>
    </row>
    <row r="260" spans="6:8">
      <c r="F260" s="5"/>
      <c r="H260" s="7"/>
    </row>
    <row r="261" spans="6:8">
      <c r="F261" s="5"/>
      <c r="H261" s="7"/>
    </row>
    <row r="262" spans="6:8">
      <c r="F262" s="5"/>
      <c r="H262" s="7"/>
    </row>
    <row r="263" spans="6:8">
      <c r="F263" s="5"/>
      <c r="H263" s="7"/>
    </row>
    <row r="264" spans="6:8">
      <c r="F264" s="5"/>
      <c r="H264" s="7"/>
    </row>
    <row r="265" spans="6:8">
      <c r="F265" s="5"/>
      <c r="H265" s="7"/>
    </row>
    <row r="266" spans="6:8">
      <c r="F266" s="5"/>
      <c r="H266" s="7"/>
    </row>
    <row r="267" spans="6:8">
      <c r="F267" s="5"/>
      <c r="H267" s="7"/>
    </row>
    <row r="268" spans="6:8">
      <c r="F268" s="5"/>
      <c r="H268" s="7"/>
    </row>
    <row r="269" spans="6:8">
      <c r="F269" s="5"/>
      <c r="H269" s="7"/>
    </row>
    <row r="270" spans="6:8">
      <c r="F270" s="5"/>
      <c r="H270" s="7"/>
    </row>
    <row r="271" spans="6:8">
      <c r="F271" s="5"/>
      <c r="H271" s="7"/>
    </row>
    <row r="272" spans="6:8">
      <c r="F272" s="5"/>
      <c r="H272" s="7"/>
    </row>
    <row r="273" spans="6:8">
      <c r="F273" s="5"/>
      <c r="H273" s="7"/>
    </row>
    <row r="274" spans="6:8">
      <c r="F274" s="5"/>
      <c r="H274" s="7"/>
    </row>
    <row r="275" spans="6:8">
      <c r="F275" s="5"/>
      <c r="H275" s="7"/>
    </row>
    <row r="276" spans="6:8">
      <c r="F276" s="5"/>
      <c r="H276" s="7"/>
    </row>
    <row r="277" spans="6:8">
      <c r="F277" s="5"/>
      <c r="H277" s="7"/>
    </row>
    <row r="278" spans="6:8">
      <c r="F278" s="5"/>
      <c r="H278" s="7"/>
    </row>
    <row r="279" spans="6:8">
      <c r="F279" s="5"/>
      <c r="H279" s="7"/>
    </row>
    <row r="280" spans="6:8">
      <c r="F280" s="5"/>
      <c r="H280" s="7"/>
    </row>
    <row r="281" spans="6:8">
      <c r="F281" s="5"/>
      <c r="H281" s="7"/>
    </row>
    <row r="282" spans="6:8">
      <c r="F282" s="5"/>
      <c r="H282" s="7"/>
    </row>
    <row r="283" spans="6:8">
      <c r="F283" s="5"/>
      <c r="H283" s="7"/>
    </row>
    <row r="284" spans="6:8">
      <c r="F284" s="5"/>
      <c r="H284" s="7"/>
    </row>
    <row r="285" spans="6:8">
      <c r="F285" s="5"/>
      <c r="H285" s="7"/>
    </row>
    <row r="286" spans="6:8">
      <c r="F286" s="5"/>
      <c r="H286" s="7"/>
    </row>
    <row r="287" spans="6:8">
      <c r="F287" s="5"/>
      <c r="H287" s="7"/>
    </row>
    <row r="288" spans="6:8">
      <c r="F288" s="5"/>
      <c r="H288" s="7"/>
    </row>
    <row r="289" spans="6:8">
      <c r="F289" s="5"/>
      <c r="H289" s="7"/>
    </row>
    <row r="290" spans="6:8">
      <c r="F290" s="5"/>
      <c r="H290" s="7"/>
    </row>
    <row r="291" spans="6:8">
      <c r="F291" s="5"/>
      <c r="H291" s="7"/>
    </row>
    <row r="292" spans="6:8">
      <c r="F292" s="5"/>
      <c r="H292" s="7"/>
    </row>
    <row r="293" spans="6:8">
      <c r="F293" s="5"/>
      <c r="H293" s="7"/>
    </row>
    <row r="294" spans="6:8">
      <c r="F294" s="5"/>
      <c r="H294" s="7"/>
    </row>
    <row r="295" spans="6:8">
      <c r="F295" s="5"/>
      <c r="H295" s="7"/>
    </row>
    <row r="296" spans="6:8">
      <c r="F296" s="5"/>
      <c r="H296" s="7"/>
    </row>
    <row r="297" spans="6:8">
      <c r="F297" s="5"/>
      <c r="H297" s="7"/>
    </row>
    <row r="298" spans="6:8">
      <c r="F298" s="5"/>
      <c r="H298" s="7"/>
    </row>
    <row r="299" spans="6:8">
      <c r="F299" s="5"/>
      <c r="H299" s="7"/>
    </row>
    <row r="300" spans="6:8">
      <c r="F300" s="5"/>
      <c r="H300" s="7"/>
    </row>
    <row r="301" spans="6:8">
      <c r="F301" s="5"/>
      <c r="H301" s="7"/>
    </row>
    <row r="302" spans="6:8">
      <c r="F302" s="5"/>
      <c r="H302" s="7"/>
    </row>
    <row r="303" spans="6:8">
      <c r="F303" s="5"/>
      <c r="H303" s="7"/>
    </row>
    <row r="304" spans="6:8">
      <c r="F304" s="5"/>
      <c r="H304" s="7"/>
    </row>
    <row r="305" spans="6:8">
      <c r="F305" s="5"/>
      <c r="H305" s="7"/>
    </row>
    <row r="306" spans="6:8">
      <c r="F306" s="5"/>
      <c r="H306" s="7"/>
    </row>
    <row r="307" spans="6:8">
      <c r="F307" s="5"/>
      <c r="H307" s="7"/>
    </row>
    <row r="308" spans="6:8">
      <c r="F308" s="5"/>
      <c r="H308" s="7"/>
    </row>
    <row r="309" spans="6:8">
      <c r="F309" s="5"/>
      <c r="H309" s="7"/>
    </row>
    <row r="310" spans="6:8">
      <c r="F310" s="5"/>
      <c r="H310" s="7"/>
    </row>
    <row r="311" spans="6:8">
      <c r="F311" s="5"/>
      <c r="H311" s="7"/>
    </row>
    <row r="312" spans="6:8">
      <c r="F312" s="5"/>
      <c r="H312" s="7"/>
    </row>
    <row r="313" spans="6:8">
      <c r="F313" s="5"/>
      <c r="H313" s="7"/>
    </row>
    <row r="314" spans="6:8">
      <c r="F314" s="5"/>
      <c r="H314" s="7"/>
    </row>
    <row r="315" spans="6:8">
      <c r="F315" s="5"/>
      <c r="H315" s="7"/>
    </row>
    <row r="316" spans="6:8">
      <c r="F316" s="5"/>
      <c r="H316" s="7"/>
    </row>
    <row r="317" spans="6:8">
      <c r="F317" s="5"/>
      <c r="H317" s="7"/>
    </row>
    <row r="318" spans="6:8">
      <c r="F318" s="5"/>
      <c r="H318" s="7"/>
    </row>
    <row r="319" spans="6:8">
      <c r="F319" s="5"/>
      <c r="H319" s="7"/>
    </row>
    <row r="320" spans="6:8">
      <c r="F320" s="5"/>
      <c r="H320" s="7"/>
    </row>
    <row r="321" spans="6:8">
      <c r="F321" s="5"/>
      <c r="H321" s="7"/>
    </row>
    <row r="322" spans="6:8">
      <c r="F322" s="5"/>
      <c r="H322" s="7"/>
    </row>
    <row r="323" spans="6:8">
      <c r="F323" s="5"/>
      <c r="H323" s="7"/>
    </row>
    <row r="324" spans="6:8">
      <c r="F324" s="5"/>
      <c r="H324" s="7"/>
    </row>
    <row r="325" spans="6:8">
      <c r="F325" s="5"/>
      <c r="H325" s="7"/>
    </row>
    <row r="326" spans="6:8">
      <c r="F326" s="5"/>
      <c r="H326" s="7"/>
    </row>
    <row r="327" spans="6:8">
      <c r="F327" s="5"/>
      <c r="H327" s="7"/>
    </row>
    <row r="328" spans="6:8">
      <c r="F328" s="5"/>
      <c r="H328" s="7"/>
    </row>
    <row r="329" spans="6:8">
      <c r="F329" s="5"/>
      <c r="H329" s="7"/>
    </row>
    <row r="330" spans="6:8">
      <c r="F330" s="5"/>
      <c r="H330" s="7"/>
    </row>
    <row r="331" spans="6:8">
      <c r="F331" s="5"/>
      <c r="H331" s="7"/>
    </row>
    <row r="332" spans="6:8">
      <c r="F332" s="5"/>
      <c r="H332" s="7"/>
    </row>
    <row r="333" spans="6:8">
      <c r="F333" s="5"/>
      <c r="H333" s="7"/>
    </row>
    <row r="334" spans="6:8">
      <c r="F334" s="5"/>
      <c r="H334" s="7"/>
    </row>
    <row r="335" spans="6:8">
      <c r="F335" s="5"/>
      <c r="H335" s="7"/>
    </row>
    <row r="336" spans="6:8">
      <c r="F336" s="5"/>
      <c r="H336" s="7"/>
    </row>
    <row r="337" spans="6:8">
      <c r="F337" s="5"/>
      <c r="H337" s="7"/>
    </row>
    <row r="338" spans="6:8">
      <c r="F338" s="5"/>
      <c r="H338" s="7"/>
    </row>
    <row r="339" spans="6:8">
      <c r="F339" s="5"/>
      <c r="H339" s="7"/>
    </row>
    <row r="340" spans="6:8">
      <c r="F340" s="5"/>
      <c r="H340" s="7"/>
    </row>
    <row r="341" spans="6:8">
      <c r="F341" s="5"/>
      <c r="H341" s="7"/>
    </row>
    <row r="342" spans="6:8">
      <c r="F342" s="5"/>
      <c r="H342" s="7"/>
    </row>
    <row r="343" spans="6:8">
      <c r="F343" s="5"/>
      <c r="H343" s="7"/>
    </row>
    <row r="344" spans="6:8">
      <c r="F344" s="5"/>
      <c r="H344" s="7"/>
    </row>
    <row r="345" spans="6:8">
      <c r="F345" s="5"/>
      <c r="H345" s="7"/>
    </row>
    <row r="346" spans="6:8">
      <c r="F346" s="5"/>
      <c r="H346" s="7"/>
    </row>
    <row r="347" spans="6:8">
      <c r="F347" s="5"/>
      <c r="H347" s="7"/>
    </row>
    <row r="348" spans="6:8">
      <c r="F348" s="5"/>
      <c r="H348" s="7"/>
    </row>
    <row r="349" spans="6:8">
      <c r="F349" s="5"/>
      <c r="H349" s="7"/>
    </row>
    <row r="350" spans="6:8">
      <c r="F350" s="5"/>
      <c r="H350" s="7"/>
    </row>
    <row r="351" spans="6:8">
      <c r="F351" s="5"/>
      <c r="H351" s="7"/>
    </row>
    <row r="352" spans="6:8">
      <c r="F352" s="5"/>
      <c r="H352" s="7"/>
    </row>
    <row r="353" spans="6:8">
      <c r="F353" s="5"/>
      <c r="H353" s="7"/>
    </row>
    <row r="354" spans="6:8">
      <c r="F354" s="5"/>
      <c r="H354" s="7"/>
    </row>
    <row r="355" spans="6:8">
      <c r="F355" s="5"/>
      <c r="H355" s="7"/>
    </row>
    <row r="356" spans="6:8">
      <c r="F356" s="5"/>
      <c r="H356" s="7"/>
    </row>
    <row r="357" spans="6:8">
      <c r="F357" s="5"/>
      <c r="H357" s="7"/>
    </row>
    <row r="358" spans="6:8">
      <c r="F358" s="5"/>
      <c r="H358" s="7"/>
    </row>
    <row r="359" spans="6:8">
      <c r="F359" s="5"/>
      <c r="H359" s="7"/>
    </row>
    <row r="360" spans="6:8">
      <c r="F360" s="5"/>
      <c r="H360" s="7"/>
    </row>
    <row r="361" spans="6:8">
      <c r="F361" s="5"/>
      <c r="H361" s="7"/>
    </row>
    <row r="362" spans="6:8">
      <c r="F362" s="5"/>
      <c r="H362" s="7"/>
    </row>
    <row r="363" spans="6:8">
      <c r="F363" s="5"/>
      <c r="H363" s="7"/>
    </row>
    <row r="364" spans="6:8">
      <c r="F364" s="5"/>
      <c r="H364" s="7"/>
    </row>
    <row r="365" spans="6:8">
      <c r="F365" s="5"/>
      <c r="H365" s="7"/>
    </row>
    <row r="366" spans="6:8">
      <c r="F366" s="5"/>
      <c r="H366" s="7"/>
    </row>
    <row r="367" spans="6:8">
      <c r="F367" s="5"/>
      <c r="H367" s="7"/>
    </row>
    <row r="368" spans="6:8">
      <c r="F368" s="5"/>
      <c r="H368" s="7"/>
    </row>
    <row r="369" spans="6:8">
      <c r="F369" s="5"/>
      <c r="H369" s="7"/>
    </row>
    <row r="370" spans="6:8">
      <c r="F370" s="5"/>
      <c r="H370" s="7"/>
    </row>
    <row r="371" spans="6:8">
      <c r="F371" s="5"/>
      <c r="H371" s="7"/>
    </row>
    <row r="372" spans="6:8">
      <c r="F372" s="5"/>
      <c r="H372" s="7"/>
    </row>
    <row r="373" spans="6:8">
      <c r="F373" s="5"/>
      <c r="H373" s="7"/>
    </row>
    <row r="374" spans="6:8">
      <c r="F374" s="5"/>
      <c r="H374" s="7"/>
    </row>
    <row r="375" spans="6:8">
      <c r="F375" s="5"/>
      <c r="H375" s="7"/>
    </row>
    <row r="376" spans="6:8">
      <c r="F376" s="5"/>
      <c r="H376" s="7"/>
    </row>
    <row r="377" spans="6:8">
      <c r="F377" s="5"/>
      <c r="H377" s="7"/>
    </row>
    <row r="378" spans="6:8">
      <c r="F378" s="5"/>
      <c r="H378" s="7"/>
    </row>
    <row r="379" spans="6:8">
      <c r="F379" s="5"/>
      <c r="H379" s="7"/>
    </row>
    <row r="380" spans="6:8">
      <c r="F380" s="5"/>
      <c r="H380" s="7"/>
    </row>
    <row r="381" spans="6:8">
      <c r="F381" s="5"/>
      <c r="H381" s="7"/>
    </row>
    <row r="382" spans="6:8">
      <c r="F382" s="5"/>
      <c r="H382" s="7"/>
    </row>
    <row r="383" spans="6:8">
      <c r="F383" s="5"/>
      <c r="H383" s="7"/>
    </row>
    <row r="384" spans="6:8">
      <c r="F384" s="5"/>
      <c r="H384" s="7"/>
    </row>
    <row r="385" spans="6:8">
      <c r="F385" s="5"/>
      <c r="H385" s="7"/>
    </row>
    <row r="386" spans="6:8">
      <c r="F386" s="5"/>
      <c r="H386" s="7"/>
    </row>
    <row r="387" spans="6:8">
      <c r="F387" s="5"/>
      <c r="H387" s="7"/>
    </row>
    <row r="388" spans="6:8">
      <c r="F388" s="5"/>
      <c r="H388" s="7"/>
    </row>
    <row r="389" spans="6:8">
      <c r="F389" s="5"/>
      <c r="H389" s="7"/>
    </row>
    <row r="390" spans="6:8">
      <c r="F390" s="5"/>
      <c r="H390" s="7"/>
    </row>
    <row r="391" spans="6:8">
      <c r="F391" s="5"/>
      <c r="H391" s="7"/>
    </row>
    <row r="392" spans="6:8">
      <c r="F392" s="5"/>
      <c r="H392" s="7"/>
    </row>
    <row r="393" spans="6:8">
      <c r="F393" s="5"/>
      <c r="H393" s="7"/>
    </row>
    <row r="394" spans="6:8">
      <c r="F394" s="5"/>
      <c r="H394" s="7"/>
    </row>
    <row r="395" spans="6:8">
      <c r="F395" s="5"/>
      <c r="H395" s="7"/>
    </row>
    <row r="396" spans="6:8">
      <c r="F396" s="5"/>
      <c r="H396" s="7"/>
    </row>
    <row r="397" spans="6:8">
      <c r="F397" s="5"/>
      <c r="H397" s="7"/>
    </row>
    <row r="398" spans="6:8">
      <c r="F398" s="5"/>
      <c r="H398" s="7"/>
    </row>
    <row r="399" spans="6:8">
      <c r="F399" s="5"/>
      <c r="H399" s="7"/>
    </row>
    <row r="400" spans="6:8">
      <c r="F400" s="5"/>
      <c r="H400" s="7"/>
    </row>
    <row r="401" spans="6:8">
      <c r="F401" s="5"/>
      <c r="H401" s="7"/>
    </row>
    <row r="402" spans="6:8">
      <c r="F402" s="5"/>
      <c r="H402" s="7"/>
    </row>
    <row r="403" spans="6:8">
      <c r="F403" s="5"/>
      <c r="H403" s="7"/>
    </row>
    <row r="404" spans="6:8">
      <c r="F404" s="5"/>
      <c r="H404" s="7"/>
    </row>
    <row r="405" spans="6:8">
      <c r="F405" s="5"/>
      <c r="H405" s="7"/>
    </row>
    <row r="406" spans="6:8">
      <c r="F406" s="5"/>
      <c r="H406" s="7"/>
    </row>
    <row r="407" spans="6:8">
      <c r="F407" s="5"/>
      <c r="H407" s="7"/>
    </row>
    <row r="408" spans="6:8">
      <c r="F408" s="5"/>
      <c r="H408" s="7"/>
    </row>
    <row r="409" spans="6:8">
      <c r="F409" s="5"/>
      <c r="H409" s="7"/>
    </row>
    <row r="410" spans="6:8">
      <c r="F410" s="5"/>
      <c r="H410" s="7"/>
    </row>
    <row r="411" spans="6:8">
      <c r="F411" s="5"/>
      <c r="H411" s="7"/>
    </row>
    <row r="412" spans="6:8">
      <c r="F412" s="5"/>
      <c r="H412" s="7"/>
    </row>
    <row r="413" spans="6:8">
      <c r="F413" s="5"/>
      <c r="H413" s="7"/>
    </row>
    <row r="414" spans="6:8">
      <c r="F414" s="5"/>
      <c r="H414" s="7"/>
    </row>
    <row r="415" spans="6:8">
      <c r="F415" s="5"/>
      <c r="H415" s="7"/>
    </row>
    <row r="416" spans="6:8">
      <c r="F416" s="5"/>
      <c r="H416" s="7"/>
    </row>
    <row r="417" spans="6:8">
      <c r="F417" s="5"/>
      <c r="H417" s="7"/>
    </row>
    <row r="418" spans="6:8">
      <c r="F418" s="5"/>
      <c r="H418" s="7"/>
    </row>
    <row r="419" spans="6:8">
      <c r="F419" s="5"/>
      <c r="H419" s="7"/>
    </row>
    <row r="420" spans="6:8">
      <c r="F420" s="5"/>
      <c r="H420" s="7"/>
    </row>
    <row r="421" spans="6:8">
      <c r="F421" s="5"/>
      <c r="H421" s="7"/>
    </row>
    <row r="422" spans="6:8">
      <c r="F422" s="5"/>
      <c r="H422" s="7"/>
    </row>
    <row r="423" spans="6:8">
      <c r="F423" s="5"/>
      <c r="H423" s="7"/>
    </row>
    <row r="424" spans="6:8">
      <c r="F424" s="5"/>
      <c r="H424" s="7"/>
    </row>
    <row r="425" spans="6:8">
      <c r="F425" s="5"/>
      <c r="H425" s="7"/>
    </row>
    <row r="426" spans="6:8">
      <c r="F426" s="5"/>
      <c r="H426" s="7"/>
    </row>
    <row r="427" spans="6:8">
      <c r="F427" s="5"/>
      <c r="H427" s="7"/>
    </row>
    <row r="428" spans="6:8">
      <c r="F428" s="5"/>
      <c r="H428" s="7"/>
    </row>
    <row r="429" spans="6:8">
      <c r="F429" s="5"/>
      <c r="H429" s="7"/>
    </row>
    <row r="430" spans="6:8">
      <c r="F430" s="5"/>
      <c r="H430" s="7"/>
    </row>
    <row r="431" spans="6:8">
      <c r="F431" s="5"/>
      <c r="H431" s="7"/>
    </row>
    <row r="432" spans="6:8">
      <c r="F432" s="5"/>
      <c r="H432" s="7"/>
    </row>
    <row r="433" spans="6:8">
      <c r="F433" s="5"/>
      <c r="H433" s="7"/>
    </row>
    <row r="434" spans="6:8">
      <c r="F434" s="5"/>
      <c r="H434" s="7"/>
    </row>
    <row r="435" spans="6:8">
      <c r="F435" s="5"/>
      <c r="H435" s="7"/>
    </row>
    <row r="436" spans="6:8">
      <c r="F436" s="5"/>
      <c r="H436" s="7"/>
    </row>
    <row r="437" spans="6:8">
      <c r="F437" s="5"/>
      <c r="H437" s="7"/>
    </row>
    <row r="438" spans="6:8">
      <c r="F438" s="5"/>
      <c r="H438" s="7"/>
    </row>
    <row r="439" spans="6:8">
      <c r="F439" s="5"/>
      <c r="H439" s="7"/>
    </row>
    <row r="440" spans="6:8">
      <c r="F440" s="5"/>
      <c r="H440" s="7"/>
    </row>
    <row r="441" spans="6:8">
      <c r="F441" s="5"/>
      <c r="H441" s="7"/>
    </row>
    <row r="442" spans="6:8">
      <c r="F442" s="5"/>
      <c r="H442" s="7"/>
    </row>
    <row r="443" spans="6:8">
      <c r="F443" s="5"/>
      <c r="H443" s="7"/>
    </row>
    <row r="444" spans="6:8">
      <c r="F444" s="5"/>
      <c r="H444" s="7"/>
    </row>
    <row r="445" spans="6:8">
      <c r="F445" s="5"/>
      <c r="H445" s="7"/>
    </row>
    <row r="446" spans="6:8">
      <c r="F446" s="5"/>
      <c r="H446" s="7"/>
    </row>
    <row r="447" spans="6:8">
      <c r="F447" s="5"/>
      <c r="H447" s="7"/>
    </row>
    <row r="448" spans="6:8">
      <c r="F448" s="5"/>
      <c r="H448" s="7"/>
    </row>
    <row r="449" spans="6:8">
      <c r="F449" s="5"/>
      <c r="H449" s="7"/>
    </row>
    <row r="450" spans="6:8">
      <c r="F450" s="5"/>
      <c r="H450" s="7"/>
    </row>
    <row r="451" spans="6:8">
      <c r="F451" s="5"/>
      <c r="H451" s="7"/>
    </row>
    <row r="452" spans="6:8">
      <c r="F452" s="5"/>
      <c r="H452" s="7"/>
    </row>
    <row r="453" spans="6:8">
      <c r="F453" s="5"/>
      <c r="H453" s="7"/>
    </row>
    <row r="454" spans="6:8">
      <c r="F454" s="5"/>
      <c r="H454" s="7"/>
    </row>
    <row r="455" spans="6:8">
      <c r="F455" s="5"/>
      <c r="H455" s="7"/>
    </row>
    <row r="456" spans="6:8">
      <c r="F456" s="5"/>
      <c r="H456" s="7"/>
    </row>
    <row r="457" spans="6:8">
      <c r="F457" s="5"/>
      <c r="H457" s="7"/>
    </row>
    <row r="458" spans="6:8">
      <c r="F458" s="5"/>
      <c r="H458" s="7"/>
    </row>
    <row r="459" spans="6:8">
      <c r="F459" s="5"/>
      <c r="H459" s="7"/>
    </row>
    <row r="460" spans="6:8">
      <c r="F460" s="5"/>
      <c r="H460" s="7"/>
    </row>
    <row r="461" spans="6:8">
      <c r="F461" s="5"/>
      <c r="H461" s="7"/>
    </row>
    <row r="462" spans="6:8">
      <c r="F462" s="5"/>
      <c r="H462" s="7"/>
    </row>
    <row r="463" spans="6:8">
      <c r="F463" s="5"/>
      <c r="H463" s="7"/>
    </row>
    <row r="464" spans="6:8">
      <c r="F464" s="5"/>
      <c r="H464" s="7"/>
    </row>
    <row r="465" spans="6:8">
      <c r="F465" s="5"/>
      <c r="H465" s="7"/>
    </row>
    <row r="466" spans="6:8">
      <c r="F466" s="5"/>
      <c r="H466" s="7"/>
    </row>
    <row r="467" spans="6:8">
      <c r="F467" s="5"/>
      <c r="H467" s="7"/>
    </row>
    <row r="468" spans="6:8">
      <c r="F468" s="5"/>
      <c r="H468" s="7"/>
    </row>
    <row r="469" spans="6:8">
      <c r="F469" s="5"/>
      <c r="H469" s="7"/>
    </row>
    <row r="470" spans="6:8">
      <c r="F470" s="5"/>
      <c r="H470" s="7"/>
    </row>
    <row r="471" spans="6:8">
      <c r="F471" s="5"/>
      <c r="H471" s="7"/>
    </row>
    <row r="472" spans="6:8">
      <c r="F472" s="5"/>
      <c r="H472" s="7"/>
    </row>
    <row r="473" spans="6:8">
      <c r="F473" s="5"/>
      <c r="H473" s="7"/>
    </row>
    <row r="474" spans="6:8">
      <c r="F474" s="5"/>
      <c r="H474" s="7"/>
    </row>
    <row r="475" spans="6:8">
      <c r="F475" s="5"/>
      <c r="H475" s="7"/>
    </row>
    <row r="476" spans="6:8">
      <c r="F476" s="5"/>
      <c r="H476" s="7"/>
    </row>
    <row r="477" spans="6:8">
      <c r="F477" s="5"/>
      <c r="H477" s="7"/>
    </row>
    <row r="478" spans="6:8">
      <c r="F478" s="5"/>
      <c r="H478" s="7"/>
    </row>
    <row r="479" spans="6:8">
      <c r="F479" s="5"/>
      <c r="H479" s="7"/>
    </row>
    <row r="480" spans="6:8">
      <c r="F480" s="5"/>
      <c r="H480" s="7"/>
    </row>
    <row r="481" spans="6:8">
      <c r="F481" s="5"/>
      <c r="H481" s="7"/>
    </row>
    <row r="482" spans="6:8">
      <c r="F482" s="5"/>
      <c r="H482" s="7"/>
    </row>
    <row r="483" spans="6:8">
      <c r="F483" s="5"/>
      <c r="H483" s="7"/>
    </row>
    <row r="484" spans="6:8">
      <c r="F484" s="5"/>
      <c r="H484" s="7"/>
    </row>
    <row r="485" spans="6:8">
      <c r="F485" s="5"/>
      <c r="H485" s="7"/>
    </row>
    <row r="486" spans="6:8">
      <c r="F486" s="5"/>
      <c r="H486" s="7"/>
    </row>
    <row r="487" spans="6:8">
      <c r="F487" s="5"/>
      <c r="H487" s="7"/>
    </row>
    <row r="488" spans="6:8">
      <c r="F488" s="5"/>
      <c r="H488" s="7"/>
    </row>
    <row r="489" spans="6:8">
      <c r="F489" s="5"/>
      <c r="H489" s="7"/>
    </row>
    <row r="490" spans="6:8">
      <c r="F490" s="5"/>
      <c r="H490" s="7"/>
    </row>
    <row r="491" spans="6:8">
      <c r="F491" s="5"/>
      <c r="H491" s="7"/>
    </row>
    <row r="492" spans="6:8">
      <c r="F492" s="5"/>
      <c r="H492" s="7"/>
    </row>
    <row r="493" spans="6:8">
      <c r="F493" s="5"/>
      <c r="H493" s="7"/>
    </row>
    <row r="494" spans="6:8">
      <c r="F494" s="5"/>
      <c r="H494" s="7"/>
    </row>
    <row r="495" spans="6:8">
      <c r="F495" s="5"/>
      <c r="H495" s="7"/>
    </row>
    <row r="496" spans="6:8">
      <c r="F496" s="5"/>
      <c r="H496" s="7"/>
    </row>
    <row r="497" spans="6:8">
      <c r="F497" s="5"/>
      <c r="H497" s="7"/>
    </row>
    <row r="498" spans="6:8">
      <c r="F498" s="5"/>
      <c r="H498" s="7"/>
    </row>
    <row r="499" spans="6:8">
      <c r="F499" s="5"/>
      <c r="H499" s="7"/>
    </row>
    <row r="500" spans="6:8">
      <c r="F500" s="5"/>
      <c r="H500" s="7"/>
    </row>
  </sheetData>
  <phoneticPr fontId="6"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xr:uid="{00000000-0002-0000-0900-000000000000}">
          <x14:formula1>
            <xm:f>Lists!$A$2:$A$11</xm:f>
          </x14:formula1>
          <xm:sqref>G2:G500</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00"/>
  <sheetViews>
    <sheetView topLeftCell="A67" workbookViewId="0">
      <selection activeCell="A2" sqref="A2:A100"/>
    </sheetView>
  </sheetViews>
  <sheetFormatPr defaultRowHeight="14.25"/>
  <cols>
    <col min="1" max="8" width="14" customWidth="1"/>
    <col min="9" max="9" width="28" customWidth="1"/>
  </cols>
  <sheetData>
    <row r="1" spans="1:9" ht="32.1" customHeight="1">
      <c r="A1" s="2" t="s">
        <v>184</v>
      </c>
      <c r="B1" s="2" t="s">
        <v>185</v>
      </c>
      <c r="C1" s="2" t="s">
        <v>186</v>
      </c>
      <c r="D1" s="2" t="s">
        <v>187</v>
      </c>
      <c r="E1" s="2" t="s">
        <v>109</v>
      </c>
      <c r="F1" s="2" t="s">
        <v>188</v>
      </c>
      <c r="G1" s="2" t="s">
        <v>167</v>
      </c>
      <c r="H1" s="2" t="s">
        <v>189</v>
      </c>
      <c r="I1" s="2" t="s">
        <v>15</v>
      </c>
    </row>
    <row r="2" spans="1:9" ht="71.25">
      <c r="A2" s="3" t="s">
        <v>190</v>
      </c>
      <c r="B2" s="3" t="s">
        <v>191</v>
      </c>
      <c r="C2" s="3" t="s">
        <v>192</v>
      </c>
      <c r="D2" s="4">
        <v>46205</v>
      </c>
      <c r="E2" s="3" t="s">
        <v>76</v>
      </c>
      <c r="F2" s="3" t="s">
        <v>193</v>
      </c>
      <c r="G2" s="3">
        <v>5</v>
      </c>
      <c r="H2" s="3">
        <v>2</v>
      </c>
      <c r="I2" s="3" t="s">
        <v>194</v>
      </c>
    </row>
    <row r="3" spans="1:9">
      <c r="A3" s="3" t="s">
        <v>1068</v>
      </c>
      <c r="B3" s="3"/>
      <c r="C3" s="3"/>
      <c r="D3" s="4"/>
      <c r="E3" s="3"/>
      <c r="F3" s="3"/>
      <c r="G3" s="3"/>
      <c r="H3" s="3"/>
      <c r="I3" s="3"/>
    </row>
    <row r="4" spans="1:9">
      <c r="A4" s="3" t="s">
        <v>1069</v>
      </c>
      <c r="B4" s="3"/>
      <c r="C4" s="3"/>
      <c r="D4" s="4"/>
      <c r="E4" s="3"/>
      <c r="F4" s="3"/>
      <c r="G4" s="3"/>
      <c r="H4" s="3"/>
      <c r="I4" s="3"/>
    </row>
    <row r="5" spans="1:9">
      <c r="A5" s="3" t="s">
        <v>1070</v>
      </c>
      <c r="B5" s="3"/>
      <c r="C5" s="3"/>
      <c r="D5" s="4"/>
      <c r="E5" s="3"/>
      <c r="F5" s="3"/>
      <c r="G5" s="3"/>
      <c r="H5" s="3"/>
      <c r="I5" s="3"/>
    </row>
    <row r="6" spans="1:9">
      <c r="A6" s="3" t="s">
        <v>1071</v>
      </c>
      <c r="B6" s="3"/>
      <c r="C6" s="3"/>
      <c r="D6" s="4"/>
      <c r="E6" s="3"/>
      <c r="F6" s="3"/>
      <c r="G6" s="3"/>
      <c r="H6" s="3"/>
      <c r="I6" s="3"/>
    </row>
    <row r="7" spans="1:9">
      <c r="A7" s="3" t="s">
        <v>1072</v>
      </c>
      <c r="B7" s="3"/>
      <c r="C7" s="3"/>
      <c r="D7" s="4"/>
      <c r="E7" s="3"/>
      <c r="F7" s="3"/>
      <c r="G7" s="3"/>
      <c r="H7" s="3"/>
      <c r="I7" s="3"/>
    </row>
    <row r="8" spans="1:9">
      <c r="A8" s="3" t="s">
        <v>1073</v>
      </c>
      <c r="B8" s="3"/>
      <c r="C8" s="3"/>
      <c r="D8" s="4"/>
      <c r="E8" s="3"/>
      <c r="F8" s="3"/>
      <c r="G8" s="3"/>
      <c r="H8" s="3"/>
      <c r="I8" s="3"/>
    </row>
    <row r="9" spans="1:9">
      <c r="A9" s="3" t="s">
        <v>1074</v>
      </c>
      <c r="B9" s="3"/>
      <c r="C9" s="3"/>
      <c r="D9" s="4"/>
      <c r="E9" s="3"/>
      <c r="F9" s="3"/>
      <c r="G9" s="3"/>
      <c r="H9" s="3"/>
      <c r="I9" s="3"/>
    </row>
    <row r="10" spans="1:9">
      <c r="A10" s="3" t="s">
        <v>1075</v>
      </c>
      <c r="B10" s="3"/>
      <c r="C10" s="3"/>
      <c r="D10" s="4"/>
      <c r="E10" s="3"/>
      <c r="F10" s="3"/>
      <c r="G10" s="3"/>
      <c r="H10" s="3"/>
      <c r="I10" s="3"/>
    </row>
    <row r="11" spans="1:9">
      <c r="A11" s="3" t="s">
        <v>1076</v>
      </c>
      <c r="B11" s="3"/>
      <c r="C11" s="3"/>
      <c r="D11" s="4"/>
      <c r="E11" s="3"/>
      <c r="F11" s="3"/>
      <c r="G11" s="3"/>
      <c r="H11" s="3"/>
      <c r="I11" s="3"/>
    </row>
    <row r="12" spans="1:9">
      <c r="A12" s="3" t="s">
        <v>1077</v>
      </c>
      <c r="B12" s="3"/>
      <c r="C12" s="3"/>
      <c r="D12" s="4"/>
      <c r="E12" s="3"/>
      <c r="F12" s="3"/>
      <c r="G12" s="3"/>
      <c r="H12" s="3"/>
      <c r="I12" s="3"/>
    </row>
    <row r="13" spans="1:9">
      <c r="A13" s="3" t="s">
        <v>1078</v>
      </c>
      <c r="B13" s="3"/>
      <c r="C13" s="3"/>
      <c r="D13" s="4"/>
      <c r="E13" s="3"/>
      <c r="F13" s="3"/>
      <c r="G13" s="3"/>
      <c r="H13" s="3"/>
      <c r="I13" s="3"/>
    </row>
    <row r="14" spans="1:9">
      <c r="A14" s="3" t="s">
        <v>1079</v>
      </c>
      <c r="B14" s="3"/>
      <c r="C14" s="3"/>
      <c r="D14" s="4"/>
      <c r="E14" s="3"/>
      <c r="F14" s="3"/>
      <c r="G14" s="3"/>
      <c r="H14" s="3"/>
      <c r="I14" s="3"/>
    </row>
    <row r="15" spans="1:9">
      <c r="A15" s="3" t="s">
        <v>1080</v>
      </c>
      <c r="B15" s="3"/>
      <c r="C15" s="3"/>
      <c r="D15" s="4"/>
      <c r="E15" s="3"/>
      <c r="F15" s="3"/>
      <c r="G15" s="3"/>
      <c r="H15" s="3"/>
      <c r="I15" s="3"/>
    </row>
    <row r="16" spans="1:9">
      <c r="A16" s="3" t="s">
        <v>1081</v>
      </c>
      <c r="B16" s="3"/>
      <c r="C16" s="3"/>
      <c r="D16" s="4"/>
      <c r="E16" s="3"/>
      <c r="F16" s="3"/>
      <c r="G16" s="3"/>
      <c r="H16" s="3"/>
      <c r="I16" s="3"/>
    </row>
    <row r="17" spans="1:9">
      <c r="A17" s="3" t="s">
        <v>1082</v>
      </c>
      <c r="B17" s="3"/>
      <c r="C17" s="3"/>
      <c r="D17" s="4"/>
      <c r="E17" s="3"/>
      <c r="F17" s="3"/>
      <c r="G17" s="3"/>
      <c r="H17" s="3"/>
      <c r="I17" s="3"/>
    </row>
    <row r="18" spans="1:9">
      <c r="A18" s="3" t="s">
        <v>1083</v>
      </c>
      <c r="B18" s="3"/>
      <c r="C18" s="3"/>
      <c r="D18" s="4"/>
      <c r="E18" s="3"/>
      <c r="F18" s="3"/>
      <c r="G18" s="3"/>
      <c r="H18" s="3"/>
      <c r="I18" s="3"/>
    </row>
    <row r="19" spans="1:9">
      <c r="A19" s="3" t="s">
        <v>1084</v>
      </c>
      <c r="B19" s="3"/>
      <c r="C19" s="3"/>
      <c r="D19" s="4"/>
      <c r="E19" s="3"/>
      <c r="F19" s="3"/>
      <c r="G19" s="3"/>
      <c r="H19" s="3"/>
      <c r="I19" s="3"/>
    </row>
    <row r="20" spans="1:9">
      <c r="A20" s="3" t="s">
        <v>1085</v>
      </c>
      <c r="B20" s="3"/>
      <c r="C20" s="3"/>
      <c r="D20" s="4"/>
      <c r="E20" s="3"/>
      <c r="F20" s="3"/>
      <c r="G20" s="3"/>
      <c r="H20" s="3"/>
      <c r="I20" s="3"/>
    </row>
    <row r="21" spans="1:9">
      <c r="A21" s="3" t="s">
        <v>1086</v>
      </c>
      <c r="B21" s="3"/>
      <c r="C21" s="3"/>
      <c r="D21" s="4"/>
      <c r="E21" s="3"/>
      <c r="F21" s="3"/>
      <c r="G21" s="3"/>
      <c r="H21" s="3"/>
      <c r="I21" s="3"/>
    </row>
    <row r="22" spans="1:9">
      <c r="A22" s="3" t="s">
        <v>1087</v>
      </c>
      <c r="B22" s="3"/>
      <c r="C22" s="3"/>
      <c r="D22" s="4"/>
      <c r="E22" s="3"/>
      <c r="F22" s="3"/>
      <c r="G22" s="3"/>
      <c r="H22" s="3"/>
      <c r="I22" s="3"/>
    </row>
    <row r="23" spans="1:9">
      <c r="A23" s="3" t="s">
        <v>1088</v>
      </c>
      <c r="B23" s="3"/>
      <c r="C23" s="3"/>
      <c r="D23" s="4"/>
      <c r="E23" s="3"/>
      <c r="F23" s="3"/>
      <c r="G23" s="3"/>
      <c r="H23" s="3"/>
      <c r="I23" s="3"/>
    </row>
    <row r="24" spans="1:9">
      <c r="A24" s="3" t="s">
        <v>1089</v>
      </c>
      <c r="B24" s="3"/>
      <c r="C24" s="3"/>
      <c r="D24" s="4"/>
      <c r="E24" s="3"/>
      <c r="F24" s="3"/>
      <c r="G24" s="3"/>
      <c r="H24" s="3"/>
      <c r="I24" s="3"/>
    </row>
    <row r="25" spans="1:9">
      <c r="A25" s="3" t="s">
        <v>1090</v>
      </c>
      <c r="B25" s="3"/>
      <c r="C25" s="3"/>
      <c r="D25" s="4"/>
      <c r="E25" s="3"/>
      <c r="F25" s="3"/>
      <c r="G25" s="3"/>
      <c r="H25" s="3"/>
      <c r="I25" s="3"/>
    </row>
    <row r="26" spans="1:9">
      <c r="A26" s="3" t="s">
        <v>1091</v>
      </c>
      <c r="B26" s="3"/>
      <c r="C26" s="3"/>
      <c r="D26" s="4"/>
      <c r="E26" s="3"/>
      <c r="F26" s="3"/>
      <c r="G26" s="3"/>
      <c r="H26" s="3"/>
      <c r="I26" s="3"/>
    </row>
    <row r="27" spans="1:9">
      <c r="A27" s="3" t="s">
        <v>1092</v>
      </c>
      <c r="B27" s="3"/>
      <c r="C27" s="3"/>
      <c r="D27" s="4"/>
      <c r="E27" s="3"/>
      <c r="F27" s="3"/>
      <c r="G27" s="3"/>
      <c r="H27" s="3"/>
      <c r="I27" s="3"/>
    </row>
    <row r="28" spans="1:9">
      <c r="A28" s="3" t="s">
        <v>1093</v>
      </c>
      <c r="B28" s="3"/>
      <c r="C28" s="3"/>
      <c r="D28" s="4"/>
      <c r="E28" s="3"/>
      <c r="F28" s="3"/>
      <c r="G28" s="3"/>
      <c r="H28" s="3"/>
      <c r="I28" s="3"/>
    </row>
    <row r="29" spans="1:9">
      <c r="A29" s="3" t="s">
        <v>1094</v>
      </c>
      <c r="B29" s="3"/>
      <c r="C29" s="3"/>
      <c r="D29" s="4"/>
      <c r="E29" s="3"/>
      <c r="F29" s="3"/>
      <c r="G29" s="3"/>
      <c r="H29" s="3"/>
      <c r="I29" s="3"/>
    </row>
    <row r="30" spans="1:9">
      <c r="A30" s="3" t="s">
        <v>1095</v>
      </c>
      <c r="B30" s="3"/>
      <c r="C30" s="3"/>
      <c r="D30" s="4"/>
      <c r="E30" s="3"/>
      <c r="F30" s="3"/>
      <c r="G30" s="3"/>
      <c r="H30" s="3"/>
      <c r="I30" s="3"/>
    </row>
    <row r="31" spans="1:9">
      <c r="A31" s="3" t="s">
        <v>1096</v>
      </c>
      <c r="B31" s="3"/>
      <c r="C31" s="3"/>
      <c r="D31" s="4"/>
      <c r="E31" s="3"/>
      <c r="F31" s="3"/>
      <c r="G31" s="3"/>
      <c r="H31" s="3"/>
      <c r="I31" s="3"/>
    </row>
    <row r="32" spans="1:9">
      <c r="A32" s="3" t="s">
        <v>1097</v>
      </c>
      <c r="B32" s="3"/>
      <c r="C32" s="3"/>
      <c r="D32" s="4"/>
      <c r="E32" s="3"/>
      <c r="F32" s="3"/>
      <c r="G32" s="3"/>
      <c r="H32" s="3"/>
      <c r="I32" s="3"/>
    </row>
    <row r="33" spans="1:9">
      <c r="A33" s="3" t="s">
        <v>1098</v>
      </c>
      <c r="B33" s="3"/>
      <c r="C33" s="3"/>
      <c r="D33" s="4"/>
      <c r="E33" s="3"/>
      <c r="F33" s="3"/>
      <c r="G33" s="3"/>
      <c r="H33" s="3"/>
      <c r="I33" s="3"/>
    </row>
    <row r="34" spans="1:9">
      <c r="A34" s="3" t="s">
        <v>1099</v>
      </c>
      <c r="B34" s="3"/>
      <c r="C34" s="3"/>
      <c r="D34" s="4"/>
      <c r="E34" s="3"/>
      <c r="F34" s="3"/>
      <c r="G34" s="3"/>
      <c r="H34" s="3"/>
      <c r="I34" s="3"/>
    </row>
    <row r="35" spans="1:9">
      <c r="A35" s="3" t="s">
        <v>1100</v>
      </c>
      <c r="B35" s="3"/>
      <c r="C35" s="3"/>
      <c r="D35" s="4"/>
      <c r="E35" s="3"/>
      <c r="F35" s="3"/>
      <c r="G35" s="3"/>
      <c r="H35" s="3"/>
      <c r="I35" s="3"/>
    </row>
    <row r="36" spans="1:9">
      <c r="A36" s="3" t="s">
        <v>1101</v>
      </c>
      <c r="B36" s="3"/>
      <c r="C36" s="3"/>
      <c r="D36" s="4"/>
      <c r="E36" s="3"/>
      <c r="F36" s="3"/>
      <c r="G36" s="3"/>
      <c r="H36" s="3"/>
      <c r="I36" s="3"/>
    </row>
    <row r="37" spans="1:9">
      <c r="A37" s="3" t="s">
        <v>1102</v>
      </c>
      <c r="B37" s="3"/>
      <c r="C37" s="3"/>
      <c r="D37" s="4"/>
      <c r="E37" s="3"/>
      <c r="F37" s="3"/>
      <c r="G37" s="3"/>
      <c r="H37" s="3"/>
      <c r="I37" s="3"/>
    </row>
    <row r="38" spans="1:9">
      <c r="A38" s="3" t="s">
        <v>1103</v>
      </c>
      <c r="B38" s="3"/>
      <c r="C38" s="3"/>
      <c r="D38" s="4"/>
      <c r="E38" s="3"/>
      <c r="F38" s="3"/>
      <c r="G38" s="3"/>
      <c r="H38" s="3"/>
      <c r="I38" s="3"/>
    </row>
    <row r="39" spans="1:9">
      <c r="A39" s="3" t="s">
        <v>1104</v>
      </c>
      <c r="B39" s="3"/>
      <c r="C39" s="3"/>
      <c r="D39" s="4"/>
      <c r="E39" s="3"/>
      <c r="F39" s="3"/>
      <c r="G39" s="3"/>
      <c r="H39" s="3"/>
      <c r="I39" s="3"/>
    </row>
    <row r="40" spans="1:9">
      <c r="A40" s="3" t="s">
        <v>1105</v>
      </c>
      <c r="B40" s="3"/>
      <c r="C40" s="3"/>
      <c r="D40" s="4"/>
      <c r="E40" s="3"/>
      <c r="F40" s="3"/>
      <c r="G40" s="3"/>
      <c r="H40" s="3"/>
      <c r="I40" s="3"/>
    </row>
    <row r="41" spans="1:9">
      <c r="A41" s="3" t="s">
        <v>1106</v>
      </c>
      <c r="B41" s="3"/>
      <c r="C41" s="3"/>
      <c r="D41" s="4"/>
      <c r="E41" s="3"/>
      <c r="F41" s="3"/>
      <c r="G41" s="3"/>
      <c r="H41" s="3"/>
      <c r="I41" s="3"/>
    </row>
    <row r="42" spans="1:9">
      <c r="A42" s="3" t="s">
        <v>1107</v>
      </c>
      <c r="B42" s="3"/>
      <c r="C42" s="3"/>
      <c r="D42" s="4"/>
      <c r="E42" s="3"/>
      <c r="F42" s="3"/>
      <c r="G42" s="3"/>
      <c r="H42" s="3"/>
      <c r="I42" s="3"/>
    </row>
    <row r="43" spans="1:9">
      <c r="A43" s="3" t="s">
        <v>1108</v>
      </c>
      <c r="B43" s="3"/>
      <c r="C43" s="3"/>
      <c r="D43" s="4"/>
      <c r="E43" s="3"/>
      <c r="F43" s="3"/>
      <c r="G43" s="3"/>
      <c r="H43" s="3"/>
      <c r="I43" s="3"/>
    </row>
    <row r="44" spans="1:9">
      <c r="A44" s="3" t="s">
        <v>1109</v>
      </c>
      <c r="B44" s="3"/>
      <c r="C44" s="3"/>
      <c r="D44" s="4"/>
      <c r="E44" s="3"/>
      <c r="F44" s="3"/>
      <c r="G44" s="3"/>
      <c r="H44" s="3"/>
      <c r="I44" s="3"/>
    </row>
    <row r="45" spans="1:9">
      <c r="A45" s="3" t="s">
        <v>1110</v>
      </c>
      <c r="B45" s="3"/>
      <c r="C45" s="3"/>
      <c r="D45" s="4"/>
      <c r="E45" s="3"/>
      <c r="F45" s="3"/>
      <c r="G45" s="3"/>
      <c r="H45" s="3"/>
      <c r="I45" s="3"/>
    </row>
    <row r="46" spans="1:9">
      <c r="A46" s="3" t="s">
        <v>1111</v>
      </c>
      <c r="B46" s="3"/>
      <c r="C46" s="3"/>
      <c r="D46" s="4"/>
      <c r="E46" s="3"/>
      <c r="F46" s="3"/>
      <c r="G46" s="3"/>
      <c r="H46" s="3"/>
      <c r="I46" s="3"/>
    </row>
    <row r="47" spans="1:9">
      <c r="A47" s="3" t="s">
        <v>1112</v>
      </c>
      <c r="B47" s="3"/>
      <c r="C47" s="3"/>
      <c r="D47" s="4"/>
      <c r="E47" s="3"/>
      <c r="F47" s="3"/>
      <c r="G47" s="3"/>
      <c r="H47" s="3"/>
      <c r="I47" s="3"/>
    </row>
    <row r="48" spans="1:9">
      <c r="A48" s="3" t="s">
        <v>1113</v>
      </c>
      <c r="B48" s="3"/>
      <c r="C48" s="3"/>
      <c r="D48" s="4"/>
      <c r="E48" s="3"/>
      <c r="F48" s="3"/>
      <c r="G48" s="3"/>
      <c r="H48" s="3"/>
      <c r="I48" s="3"/>
    </row>
    <row r="49" spans="1:9">
      <c r="A49" s="3" t="s">
        <v>1114</v>
      </c>
      <c r="B49" s="3"/>
      <c r="C49" s="3"/>
      <c r="D49" s="4"/>
      <c r="E49" s="3"/>
      <c r="F49" s="3"/>
      <c r="G49" s="3"/>
      <c r="H49" s="3"/>
      <c r="I49" s="3"/>
    </row>
    <row r="50" spans="1:9">
      <c r="A50" s="3" t="s">
        <v>1115</v>
      </c>
      <c r="B50" s="3"/>
      <c r="C50" s="3"/>
      <c r="D50" s="4"/>
      <c r="E50" s="3"/>
      <c r="F50" s="3"/>
      <c r="G50" s="3"/>
      <c r="H50" s="3"/>
      <c r="I50" s="3"/>
    </row>
    <row r="51" spans="1:9">
      <c r="A51" s="3" t="s">
        <v>1116</v>
      </c>
      <c r="B51" s="3"/>
      <c r="C51" s="3"/>
      <c r="D51" s="4"/>
      <c r="E51" s="3"/>
      <c r="F51" s="3"/>
      <c r="G51" s="3"/>
      <c r="H51" s="3"/>
      <c r="I51" s="3"/>
    </row>
    <row r="52" spans="1:9">
      <c r="A52" s="3" t="s">
        <v>1117</v>
      </c>
      <c r="B52" s="3"/>
      <c r="C52" s="3"/>
      <c r="D52" s="4"/>
      <c r="E52" s="3"/>
      <c r="F52" s="3"/>
      <c r="G52" s="3"/>
      <c r="H52" s="3"/>
      <c r="I52" s="3"/>
    </row>
    <row r="53" spans="1:9">
      <c r="A53" s="3" t="s">
        <v>1118</v>
      </c>
      <c r="B53" s="3"/>
      <c r="C53" s="3"/>
      <c r="D53" s="4"/>
      <c r="E53" s="3"/>
      <c r="F53" s="3"/>
      <c r="G53" s="3"/>
      <c r="H53" s="3"/>
      <c r="I53" s="3"/>
    </row>
    <row r="54" spans="1:9">
      <c r="A54" s="3" t="s">
        <v>1119</v>
      </c>
      <c r="B54" s="3"/>
      <c r="C54" s="3"/>
      <c r="D54" s="4"/>
      <c r="E54" s="3"/>
      <c r="F54" s="3"/>
      <c r="G54" s="3"/>
      <c r="H54" s="3"/>
      <c r="I54" s="3"/>
    </row>
    <row r="55" spans="1:9">
      <c r="A55" s="3" t="s">
        <v>1120</v>
      </c>
      <c r="B55" s="3"/>
      <c r="C55" s="3"/>
      <c r="D55" s="4"/>
      <c r="E55" s="3"/>
      <c r="F55" s="3"/>
      <c r="G55" s="3"/>
      <c r="H55" s="3"/>
      <c r="I55" s="3"/>
    </row>
    <row r="56" spans="1:9">
      <c r="A56" s="3" t="s">
        <v>1121</v>
      </c>
      <c r="B56" s="3"/>
      <c r="C56" s="3"/>
      <c r="D56" s="4"/>
      <c r="E56" s="3"/>
      <c r="F56" s="3"/>
      <c r="G56" s="3"/>
      <c r="H56" s="3"/>
      <c r="I56" s="3"/>
    </row>
    <row r="57" spans="1:9">
      <c r="A57" s="3" t="s">
        <v>1122</v>
      </c>
      <c r="B57" s="3"/>
      <c r="C57" s="3"/>
      <c r="D57" s="4"/>
      <c r="E57" s="3"/>
      <c r="F57" s="3"/>
      <c r="G57" s="3"/>
      <c r="H57" s="3"/>
      <c r="I57" s="3"/>
    </row>
    <row r="58" spans="1:9">
      <c r="A58" s="3" t="s">
        <v>1123</v>
      </c>
      <c r="B58" s="3"/>
      <c r="C58" s="3"/>
      <c r="D58" s="4"/>
      <c r="E58" s="3"/>
      <c r="F58" s="3"/>
      <c r="G58" s="3"/>
      <c r="H58" s="3"/>
      <c r="I58" s="3"/>
    </row>
    <row r="59" spans="1:9">
      <c r="A59" s="3" t="s">
        <v>1124</v>
      </c>
      <c r="B59" s="3"/>
      <c r="C59" s="3"/>
      <c r="D59" s="4"/>
      <c r="E59" s="3"/>
      <c r="F59" s="3"/>
      <c r="G59" s="3"/>
      <c r="H59" s="3"/>
      <c r="I59" s="3"/>
    </row>
    <row r="60" spans="1:9">
      <c r="A60" s="3" t="s">
        <v>1125</v>
      </c>
      <c r="B60" s="3"/>
      <c r="C60" s="3"/>
      <c r="D60" s="4"/>
      <c r="E60" s="3"/>
      <c r="F60" s="3"/>
      <c r="G60" s="3"/>
      <c r="H60" s="3"/>
      <c r="I60" s="3"/>
    </row>
    <row r="61" spans="1:9">
      <c r="A61" s="3" t="s">
        <v>1126</v>
      </c>
      <c r="B61" s="3"/>
      <c r="C61" s="3"/>
      <c r="D61" s="4"/>
      <c r="E61" s="3"/>
      <c r="F61" s="3"/>
      <c r="G61" s="3"/>
      <c r="H61" s="3"/>
      <c r="I61" s="3"/>
    </row>
    <row r="62" spans="1:9">
      <c r="A62" s="3" t="s">
        <v>1127</v>
      </c>
      <c r="B62" s="3"/>
      <c r="C62" s="3"/>
      <c r="D62" s="4"/>
      <c r="E62" s="3"/>
      <c r="F62" s="3"/>
      <c r="G62" s="3"/>
      <c r="H62" s="3"/>
      <c r="I62" s="3"/>
    </row>
    <row r="63" spans="1:9">
      <c r="A63" s="3" t="s">
        <v>1128</v>
      </c>
      <c r="B63" s="3"/>
      <c r="C63" s="3"/>
      <c r="D63" s="4"/>
      <c r="E63" s="3"/>
      <c r="F63" s="3"/>
      <c r="G63" s="3"/>
      <c r="H63" s="3"/>
      <c r="I63" s="3"/>
    </row>
    <row r="64" spans="1:9">
      <c r="A64" s="3" t="s">
        <v>1129</v>
      </c>
      <c r="B64" s="3"/>
      <c r="C64" s="3"/>
      <c r="D64" s="4"/>
      <c r="E64" s="3"/>
      <c r="F64" s="3"/>
      <c r="G64" s="3"/>
      <c r="H64" s="3"/>
      <c r="I64" s="3"/>
    </row>
    <row r="65" spans="1:9">
      <c r="A65" s="3" t="s">
        <v>1130</v>
      </c>
      <c r="B65" s="3"/>
      <c r="C65" s="3"/>
      <c r="D65" s="4"/>
      <c r="E65" s="3"/>
      <c r="F65" s="3"/>
      <c r="G65" s="3"/>
      <c r="H65" s="3"/>
      <c r="I65" s="3"/>
    </row>
    <row r="66" spans="1:9">
      <c r="A66" s="3" t="s">
        <v>1131</v>
      </c>
      <c r="B66" s="3"/>
      <c r="C66" s="3"/>
      <c r="D66" s="4"/>
      <c r="E66" s="3"/>
      <c r="F66" s="3"/>
      <c r="G66" s="3"/>
      <c r="H66" s="3"/>
      <c r="I66" s="3"/>
    </row>
    <row r="67" spans="1:9">
      <c r="A67" s="3" t="s">
        <v>1132</v>
      </c>
      <c r="B67" s="3"/>
      <c r="C67" s="3"/>
      <c r="D67" s="4"/>
      <c r="E67" s="3"/>
      <c r="F67" s="3"/>
      <c r="G67" s="3"/>
      <c r="H67" s="3"/>
      <c r="I67" s="3"/>
    </row>
    <row r="68" spans="1:9">
      <c r="A68" s="3" t="s">
        <v>1133</v>
      </c>
      <c r="B68" s="3"/>
      <c r="C68" s="3"/>
      <c r="D68" s="4"/>
      <c r="E68" s="3"/>
      <c r="F68" s="3"/>
      <c r="G68" s="3"/>
      <c r="H68" s="3"/>
      <c r="I68" s="3"/>
    </row>
    <row r="69" spans="1:9">
      <c r="A69" s="3" t="s">
        <v>1134</v>
      </c>
      <c r="B69" s="3"/>
      <c r="C69" s="3"/>
      <c r="D69" s="4"/>
      <c r="E69" s="3"/>
      <c r="F69" s="3"/>
      <c r="G69" s="3"/>
      <c r="H69" s="3"/>
      <c r="I69" s="3"/>
    </row>
    <row r="70" spans="1:9">
      <c r="A70" s="3" t="s">
        <v>1135</v>
      </c>
      <c r="B70" s="3"/>
      <c r="C70" s="3"/>
      <c r="D70" s="4"/>
      <c r="E70" s="3"/>
      <c r="F70" s="3"/>
      <c r="G70" s="3"/>
      <c r="H70" s="3"/>
      <c r="I70" s="3"/>
    </row>
    <row r="71" spans="1:9">
      <c r="A71" s="3" t="s">
        <v>1136</v>
      </c>
      <c r="B71" s="3"/>
      <c r="C71" s="3"/>
      <c r="D71" s="4"/>
      <c r="E71" s="3"/>
      <c r="F71" s="3"/>
      <c r="G71" s="3"/>
      <c r="H71" s="3"/>
      <c r="I71" s="3"/>
    </row>
    <row r="72" spans="1:9">
      <c r="A72" s="3" t="s">
        <v>1137</v>
      </c>
      <c r="B72" s="3"/>
      <c r="C72" s="3"/>
      <c r="D72" s="4"/>
      <c r="E72" s="3"/>
      <c r="F72" s="3"/>
      <c r="G72" s="3"/>
      <c r="H72" s="3"/>
      <c r="I72" s="3"/>
    </row>
    <row r="73" spans="1:9">
      <c r="A73" s="3" t="s">
        <v>1138</v>
      </c>
      <c r="B73" s="3"/>
      <c r="C73" s="3"/>
      <c r="D73" s="4"/>
      <c r="E73" s="3"/>
      <c r="F73" s="3"/>
      <c r="G73" s="3"/>
      <c r="H73" s="3"/>
      <c r="I73" s="3"/>
    </row>
    <row r="74" spans="1:9">
      <c r="A74" s="3" t="s">
        <v>1139</v>
      </c>
      <c r="B74" s="3"/>
      <c r="C74" s="3"/>
      <c r="D74" s="4"/>
      <c r="E74" s="3"/>
      <c r="F74" s="3"/>
      <c r="G74" s="3"/>
      <c r="H74" s="3"/>
      <c r="I74" s="3"/>
    </row>
    <row r="75" spans="1:9">
      <c r="A75" s="3" t="s">
        <v>1140</v>
      </c>
      <c r="B75" s="3"/>
      <c r="C75" s="3"/>
      <c r="D75" s="4"/>
      <c r="E75" s="3"/>
      <c r="F75" s="3"/>
      <c r="G75" s="3"/>
      <c r="H75" s="3"/>
      <c r="I75" s="3"/>
    </row>
    <row r="76" spans="1:9">
      <c r="A76" s="3" t="s">
        <v>1141</v>
      </c>
      <c r="B76" s="3"/>
      <c r="C76" s="3"/>
      <c r="D76" s="4"/>
      <c r="E76" s="3"/>
      <c r="F76" s="3"/>
      <c r="G76" s="3"/>
      <c r="H76" s="3"/>
      <c r="I76" s="3"/>
    </row>
    <row r="77" spans="1:9">
      <c r="A77" s="3" t="s">
        <v>1142</v>
      </c>
      <c r="B77" s="3"/>
      <c r="C77" s="3"/>
      <c r="D77" s="4"/>
      <c r="E77" s="3"/>
      <c r="F77" s="3"/>
      <c r="G77" s="3"/>
      <c r="H77" s="3"/>
      <c r="I77" s="3"/>
    </row>
    <row r="78" spans="1:9">
      <c r="A78" s="3" t="s">
        <v>1143</v>
      </c>
      <c r="B78" s="3"/>
      <c r="C78" s="3"/>
      <c r="D78" s="4"/>
      <c r="E78" s="3"/>
      <c r="F78" s="3"/>
      <c r="G78" s="3"/>
      <c r="H78" s="3"/>
      <c r="I78" s="3"/>
    </row>
    <row r="79" spans="1:9">
      <c r="A79" s="3" t="s">
        <v>1144</v>
      </c>
      <c r="B79" s="3"/>
      <c r="C79" s="3"/>
      <c r="D79" s="4"/>
      <c r="E79" s="3"/>
      <c r="F79" s="3"/>
      <c r="G79" s="3"/>
      <c r="H79" s="3"/>
      <c r="I79" s="3"/>
    </row>
    <row r="80" spans="1:9">
      <c r="A80" s="3" t="s">
        <v>1145</v>
      </c>
      <c r="B80" s="3"/>
      <c r="C80" s="3"/>
      <c r="D80" s="4"/>
      <c r="E80" s="3"/>
      <c r="F80" s="3"/>
      <c r="G80" s="3"/>
      <c r="H80" s="3"/>
      <c r="I80" s="3"/>
    </row>
    <row r="81" spans="1:9">
      <c r="A81" s="3" t="s">
        <v>1146</v>
      </c>
      <c r="B81" s="3"/>
      <c r="C81" s="3"/>
      <c r="D81" s="4"/>
      <c r="E81" s="3"/>
      <c r="F81" s="3"/>
      <c r="G81" s="3"/>
      <c r="H81" s="3"/>
      <c r="I81" s="3"/>
    </row>
    <row r="82" spans="1:9">
      <c r="A82" s="3" t="s">
        <v>1147</v>
      </c>
      <c r="B82" s="3"/>
      <c r="C82" s="3"/>
      <c r="D82" s="4"/>
      <c r="E82" s="3"/>
      <c r="F82" s="3"/>
      <c r="G82" s="3"/>
      <c r="H82" s="3"/>
      <c r="I82" s="3"/>
    </row>
    <row r="83" spans="1:9">
      <c r="A83" s="3" t="s">
        <v>1148</v>
      </c>
      <c r="B83" s="3"/>
      <c r="C83" s="3"/>
      <c r="D83" s="4"/>
      <c r="E83" s="3"/>
      <c r="F83" s="3"/>
      <c r="G83" s="3"/>
      <c r="H83" s="3"/>
      <c r="I83" s="3"/>
    </row>
    <row r="84" spans="1:9">
      <c r="A84" s="3" t="s">
        <v>1149</v>
      </c>
      <c r="B84" s="3"/>
      <c r="C84" s="3"/>
      <c r="D84" s="4"/>
      <c r="E84" s="3"/>
      <c r="F84" s="3"/>
      <c r="G84" s="3"/>
      <c r="H84" s="3"/>
      <c r="I84" s="3"/>
    </row>
    <row r="85" spans="1:9">
      <c r="A85" s="3" t="s">
        <v>1150</v>
      </c>
      <c r="B85" s="3"/>
      <c r="C85" s="3"/>
      <c r="D85" s="4"/>
      <c r="E85" s="3"/>
      <c r="F85" s="3"/>
      <c r="G85" s="3"/>
      <c r="H85" s="3"/>
      <c r="I85" s="3"/>
    </row>
    <row r="86" spans="1:9">
      <c r="A86" s="3" t="s">
        <v>1151</v>
      </c>
      <c r="B86" s="3"/>
      <c r="C86" s="3"/>
      <c r="D86" s="4"/>
      <c r="E86" s="3"/>
      <c r="F86" s="3"/>
      <c r="G86" s="3"/>
      <c r="H86" s="3"/>
      <c r="I86" s="3"/>
    </row>
    <row r="87" spans="1:9">
      <c r="A87" s="3" t="s">
        <v>1152</v>
      </c>
      <c r="B87" s="3"/>
      <c r="C87" s="3"/>
      <c r="D87" s="4"/>
      <c r="E87" s="3"/>
      <c r="F87" s="3"/>
      <c r="G87" s="3"/>
      <c r="H87" s="3"/>
      <c r="I87" s="3"/>
    </row>
    <row r="88" spans="1:9">
      <c r="A88" s="3" t="s">
        <v>1153</v>
      </c>
      <c r="B88" s="3"/>
      <c r="C88" s="3"/>
      <c r="D88" s="4"/>
      <c r="E88" s="3"/>
      <c r="F88" s="3"/>
      <c r="G88" s="3"/>
      <c r="H88" s="3"/>
      <c r="I88" s="3"/>
    </row>
    <row r="89" spans="1:9">
      <c r="A89" s="3" t="s">
        <v>1154</v>
      </c>
      <c r="B89" s="3"/>
      <c r="C89" s="3"/>
      <c r="D89" s="4"/>
      <c r="E89" s="3"/>
      <c r="F89" s="3"/>
      <c r="G89" s="3"/>
      <c r="H89" s="3"/>
      <c r="I89" s="3"/>
    </row>
    <row r="90" spans="1:9">
      <c r="A90" s="3" t="s">
        <v>1155</v>
      </c>
      <c r="B90" s="3"/>
      <c r="C90" s="3"/>
      <c r="D90" s="4"/>
      <c r="E90" s="3"/>
      <c r="F90" s="3"/>
      <c r="G90" s="3"/>
      <c r="H90" s="3"/>
      <c r="I90" s="3"/>
    </row>
    <row r="91" spans="1:9">
      <c r="A91" s="3" t="s">
        <v>1156</v>
      </c>
      <c r="B91" s="3"/>
      <c r="C91" s="3"/>
      <c r="D91" s="4"/>
      <c r="E91" s="3"/>
      <c r="F91" s="3"/>
      <c r="G91" s="3"/>
      <c r="H91" s="3"/>
      <c r="I91" s="3"/>
    </row>
    <row r="92" spans="1:9">
      <c r="A92" s="3" t="s">
        <v>1157</v>
      </c>
      <c r="B92" s="3"/>
      <c r="C92" s="3"/>
      <c r="D92" s="4"/>
      <c r="E92" s="3"/>
      <c r="F92" s="3"/>
      <c r="G92" s="3"/>
      <c r="H92" s="3"/>
      <c r="I92" s="3"/>
    </row>
    <row r="93" spans="1:9">
      <c r="A93" s="3" t="s">
        <v>1158</v>
      </c>
      <c r="B93" s="3"/>
      <c r="C93" s="3"/>
      <c r="D93" s="4"/>
      <c r="E93" s="3"/>
      <c r="F93" s="3"/>
      <c r="G93" s="3"/>
      <c r="H93" s="3"/>
      <c r="I93" s="3"/>
    </row>
    <row r="94" spans="1:9">
      <c r="A94" s="3" t="s">
        <v>1159</v>
      </c>
      <c r="B94" s="3"/>
      <c r="C94" s="3"/>
      <c r="D94" s="4"/>
      <c r="E94" s="3"/>
      <c r="F94" s="3"/>
      <c r="G94" s="3"/>
      <c r="H94" s="3"/>
      <c r="I94" s="3"/>
    </row>
    <row r="95" spans="1:9">
      <c r="A95" s="3" t="s">
        <v>1160</v>
      </c>
      <c r="B95" s="3"/>
      <c r="C95" s="3"/>
      <c r="D95" s="4"/>
      <c r="E95" s="3"/>
      <c r="F95" s="3"/>
      <c r="G95" s="3"/>
      <c r="H95" s="3"/>
      <c r="I95" s="3"/>
    </row>
    <row r="96" spans="1:9">
      <c r="A96" s="3" t="s">
        <v>1161</v>
      </c>
      <c r="B96" s="3"/>
      <c r="C96" s="3"/>
      <c r="D96" s="4"/>
      <c r="E96" s="3"/>
      <c r="F96" s="3"/>
      <c r="G96" s="3"/>
      <c r="H96" s="3"/>
      <c r="I96" s="3"/>
    </row>
    <row r="97" spans="1:9">
      <c r="A97" s="3" t="s">
        <v>1162</v>
      </c>
      <c r="B97" s="3"/>
      <c r="C97" s="3"/>
      <c r="D97" s="4"/>
      <c r="E97" s="3"/>
      <c r="F97" s="3"/>
      <c r="G97" s="3"/>
      <c r="H97" s="3"/>
      <c r="I97" s="3"/>
    </row>
    <row r="98" spans="1:9">
      <c r="A98" s="3" t="s">
        <v>1163</v>
      </c>
      <c r="B98" s="3"/>
      <c r="C98" s="3"/>
      <c r="D98" s="4"/>
      <c r="E98" s="3"/>
      <c r="F98" s="3"/>
      <c r="G98" s="3"/>
      <c r="H98" s="3"/>
      <c r="I98" s="3"/>
    </row>
    <row r="99" spans="1:9">
      <c r="A99" s="3" t="s">
        <v>1164</v>
      </c>
      <c r="B99" s="3"/>
      <c r="C99" s="3"/>
      <c r="D99" s="4"/>
      <c r="E99" s="3"/>
      <c r="F99" s="3"/>
      <c r="G99" s="3"/>
      <c r="H99" s="3"/>
      <c r="I99" s="3"/>
    </row>
    <row r="100" spans="1:9">
      <c r="A100" s="3" t="s">
        <v>1165</v>
      </c>
      <c r="B100" s="3"/>
      <c r="C100" s="3"/>
      <c r="D100" s="4"/>
      <c r="E100" s="3"/>
      <c r="F100" s="3"/>
      <c r="G100" s="3"/>
      <c r="H100" s="3"/>
      <c r="I100" s="3"/>
    </row>
    <row r="101" spans="1:9">
      <c r="A101" s="3"/>
      <c r="B101" s="3"/>
      <c r="C101" s="3"/>
      <c r="D101" s="4"/>
      <c r="E101" s="3"/>
      <c r="F101" s="3"/>
      <c r="G101" s="3"/>
      <c r="H101" s="3"/>
      <c r="I101" s="3"/>
    </row>
    <row r="102" spans="1:9">
      <c r="A102" s="3"/>
      <c r="B102" s="3"/>
      <c r="C102" s="3"/>
      <c r="D102" s="4"/>
      <c r="E102" s="3"/>
      <c r="F102" s="3"/>
      <c r="G102" s="3"/>
      <c r="H102" s="3"/>
      <c r="I102" s="3"/>
    </row>
    <row r="103" spans="1:9">
      <c r="A103" s="3"/>
      <c r="B103" s="3"/>
      <c r="C103" s="3"/>
      <c r="D103" s="4"/>
      <c r="E103" s="3"/>
      <c r="F103" s="3"/>
      <c r="G103" s="3"/>
      <c r="H103" s="3"/>
      <c r="I103" s="3"/>
    </row>
    <row r="104" spans="1:9">
      <c r="A104" s="3"/>
      <c r="B104" s="3"/>
      <c r="C104" s="3"/>
      <c r="D104" s="4"/>
      <c r="E104" s="3"/>
      <c r="F104" s="3"/>
      <c r="G104" s="3"/>
      <c r="H104" s="3"/>
      <c r="I104" s="3"/>
    </row>
    <row r="105" spans="1:9">
      <c r="A105" s="3"/>
      <c r="B105" s="3"/>
      <c r="C105" s="3"/>
      <c r="D105" s="4"/>
      <c r="E105" s="3"/>
      <c r="F105" s="3"/>
      <c r="G105" s="3"/>
      <c r="H105" s="3"/>
      <c r="I105" s="3"/>
    </row>
    <row r="106" spans="1:9">
      <c r="A106" s="3"/>
      <c r="B106" s="3"/>
      <c r="C106" s="3"/>
      <c r="D106" s="4"/>
      <c r="E106" s="3"/>
      <c r="F106" s="3"/>
      <c r="G106" s="3"/>
      <c r="H106" s="3"/>
      <c r="I106" s="3"/>
    </row>
    <row r="107" spans="1:9">
      <c r="A107" s="3"/>
      <c r="B107" s="3"/>
      <c r="C107" s="3"/>
      <c r="D107" s="4"/>
      <c r="E107" s="3"/>
      <c r="F107" s="3"/>
      <c r="G107" s="3"/>
      <c r="H107" s="3"/>
      <c r="I107" s="3"/>
    </row>
    <row r="108" spans="1:9">
      <c r="A108" s="3"/>
      <c r="B108" s="3"/>
      <c r="C108" s="3"/>
      <c r="D108" s="4"/>
      <c r="E108" s="3"/>
      <c r="F108" s="3"/>
      <c r="G108" s="3"/>
      <c r="H108" s="3"/>
      <c r="I108" s="3"/>
    </row>
    <row r="109" spans="1:9">
      <c r="A109" s="3"/>
      <c r="B109" s="3"/>
      <c r="C109" s="3"/>
      <c r="D109" s="4"/>
      <c r="E109" s="3"/>
      <c r="F109" s="3"/>
      <c r="G109" s="3"/>
      <c r="H109" s="3"/>
      <c r="I109" s="3"/>
    </row>
    <row r="110" spans="1:9">
      <c r="A110" s="3"/>
      <c r="B110" s="3"/>
      <c r="C110" s="3"/>
      <c r="D110" s="4"/>
      <c r="E110" s="3"/>
      <c r="F110" s="3"/>
      <c r="G110" s="3"/>
      <c r="H110" s="3"/>
      <c r="I110" s="3"/>
    </row>
    <row r="111" spans="1:9">
      <c r="A111" s="3"/>
      <c r="B111" s="3"/>
      <c r="C111" s="3"/>
      <c r="D111" s="4"/>
      <c r="E111" s="3"/>
      <c r="F111" s="3"/>
      <c r="G111" s="3"/>
      <c r="H111" s="3"/>
      <c r="I111" s="3"/>
    </row>
    <row r="112" spans="1:9">
      <c r="A112" s="3"/>
      <c r="B112" s="3"/>
      <c r="C112" s="3"/>
      <c r="D112" s="4"/>
      <c r="E112" s="3"/>
      <c r="F112" s="3"/>
      <c r="G112" s="3"/>
      <c r="H112" s="3"/>
      <c r="I112" s="3"/>
    </row>
    <row r="113" spans="1:9">
      <c r="A113" s="3"/>
      <c r="B113" s="3"/>
      <c r="C113" s="3"/>
      <c r="D113" s="4"/>
      <c r="E113" s="3"/>
      <c r="F113" s="3"/>
      <c r="G113" s="3"/>
      <c r="H113" s="3"/>
      <c r="I113" s="3"/>
    </row>
    <row r="114" spans="1:9">
      <c r="A114" s="3"/>
      <c r="B114" s="3"/>
      <c r="C114" s="3"/>
      <c r="D114" s="4"/>
      <c r="E114" s="3"/>
      <c r="F114" s="3"/>
      <c r="G114" s="3"/>
      <c r="H114" s="3"/>
      <c r="I114" s="3"/>
    </row>
    <row r="115" spans="1:9">
      <c r="A115" s="3"/>
      <c r="B115" s="3"/>
      <c r="C115" s="3"/>
      <c r="D115" s="4"/>
      <c r="E115" s="3"/>
      <c r="F115" s="3"/>
      <c r="G115" s="3"/>
      <c r="H115" s="3"/>
      <c r="I115" s="3"/>
    </row>
    <row r="116" spans="1:9">
      <c r="A116" s="3"/>
      <c r="B116" s="3"/>
      <c r="C116" s="3"/>
      <c r="D116" s="4"/>
      <c r="E116" s="3"/>
      <c r="F116" s="3"/>
      <c r="G116" s="3"/>
      <c r="H116" s="3"/>
      <c r="I116" s="3"/>
    </row>
    <row r="117" spans="1:9">
      <c r="A117" s="3"/>
      <c r="B117" s="3"/>
      <c r="C117" s="3"/>
      <c r="D117" s="4"/>
      <c r="E117" s="3"/>
      <c r="F117" s="3"/>
      <c r="G117" s="3"/>
      <c r="H117" s="3"/>
      <c r="I117" s="3"/>
    </row>
    <row r="118" spans="1:9">
      <c r="A118" s="3"/>
      <c r="B118" s="3"/>
      <c r="C118" s="3"/>
      <c r="D118" s="4"/>
      <c r="E118" s="3"/>
      <c r="F118" s="3"/>
      <c r="G118" s="3"/>
      <c r="H118" s="3"/>
      <c r="I118" s="3"/>
    </row>
    <row r="119" spans="1:9">
      <c r="A119" s="3"/>
      <c r="B119" s="3"/>
      <c r="C119" s="3"/>
      <c r="D119" s="4"/>
      <c r="E119" s="3"/>
      <c r="F119" s="3"/>
      <c r="G119" s="3"/>
      <c r="H119" s="3"/>
      <c r="I119" s="3"/>
    </row>
    <row r="120" spans="1:9">
      <c r="A120" s="3"/>
      <c r="B120" s="3"/>
      <c r="C120" s="3"/>
      <c r="D120" s="4"/>
      <c r="E120" s="3"/>
      <c r="F120" s="3"/>
      <c r="G120" s="3"/>
      <c r="H120" s="3"/>
      <c r="I120" s="3"/>
    </row>
    <row r="121" spans="1:9">
      <c r="A121" s="3"/>
      <c r="B121" s="3"/>
      <c r="C121" s="3"/>
      <c r="D121" s="4"/>
      <c r="E121" s="3"/>
      <c r="F121" s="3"/>
      <c r="G121" s="3"/>
      <c r="H121" s="3"/>
      <c r="I121" s="3"/>
    </row>
    <row r="122" spans="1:9">
      <c r="A122" s="3"/>
      <c r="B122" s="3"/>
      <c r="C122" s="3"/>
      <c r="D122" s="4"/>
      <c r="E122" s="3"/>
      <c r="F122" s="3"/>
      <c r="G122" s="3"/>
      <c r="H122" s="3"/>
      <c r="I122" s="3"/>
    </row>
    <row r="123" spans="1:9">
      <c r="A123" s="3"/>
      <c r="B123" s="3"/>
      <c r="C123" s="3"/>
      <c r="D123" s="4"/>
      <c r="E123" s="3"/>
      <c r="F123" s="3"/>
      <c r="G123" s="3"/>
      <c r="H123" s="3"/>
      <c r="I123" s="3"/>
    </row>
    <row r="124" spans="1:9">
      <c r="A124" s="3"/>
      <c r="B124" s="3"/>
      <c r="C124" s="3"/>
      <c r="D124" s="4"/>
      <c r="E124" s="3"/>
      <c r="F124" s="3"/>
      <c r="G124" s="3"/>
      <c r="H124" s="3"/>
      <c r="I124" s="3"/>
    </row>
    <row r="125" spans="1:9">
      <c r="A125" s="3"/>
      <c r="B125" s="3"/>
      <c r="C125" s="3"/>
      <c r="D125" s="4"/>
      <c r="E125" s="3"/>
      <c r="F125" s="3"/>
      <c r="G125" s="3"/>
      <c r="H125" s="3"/>
      <c r="I125" s="3"/>
    </row>
    <row r="126" spans="1:9">
      <c r="A126" s="3"/>
      <c r="B126" s="3"/>
      <c r="C126" s="3"/>
      <c r="D126" s="4"/>
      <c r="E126" s="3"/>
      <c r="F126" s="3"/>
      <c r="G126" s="3"/>
      <c r="H126" s="3"/>
      <c r="I126" s="3"/>
    </row>
    <row r="127" spans="1:9">
      <c r="A127" s="3"/>
      <c r="B127" s="3"/>
      <c r="C127" s="3"/>
      <c r="D127" s="4"/>
      <c r="E127" s="3"/>
      <c r="F127" s="3"/>
      <c r="G127" s="3"/>
      <c r="H127" s="3"/>
      <c r="I127" s="3"/>
    </row>
    <row r="128" spans="1:9">
      <c r="A128" s="3"/>
      <c r="B128" s="3"/>
      <c r="C128" s="3"/>
      <c r="D128" s="4"/>
      <c r="E128" s="3"/>
      <c r="F128" s="3"/>
      <c r="G128" s="3"/>
      <c r="H128" s="3"/>
      <c r="I128" s="3"/>
    </row>
    <row r="129" spans="1:9">
      <c r="A129" s="3"/>
      <c r="B129" s="3"/>
      <c r="C129" s="3"/>
      <c r="D129" s="4"/>
      <c r="E129" s="3"/>
      <c r="F129" s="3"/>
      <c r="G129" s="3"/>
      <c r="H129" s="3"/>
      <c r="I129" s="3"/>
    </row>
    <row r="130" spans="1:9">
      <c r="A130" s="3"/>
      <c r="B130" s="3"/>
      <c r="C130" s="3"/>
      <c r="D130" s="4"/>
      <c r="E130" s="3"/>
      <c r="F130" s="3"/>
      <c r="G130" s="3"/>
      <c r="H130" s="3"/>
      <c r="I130" s="3"/>
    </row>
    <row r="131" spans="1:9">
      <c r="A131" s="3"/>
      <c r="B131" s="3"/>
      <c r="C131" s="3"/>
      <c r="D131" s="4"/>
      <c r="E131" s="3"/>
      <c r="F131" s="3"/>
      <c r="G131" s="3"/>
      <c r="H131" s="3"/>
      <c r="I131" s="3"/>
    </row>
    <row r="132" spans="1:9">
      <c r="A132" s="3"/>
      <c r="B132" s="3"/>
      <c r="C132" s="3"/>
      <c r="D132" s="4"/>
      <c r="E132" s="3"/>
      <c r="F132" s="3"/>
      <c r="G132" s="3"/>
      <c r="H132" s="3"/>
      <c r="I132" s="3"/>
    </row>
    <row r="133" spans="1:9">
      <c r="A133" s="3"/>
      <c r="B133" s="3"/>
      <c r="C133" s="3"/>
      <c r="D133" s="4"/>
      <c r="E133" s="3"/>
      <c r="F133" s="3"/>
      <c r="G133" s="3"/>
      <c r="H133" s="3"/>
      <c r="I133" s="3"/>
    </row>
    <row r="134" spans="1:9">
      <c r="A134" s="3"/>
      <c r="B134" s="3"/>
      <c r="C134" s="3"/>
      <c r="D134" s="4"/>
      <c r="E134" s="3"/>
      <c r="F134" s="3"/>
      <c r="G134" s="3"/>
      <c r="H134" s="3"/>
      <c r="I134" s="3"/>
    </row>
    <row r="135" spans="1:9">
      <c r="A135" s="3"/>
      <c r="B135" s="3"/>
      <c r="C135" s="3"/>
      <c r="D135" s="4"/>
      <c r="E135" s="3"/>
      <c r="F135" s="3"/>
      <c r="G135" s="3"/>
      <c r="H135" s="3"/>
      <c r="I135" s="3"/>
    </row>
    <row r="136" spans="1:9">
      <c r="A136" s="3"/>
      <c r="B136" s="3"/>
      <c r="C136" s="3"/>
      <c r="D136" s="4"/>
      <c r="E136" s="3"/>
      <c r="F136" s="3"/>
      <c r="G136" s="3"/>
      <c r="H136" s="3"/>
      <c r="I136" s="3"/>
    </row>
    <row r="137" spans="1:9">
      <c r="A137" s="3"/>
      <c r="B137" s="3"/>
      <c r="C137" s="3"/>
      <c r="D137" s="4"/>
      <c r="E137" s="3"/>
      <c r="F137" s="3"/>
      <c r="G137" s="3"/>
      <c r="H137" s="3"/>
      <c r="I137" s="3"/>
    </row>
    <row r="138" spans="1:9">
      <c r="A138" s="3"/>
      <c r="B138" s="3"/>
      <c r="C138" s="3"/>
      <c r="D138" s="4"/>
      <c r="E138" s="3"/>
      <c r="F138" s="3"/>
      <c r="G138" s="3"/>
      <c r="H138" s="3"/>
      <c r="I138" s="3"/>
    </row>
    <row r="139" spans="1:9">
      <c r="A139" s="3"/>
      <c r="B139" s="3"/>
      <c r="C139" s="3"/>
      <c r="D139" s="4"/>
      <c r="E139" s="3"/>
      <c r="F139" s="3"/>
      <c r="G139" s="3"/>
      <c r="H139" s="3"/>
      <c r="I139" s="3"/>
    </row>
    <row r="140" spans="1:9">
      <c r="A140" s="3"/>
      <c r="B140" s="3"/>
      <c r="C140" s="3"/>
      <c r="D140" s="4"/>
      <c r="E140" s="3"/>
      <c r="F140" s="3"/>
      <c r="G140" s="3"/>
      <c r="H140" s="3"/>
      <c r="I140" s="3"/>
    </row>
    <row r="141" spans="1:9">
      <c r="A141" s="3"/>
      <c r="B141" s="3"/>
      <c r="C141" s="3"/>
      <c r="D141" s="4"/>
      <c r="E141" s="3"/>
      <c r="F141" s="3"/>
      <c r="G141" s="3"/>
      <c r="H141" s="3"/>
      <c r="I141" s="3"/>
    </row>
    <row r="142" spans="1:9">
      <c r="A142" s="3"/>
      <c r="B142" s="3"/>
      <c r="C142" s="3"/>
      <c r="D142" s="4"/>
      <c r="E142" s="3"/>
      <c r="F142" s="3"/>
      <c r="G142" s="3"/>
      <c r="H142" s="3"/>
      <c r="I142" s="3"/>
    </row>
    <row r="143" spans="1:9">
      <c r="A143" s="3"/>
      <c r="B143" s="3"/>
      <c r="C143" s="3"/>
      <c r="D143" s="4"/>
      <c r="E143" s="3"/>
      <c r="F143" s="3"/>
      <c r="G143" s="3"/>
      <c r="H143" s="3"/>
      <c r="I143" s="3"/>
    </row>
    <row r="144" spans="1:9">
      <c r="A144" s="3"/>
      <c r="B144" s="3"/>
      <c r="C144" s="3"/>
      <c r="D144" s="4"/>
      <c r="E144" s="3"/>
      <c r="F144" s="3"/>
      <c r="G144" s="3"/>
      <c r="H144" s="3"/>
      <c r="I144" s="3"/>
    </row>
    <row r="145" spans="1:9">
      <c r="A145" s="3"/>
      <c r="B145" s="3"/>
      <c r="C145" s="3"/>
      <c r="D145" s="4"/>
      <c r="E145" s="3"/>
      <c r="F145" s="3"/>
      <c r="G145" s="3"/>
      <c r="H145" s="3"/>
      <c r="I145" s="3"/>
    </row>
    <row r="146" spans="1:9">
      <c r="A146" s="3"/>
      <c r="B146" s="3"/>
      <c r="C146" s="3"/>
      <c r="D146" s="4"/>
      <c r="E146" s="3"/>
      <c r="F146" s="3"/>
      <c r="G146" s="3"/>
      <c r="H146" s="3"/>
      <c r="I146" s="3"/>
    </row>
    <row r="147" spans="1:9">
      <c r="A147" s="3"/>
      <c r="B147" s="3"/>
      <c r="C147" s="3"/>
      <c r="D147" s="4"/>
      <c r="E147" s="3"/>
      <c r="F147" s="3"/>
      <c r="G147" s="3"/>
      <c r="H147" s="3"/>
      <c r="I147" s="3"/>
    </row>
    <row r="148" spans="1:9">
      <c r="A148" s="3"/>
      <c r="B148" s="3"/>
      <c r="C148" s="3"/>
      <c r="D148" s="4"/>
      <c r="E148" s="3"/>
      <c r="F148" s="3"/>
      <c r="G148" s="3"/>
      <c r="H148" s="3"/>
      <c r="I148" s="3"/>
    </row>
    <row r="149" spans="1:9">
      <c r="A149" s="3"/>
      <c r="B149" s="3"/>
      <c r="C149" s="3"/>
      <c r="D149" s="4"/>
      <c r="E149" s="3"/>
      <c r="F149" s="3"/>
      <c r="G149" s="3"/>
      <c r="H149" s="3"/>
      <c r="I149" s="3"/>
    </row>
    <row r="150" spans="1:9">
      <c r="A150" s="3"/>
      <c r="B150" s="3"/>
      <c r="C150" s="3"/>
      <c r="D150" s="4"/>
      <c r="E150" s="3"/>
      <c r="F150" s="3"/>
      <c r="G150" s="3"/>
      <c r="H150" s="3"/>
      <c r="I150" s="3"/>
    </row>
    <row r="151" spans="1:9">
      <c r="A151" s="3"/>
      <c r="B151" s="3"/>
      <c r="C151" s="3"/>
      <c r="D151" s="4"/>
      <c r="E151" s="3"/>
      <c r="F151" s="3"/>
      <c r="G151" s="3"/>
      <c r="H151" s="3"/>
      <c r="I151" s="3"/>
    </row>
    <row r="152" spans="1:9">
      <c r="A152" s="3"/>
      <c r="B152" s="3"/>
      <c r="C152" s="3"/>
      <c r="D152" s="4"/>
      <c r="E152" s="3"/>
      <c r="F152" s="3"/>
      <c r="G152" s="3"/>
      <c r="H152" s="3"/>
      <c r="I152" s="3"/>
    </row>
    <row r="153" spans="1:9">
      <c r="A153" s="3"/>
      <c r="B153" s="3"/>
      <c r="C153" s="3"/>
      <c r="D153" s="4"/>
      <c r="E153" s="3"/>
      <c r="F153" s="3"/>
      <c r="G153" s="3"/>
      <c r="H153" s="3"/>
      <c r="I153" s="3"/>
    </row>
    <row r="154" spans="1:9">
      <c r="A154" s="3"/>
      <c r="B154" s="3"/>
      <c r="C154" s="3"/>
      <c r="D154" s="4"/>
      <c r="E154" s="3"/>
      <c r="F154" s="3"/>
      <c r="G154" s="3"/>
      <c r="H154" s="3"/>
      <c r="I154" s="3"/>
    </row>
    <row r="155" spans="1:9">
      <c r="A155" s="3"/>
      <c r="B155" s="3"/>
      <c r="C155" s="3"/>
      <c r="D155" s="4"/>
      <c r="E155" s="3"/>
      <c r="F155" s="3"/>
      <c r="G155" s="3"/>
      <c r="H155" s="3"/>
      <c r="I155" s="3"/>
    </row>
    <row r="156" spans="1:9">
      <c r="A156" s="3"/>
      <c r="B156" s="3"/>
      <c r="C156" s="3"/>
      <c r="D156" s="4"/>
      <c r="E156" s="3"/>
      <c r="F156" s="3"/>
      <c r="G156" s="3"/>
      <c r="H156" s="3"/>
      <c r="I156" s="3"/>
    </row>
    <row r="157" spans="1:9">
      <c r="A157" s="3"/>
      <c r="B157" s="3"/>
      <c r="C157" s="3"/>
      <c r="D157" s="4"/>
      <c r="E157" s="3"/>
      <c r="F157" s="3"/>
      <c r="G157" s="3"/>
      <c r="H157" s="3"/>
      <c r="I157" s="3"/>
    </row>
    <row r="158" spans="1:9">
      <c r="A158" s="3"/>
      <c r="B158" s="3"/>
      <c r="C158" s="3"/>
      <c r="D158" s="4"/>
      <c r="E158" s="3"/>
      <c r="F158" s="3"/>
      <c r="G158" s="3"/>
      <c r="H158" s="3"/>
      <c r="I158" s="3"/>
    </row>
    <row r="159" spans="1:9">
      <c r="A159" s="3"/>
      <c r="B159" s="3"/>
      <c r="C159" s="3"/>
      <c r="D159" s="4"/>
      <c r="E159" s="3"/>
      <c r="F159" s="3"/>
      <c r="G159" s="3"/>
      <c r="H159" s="3"/>
      <c r="I159" s="3"/>
    </row>
    <row r="160" spans="1:9">
      <c r="A160" s="3"/>
      <c r="B160" s="3"/>
      <c r="C160" s="3"/>
      <c r="D160" s="4"/>
      <c r="E160" s="3"/>
      <c r="F160" s="3"/>
      <c r="G160" s="3"/>
      <c r="H160" s="3"/>
      <c r="I160" s="3"/>
    </row>
    <row r="161" spans="1:9">
      <c r="A161" s="3"/>
      <c r="B161" s="3"/>
      <c r="C161" s="3"/>
      <c r="D161" s="4"/>
      <c r="E161" s="3"/>
      <c r="F161" s="3"/>
      <c r="G161" s="3"/>
      <c r="H161" s="3"/>
      <c r="I161" s="3"/>
    </row>
    <row r="162" spans="1:9">
      <c r="A162" s="3"/>
      <c r="B162" s="3"/>
      <c r="C162" s="3"/>
      <c r="D162" s="4"/>
      <c r="E162" s="3"/>
      <c r="F162" s="3"/>
      <c r="G162" s="3"/>
      <c r="H162" s="3"/>
      <c r="I162" s="3"/>
    </row>
    <row r="163" spans="1:9">
      <c r="A163" s="3"/>
      <c r="B163" s="3"/>
      <c r="C163" s="3"/>
      <c r="D163" s="4"/>
      <c r="E163" s="3"/>
      <c r="F163" s="3"/>
      <c r="G163" s="3"/>
      <c r="H163" s="3"/>
      <c r="I163" s="3"/>
    </row>
    <row r="164" spans="1:9">
      <c r="A164" s="3"/>
      <c r="B164" s="3"/>
      <c r="C164" s="3"/>
      <c r="D164" s="4"/>
      <c r="E164" s="3"/>
      <c r="F164" s="3"/>
      <c r="G164" s="3"/>
      <c r="H164" s="3"/>
      <c r="I164" s="3"/>
    </row>
    <row r="165" spans="1:9">
      <c r="A165" s="3"/>
      <c r="B165" s="3"/>
      <c r="C165" s="3"/>
      <c r="D165" s="4"/>
      <c r="E165" s="3"/>
      <c r="F165" s="3"/>
      <c r="G165" s="3"/>
      <c r="H165" s="3"/>
      <c r="I165" s="3"/>
    </row>
    <row r="166" spans="1:9">
      <c r="A166" s="3"/>
      <c r="B166" s="3"/>
      <c r="C166" s="3"/>
      <c r="D166" s="4"/>
      <c r="E166" s="3"/>
      <c r="F166" s="3"/>
      <c r="G166" s="3"/>
      <c r="H166" s="3"/>
      <c r="I166" s="3"/>
    </row>
    <row r="167" spans="1:9">
      <c r="A167" s="3"/>
      <c r="B167" s="3"/>
      <c r="C167" s="3"/>
      <c r="D167" s="4"/>
      <c r="E167" s="3"/>
      <c r="F167" s="3"/>
      <c r="G167" s="3"/>
      <c r="H167" s="3"/>
      <c r="I167" s="3"/>
    </row>
    <row r="168" spans="1:9">
      <c r="A168" s="3"/>
      <c r="B168" s="3"/>
      <c r="C168" s="3"/>
      <c r="D168" s="4"/>
      <c r="E168" s="3"/>
      <c r="F168" s="3"/>
      <c r="G168" s="3"/>
      <c r="H168" s="3"/>
      <c r="I168" s="3"/>
    </row>
    <row r="169" spans="1:9">
      <c r="A169" s="3"/>
      <c r="B169" s="3"/>
      <c r="C169" s="3"/>
      <c r="D169" s="4"/>
      <c r="E169" s="3"/>
      <c r="F169" s="3"/>
      <c r="G169" s="3"/>
      <c r="H169" s="3"/>
      <c r="I169" s="3"/>
    </row>
    <row r="170" spans="1:9">
      <c r="A170" s="3"/>
      <c r="B170" s="3"/>
      <c r="C170" s="3"/>
      <c r="D170" s="4"/>
      <c r="E170" s="3"/>
      <c r="F170" s="3"/>
      <c r="G170" s="3"/>
      <c r="H170" s="3"/>
      <c r="I170" s="3"/>
    </row>
    <row r="171" spans="1:9">
      <c r="A171" s="3"/>
      <c r="B171" s="3"/>
      <c r="C171" s="3"/>
      <c r="D171" s="4"/>
      <c r="E171" s="3"/>
      <c r="F171" s="3"/>
      <c r="G171" s="3"/>
      <c r="H171" s="3"/>
      <c r="I171" s="3"/>
    </row>
    <row r="172" spans="1:9">
      <c r="A172" s="3"/>
      <c r="B172" s="3"/>
      <c r="C172" s="3"/>
      <c r="D172" s="4"/>
      <c r="E172" s="3"/>
      <c r="F172" s="3"/>
      <c r="G172" s="3"/>
      <c r="H172" s="3"/>
      <c r="I172" s="3"/>
    </row>
    <row r="173" spans="1:9">
      <c r="A173" s="3"/>
      <c r="B173" s="3"/>
      <c r="C173" s="3"/>
      <c r="D173" s="4"/>
      <c r="E173" s="3"/>
      <c r="F173" s="3"/>
      <c r="G173" s="3"/>
      <c r="H173" s="3"/>
      <c r="I173" s="3"/>
    </row>
    <row r="174" spans="1:9">
      <c r="A174" s="3"/>
      <c r="B174" s="3"/>
      <c r="C174" s="3"/>
      <c r="D174" s="4"/>
      <c r="E174" s="3"/>
      <c r="F174" s="3"/>
      <c r="G174" s="3"/>
      <c r="H174" s="3"/>
      <c r="I174" s="3"/>
    </row>
    <row r="175" spans="1:9">
      <c r="A175" s="3"/>
      <c r="B175" s="3"/>
      <c r="C175" s="3"/>
      <c r="D175" s="4"/>
      <c r="E175" s="3"/>
      <c r="F175" s="3"/>
      <c r="G175" s="3"/>
      <c r="H175" s="3"/>
      <c r="I175" s="3"/>
    </row>
    <row r="176" spans="1:9">
      <c r="A176" s="3"/>
      <c r="B176" s="3"/>
      <c r="C176" s="3"/>
      <c r="D176" s="4"/>
      <c r="E176" s="3"/>
      <c r="F176" s="3"/>
      <c r="G176" s="3"/>
      <c r="H176" s="3"/>
      <c r="I176" s="3"/>
    </row>
    <row r="177" spans="1:9">
      <c r="A177" s="3"/>
      <c r="B177" s="3"/>
      <c r="C177" s="3"/>
      <c r="D177" s="4"/>
      <c r="E177" s="3"/>
      <c r="F177" s="3"/>
      <c r="G177" s="3"/>
      <c r="H177" s="3"/>
      <c r="I177" s="3"/>
    </row>
    <row r="178" spans="1:9">
      <c r="A178" s="3"/>
      <c r="B178" s="3"/>
      <c r="C178" s="3"/>
      <c r="D178" s="4"/>
      <c r="E178" s="3"/>
      <c r="F178" s="3"/>
      <c r="G178" s="3"/>
      <c r="H178" s="3"/>
      <c r="I178" s="3"/>
    </row>
    <row r="179" spans="1:9">
      <c r="A179" s="3"/>
      <c r="B179" s="3"/>
      <c r="C179" s="3"/>
      <c r="D179" s="4"/>
      <c r="E179" s="3"/>
      <c r="F179" s="3"/>
      <c r="G179" s="3"/>
      <c r="H179" s="3"/>
      <c r="I179" s="3"/>
    </row>
    <row r="180" spans="1:9">
      <c r="A180" s="3"/>
      <c r="B180" s="3"/>
      <c r="C180" s="3"/>
      <c r="D180" s="4"/>
      <c r="E180" s="3"/>
      <c r="F180" s="3"/>
      <c r="G180" s="3"/>
      <c r="H180" s="3"/>
      <c r="I180" s="3"/>
    </row>
    <row r="181" spans="1:9">
      <c r="A181" s="3"/>
      <c r="B181" s="3"/>
      <c r="C181" s="3"/>
      <c r="D181" s="4"/>
      <c r="E181" s="3"/>
      <c r="F181" s="3"/>
      <c r="G181" s="3"/>
      <c r="H181" s="3"/>
      <c r="I181" s="3"/>
    </row>
    <row r="182" spans="1:9">
      <c r="A182" s="3"/>
      <c r="B182" s="3"/>
      <c r="C182" s="3"/>
      <c r="D182" s="4"/>
      <c r="E182" s="3"/>
      <c r="F182" s="3"/>
      <c r="G182" s="3"/>
      <c r="H182" s="3"/>
      <c r="I182" s="3"/>
    </row>
    <row r="183" spans="1:9">
      <c r="A183" s="3"/>
      <c r="B183" s="3"/>
      <c r="C183" s="3"/>
      <c r="D183" s="4"/>
      <c r="E183" s="3"/>
      <c r="F183" s="3"/>
      <c r="G183" s="3"/>
      <c r="H183" s="3"/>
      <c r="I183" s="3"/>
    </row>
    <row r="184" spans="1:9">
      <c r="A184" s="3"/>
      <c r="B184" s="3"/>
      <c r="C184" s="3"/>
      <c r="D184" s="4"/>
      <c r="E184" s="3"/>
      <c r="F184" s="3"/>
      <c r="G184" s="3"/>
      <c r="H184" s="3"/>
      <c r="I184" s="3"/>
    </row>
    <row r="185" spans="1:9">
      <c r="A185" s="3"/>
      <c r="B185" s="3"/>
      <c r="C185" s="3"/>
      <c r="D185" s="4"/>
      <c r="E185" s="3"/>
      <c r="F185" s="3"/>
      <c r="G185" s="3"/>
      <c r="H185" s="3"/>
      <c r="I185" s="3"/>
    </row>
    <row r="186" spans="1:9">
      <c r="A186" s="3"/>
      <c r="B186" s="3"/>
      <c r="C186" s="3"/>
      <c r="D186" s="4"/>
      <c r="E186" s="3"/>
      <c r="F186" s="3"/>
      <c r="G186" s="3"/>
      <c r="H186" s="3"/>
      <c r="I186" s="3"/>
    </row>
    <row r="187" spans="1:9">
      <c r="A187" s="3"/>
      <c r="B187" s="3"/>
      <c r="C187" s="3"/>
      <c r="D187" s="4"/>
      <c r="E187" s="3"/>
      <c r="F187" s="3"/>
      <c r="G187" s="3"/>
      <c r="H187" s="3"/>
      <c r="I187" s="3"/>
    </row>
    <row r="188" spans="1:9">
      <c r="A188" s="3"/>
      <c r="B188" s="3"/>
      <c r="C188" s="3"/>
      <c r="D188" s="4"/>
      <c r="E188" s="3"/>
      <c r="F188" s="3"/>
      <c r="G188" s="3"/>
      <c r="H188" s="3"/>
      <c r="I188" s="3"/>
    </row>
    <row r="189" spans="1:9">
      <c r="A189" s="3"/>
      <c r="B189" s="3"/>
      <c r="C189" s="3"/>
      <c r="D189" s="4"/>
      <c r="E189" s="3"/>
      <c r="F189" s="3"/>
      <c r="G189" s="3"/>
      <c r="H189" s="3"/>
      <c r="I189" s="3"/>
    </row>
    <row r="190" spans="1:9">
      <c r="A190" s="3"/>
      <c r="B190" s="3"/>
      <c r="C190" s="3"/>
      <c r="D190" s="4"/>
      <c r="E190" s="3"/>
      <c r="F190" s="3"/>
      <c r="G190" s="3"/>
      <c r="H190" s="3"/>
      <c r="I190" s="3"/>
    </row>
    <row r="191" spans="1:9">
      <c r="A191" s="3"/>
      <c r="B191" s="3"/>
      <c r="C191" s="3"/>
      <c r="D191" s="4"/>
      <c r="E191" s="3"/>
      <c r="F191" s="3"/>
      <c r="G191" s="3"/>
      <c r="H191" s="3"/>
      <c r="I191" s="3"/>
    </row>
    <row r="192" spans="1:9">
      <c r="A192" s="3"/>
      <c r="B192" s="3"/>
      <c r="C192" s="3"/>
      <c r="D192" s="4"/>
      <c r="E192" s="3"/>
      <c r="F192" s="3"/>
      <c r="G192" s="3"/>
      <c r="H192" s="3"/>
      <c r="I192" s="3"/>
    </row>
    <row r="193" spans="1:9">
      <c r="A193" s="3"/>
      <c r="B193" s="3"/>
      <c r="C193" s="3"/>
      <c r="D193" s="4"/>
      <c r="E193" s="3"/>
      <c r="F193" s="3"/>
      <c r="G193" s="3"/>
      <c r="H193" s="3"/>
      <c r="I193" s="3"/>
    </row>
    <row r="194" spans="1:9">
      <c r="A194" s="3"/>
      <c r="B194" s="3"/>
      <c r="C194" s="3"/>
      <c r="D194" s="4"/>
      <c r="E194" s="3"/>
      <c r="F194" s="3"/>
      <c r="G194" s="3"/>
      <c r="H194" s="3"/>
      <c r="I194" s="3"/>
    </row>
    <row r="195" spans="1:9">
      <c r="A195" s="3"/>
      <c r="B195" s="3"/>
      <c r="C195" s="3"/>
      <c r="D195" s="4"/>
      <c r="E195" s="3"/>
      <c r="F195" s="3"/>
      <c r="G195" s="3"/>
      <c r="H195" s="3"/>
      <c r="I195" s="3"/>
    </row>
    <row r="196" spans="1:9">
      <c r="A196" s="3"/>
      <c r="B196" s="3"/>
      <c r="C196" s="3"/>
      <c r="D196" s="4"/>
      <c r="E196" s="3"/>
      <c r="F196" s="3"/>
      <c r="G196" s="3"/>
      <c r="H196" s="3"/>
      <c r="I196" s="3"/>
    </row>
    <row r="197" spans="1:9">
      <c r="A197" s="3"/>
      <c r="B197" s="3"/>
      <c r="C197" s="3"/>
      <c r="D197" s="4"/>
      <c r="E197" s="3"/>
      <c r="F197" s="3"/>
      <c r="G197" s="3"/>
      <c r="H197" s="3"/>
      <c r="I197" s="3"/>
    </row>
    <row r="198" spans="1:9">
      <c r="A198" s="3"/>
      <c r="B198" s="3"/>
      <c r="C198" s="3"/>
      <c r="D198" s="4"/>
      <c r="E198" s="3"/>
      <c r="F198" s="3"/>
      <c r="G198" s="3"/>
      <c r="H198" s="3"/>
      <c r="I198" s="3"/>
    </row>
    <row r="199" spans="1:9">
      <c r="A199" s="3"/>
      <c r="B199" s="3"/>
      <c r="C199" s="3"/>
      <c r="D199" s="4"/>
      <c r="E199" s="3"/>
      <c r="F199" s="3"/>
      <c r="G199" s="3"/>
      <c r="H199" s="3"/>
      <c r="I199" s="3"/>
    </row>
    <row r="200" spans="1:9">
      <c r="A200" s="3"/>
      <c r="B200" s="3"/>
      <c r="C200" s="3"/>
      <c r="D200" s="4"/>
      <c r="E200" s="3"/>
      <c r="F200" s="3"/>
      <c r="G200" s="3"/>
      <c r="H200" s="3"/>
      <c r="I200" s="3"/>
    </row>
    <row r="201" spans="1:9">
      <c r="D201" s="5"/>
    </row>
    <row r="202" spans="1:9">
      <c r="D202" s="5"/>
    </row>
    <row r="203" spans="1:9">
      <c r="D203" s="5"/>
    </row>
    <row r="204" spans="1:9">
      <c r="D204" s="5"/>
    </row>
    <row r="205" spans="1:9">
      <c r="D205" s="5"/>
    </row>
    <row r="206" spans="1:9">
      <c r="D206" s="5"/>
    </row>
    <row r="207" spans="1:9">
      <c r="D207" s="5"/>
    </row>
    <row r="208" spans="1:9">
      <c r="D208" s="5"/>
    </row>
    <row r="209" spans="4:4">
      <c r="D209" s="5"/>
    </row>
    <row r="210" spans="4:4">
      <c r="D210" s="5"/>
    </row>
    <row r="211" spans="4:4">
      <c r="D211" s="5"/>
    </row>
    <row r="212" spans="4:4">
      <c r="D212" s="5"/>
    </row>
    <row r="213" spans="4:4">
      <c r="D213" s="5"/>
    </row>
    <row r="214" spans="4:4">
      <c r="D214" s="5"/>
    </row>
    <row r="215" spans="4:4">
      <c r="D215" s="5"/>
    </row>
    <row r="216" spans="4:4">
      <c r="D216" s="5"/>
    </row>
    <row r="217" spans="4:4">
      <c r="D217" s="5"/>
    </row>
    <row r="218" spans="4:4">
      <c r="D218" s="5"/>
    </row>
    <row r="219" spans="4:4">
      <c r="D219" s="5"/>
    </row>
    <row r="220" spans="4:4">
      <c r="D220" s="5"/>
    </row>
    <row r="221" spans="4:4">
      <c r="D221" s="5"/>
    </row>
    <row r="222" spans="4:4">
      <c r="D222" s="5"/>
    </row>
    <row r="223" spans="4:4">
      <c r="D223" s="5"/>
    </row>
    <row r="224" spans="4:4">
      <c r="D224" s="5"/>
    </row>
    <row r="225" spans="4:4">
      <c r="D225" s="5"/>
    </row>
    <row r="226" spans="4:4">
      <c r="D226" s="5"/>
    </row>
    <row r="227" spans="4:4">
      <c r="D227" s="5"/>
    </row>
    <row r="228" spans="4:4">
      <c r="D228" s="5"/>
    </row>
    <row r="229" spans="4:4">
      <c r="D229" s="5"/>
    </row>
    <row r="230" spans="4:4">
      <c r="D230" s="5"/>
    </row>
    <row r="231" spans="4:4">
      <c r="D231" s="5"/>
    </row>
    <row r="232" spans="4:4">
      <c r="D232" s="5"/>
    </row>
    <row r="233" spans="4:4">
      <c r="D233" s="5"/>
    </row>
    <row r="234" spans="4:4">
      <c r="D234" s="5"/>
    </row>
    <row r="235" spans="4:4">
      <c r="D235" s="5"/>
    </row>
    <row r="236" spans="4:4">
      <c r="D236" s="5"/>
    </row>
    <row r="237" spans="4:4">
      <c r="D237" s="5"/>
    </row>
    <row r="238" spans="4:4">
      <c r="D238" s="5"/>
    </row>
    <row r="239" spans="4:4">
      <c r="D239" s="5"/>
    </row>
    <row r="240" spans="4:4">
      <c r="D240" s="5"/>
    </row>
    <row r="241" spans="4:4">
      <c r="D241" s="5"/>
    </row>
    <row r="242" spans="4:4">
      <c r="D242" s="5"/>
    </row>
    <row r="243" spans="4:4">
      <c r="D243" s="5"/>
    </row>
    <row r="244" spans="4:4">
      <c r="D244" s="5"/>
    </row>
    <row r="245" spans="4:4">
      <c r="D245" s="5"/>
    </row>
    <row r="246" spans="4:4">
      <c r="D246" s="5"/>
    </row>
    <row r="247" spans="4:4">
      <c r="D247" s="5"/>
    </row>
    <row r="248" spans="4:4">
      <c r="D248" s="5"/>
    </row>
    <row r="249" spans="4:4">
      <c r="D249" s="5"/>
    </row>
    <row r="250" spans="4:4">
      <c r="D250" s="5"/>
    </row>
    <row r="251" spans="4:4">
      <c r="D251" s="5"/>
    </row>
    <row r="252" spans="4:4">
      <c r="D252" s="5"/>
    </row>
    <row r="253" spans="4:4">
      <c r="D253" s="5"/>
    </row>
    <row r="254" spans="4:4">
      <c r="D254" s="5"/>
    </row>
    <row r="255" spans="4:4">
      <c r="D255" s="5"/>
    </row>
    <row r="256" spans="4:4">
      <c r="D256" s="5"/>
    </row>
    <row r="257" spans="4:4">
      <c r="D257" s="5"/>
    </row>
    <row r="258" spans="4:4">
      <c r="D258" s="5"/>
    </row>
    <row r="259" spans="4:4">
      <c r="D259" s="5"/>
    </row>
    <row r="260" spans="4:4">
      <c r="D260" s="5"/>
    </row>
    <row r="261" spans="4:4">
      <c r="D261" s="5"/>
    </row>
    <row r="262" spans="4:4">
      <c r="D262" s="5"/>
    </row>
    <row r="263" spans="4:4">
      <c r="D263" s="5"/>
    </row>
    <row r="264" spans="4:4">
      <c r="D264" s="5"/>
    </row>
    <row r="265" spans="4:4">
      <c r="D265" s="5"/>
    </row>
    <row r="266" spans="4:4">
      <c r="D266" s="5"/>
    </row>
    <row r="267" spans="4:4">
      <c r="D267" s="5"/>
    </row>
    <row r="268" spans="4:4">
      <c r="D268" s="5"/>
    </row>
    <row r="269" spans="4:4">
      <c r="D269" s="5"/>
    </row>
    <row r="270" spans="4:4">
      <c r="D270" s="5"/>
    </row>
    <row r="271" spans="4:4">
      <c r="D271" s="5"/>
    </row>
    <row r="272" spans="4:4">
      <c r="D272" s="5"/>
    </row>
    <row r="273" spans="4:4">
      <c r="D273" s="5"/>
    </row>
    <row r="274" spans="4:4">
      <c r="D274" s="5"/>
    </row>
    <row r="275" spans="4:4">
      <c r="D275" s="5"/>
    </row>
    <row r="276" spans="4:4">
      <c r="D276" s="5"/>
    </row>
    <row r="277" spans="4:4">
      <c r="D277" s="5"/>
    </row>
    <row r="278" spans="4:4">
      <c r="D278" s="5"/>
    </row>
    <row r="279" spans="4:4">
      <c r="D279" s="5"/>
    </row>
    <row r="280" spans="4:4">
      <c r="D280" s="5"/>
    </row>
    <row r="281" spans="4:4">
      <c r="D281" s="5"/>
    </row>
    <row r="282" spans="4:4">
      <c r="D282" s="5"/>
    </row>
    <row r="283" spans="4:4">
      <c r="D283" s="5"/>
    </row>
    <row r="284" spans="4:4">
      <c r="D284" s="5"/>
    </row>
    <row r="285" spans="4:4">
      <c r="D285" s="5"/>
    </row>
    <row r="286" spans="4:4">
      <c r="D286" s="5"/>
    </row>
    <row r="287" spans="4:4">
      <c r="D287" s="5"/>
    </row>
    <row r="288" spans="4:4">
      <c r="D288" s="5"/>
    </row>
    <row r="289" spans="4:4">
      <c r="D289" s="5"/>
    </row>
    <row r="290" spans="4:4">
      <c r="D290" s="5"/>
    </row>
    <row r="291" spans="4:4">
      <c r="D291" s="5"/>
    </row>
    <row r="292" spans="4:4">
      <c r="D292" s="5"/>
    </row>
    <row r="293" spans="4:4">
      <c r="D293" s="5"/>
    </row>
    <row r="294" spans="4:4">
      <c r="D294" s="5"/>
    </row>
    <row r="295" spans="4:4">
      <c r="D295" s="5"/>
    </row>
    <row r="296" spans="4:4">
      <c r="D296" s="5"/>
    </row>
    <row r="297" spans="4:4">
      <c r="D297" s="5"/>
    </row>
    <row r="298" spans="4:4">
      <c r="D298" s="5"/>
    </row>
    <row r="299" spans="4:4">
      <c r="D299" s="5"/>
    </row>
    <row r="300" spans="4:4">
      <c r="D300" s="5"/>
    </row>
    <row r="301" spans="4:4">
      <c r="D301" s="5"/>
    </row>
    <row r="302" spans="4:4">
      <c r="D302" s="5"/>
    </row>
    <row r="303" spans="4:4">
      <c r="D303" s="5"/>
    </row>
    <row r="304" spans="4:4">
      <c r="D304" s="5"/>
    </row>
    <row r="305" spans="4:4">
      <c r="D305" s="5"/>
    </row>
    <row r="306" spans="4:4">
      <c r="D306" s="5"/>
    </row>
    <row r="307" spans="4:4">
      <c r="D307" s="5"/>
    </row>
    <row r="308" spans="4:4">
      <c r="D308" s="5"/>
    </row>
    <row r="309" spans="4:4">
      <c r="D309" s="5"/>
    </row>
    <row r="310" spans="4:4">
      <c r="D310" s="5"/>
    </row>
    <row r="311" spans="4:4">
      <c r="D311" s="5"/>
    </row>
    <row r="312" spans="4:4">
      <c r="D312" s="5"/>
    </row>
    <row r="313" spans="4:4">
      <c r="D313" s="5"/>
    </row>
    <row r="314" spans="4:4">
      <c r="D314" s="5"/>
    </row>
    <row r="315" spans="4:4">
      <c r="D315" s="5"/>
    </row>
    <row r="316" spans="4:4">
      <c r="D316" s="5"/>
    </row>
    <row r="317" spans="4:4">
      <c r="D317" s="5"/>
    </row>
    <row r="318" spans="4:4">
      <c r="D318" s="5"/>
    </row>
    <row r="319" spans="4:4">
      <c r="D319" s="5"/>
    </row>
    <row r="320" spans="4:4">
      <c r="D320" s="5"/>
    </row>
    <row r="321" spans="4:4">
      <c r="D321" s="5"/>
    </row>
    <row r="322" spans="4:4">
      <c r="D322" s="5"/>
    </row>
    <row r="323" spans="4:4">
      <c r="D323" s="5"/>
    </row>
    <row r="324" spans="4:4">
      <c r="D324" s="5"/>
    </row>
    <row r="325" spans="4:4">
      <c r="D325" s="5"/>
    </row>
    <row r="326" spans="4:4">
      <c r="D326" s="5"/>
    </row>
    <row r="327" spans="4:4">
      <c r="D327" s="5"/>
    </row>
    <row r="328" spans="4:4">
      <c r="D328" s="5"/>
    </row>
    <row r="329" spans="4:4">
      <c r="D329" s="5"/>
    </row>
    <row r="330" spans="4:4">
      <c r="D330" s="5"/>
    </row>
    <row r="331" spans="4:4">
      <c r="D331" s="5"/>
    </row>
    <row r="332" spans="4:4">
      <c r="D332" s="5"/>
    </row>
    <row r="333" spans="4:4">
      <c r="D333" s="5"/>
    </row>
    <row r="334" spans="4:4">
      <c r="D334" s="5"/>
    </row>
    <row r="335" spans="4:4">
      <c r="D335" s="5"/>
    </row>
    <row r="336" spans="4:4">
      <c r="D336" s="5"/>
    </row>
    <row r="337" spans="4:4">
      <c r="D337" s="5"/>
    </row>
    <row r="338" spans="4:4">
      <c r="D338" s="5"/>
    </row>
    <row r="339" spans="4:4">
      <c r="D339" s="5"/>
    </row>
    <row r="340" spans="4:4">
      <c r="D340" s="5"/>
    </row>
    <row r="341" spans="4:4">
      <c r="D341" s="5"/>
    </row>
    <row r="342" spans="4:4">
      <c r="D342" s="5"/>
    </row>
    <row r="343" spans="4:4">
      <c r="D343" s="5"/>
    </row>
    <row r="344" spans="4:4">
      <c r="D344" s="5"/>
    </row>
    <row r="345" spans="4:4">
      <c r="D345" s="5"/>
    </row>
    <row r="346" spans="4:4">
      <c r="D346" s="5"/>
    </row>
    <row r="347" spans="4:4">
      <c r="D347" s="5"/>
    </row>
    <row r="348" spans="4:4">
      <c r="D348" s="5"/>
    </row>
    <row r="349" spans="4:4">
      <c r="D349" s="5"/>
    </row>
    <row r="350" spans="4:4">
      <c r="D350" s="5"/>
    </row>
    <row r="351" spans="4:4">
      <c r="D351" s="5"/>
    </row>
    <row r="352" spans="4:4">
      <c r="D352" s="5"/>
    </row>
    <row r="353" spans="4:4">
      <c r="D353" s="5"/>
    </row>
    <row r="354" spans="4:4">
      <c r="D354" s="5"/>
    </row>
    <row r="355" spans="4:4">
      <c r="D355" s="5"/>
    </row>
    <row r="356" spans="4:4">
      <c r="D356" s="5"/>
    </row>
    <row r="357" spans="4:4">
      <c r="D357" s="5"/>
    </row>
    <row r="358" spans="4:4">
      <c r="D358" s="5"/>
    </row>
    <row r="359" spans="4:4">
      <c r="D359" s="5"/>
    </row>
    <row r="360" spans="4:4">
      <c r="D360" s="5"/>
    </row>
    <row r="361" spans="4:4">
      <c r="D361" s="5"/>
    </row>
    <row r="362" spans="4:4">
      <c r="D362" s="5"/>
    </row>
    <row r="363" spans="4:4">
      <c r="D363" s="5"/>
    </row>
    <row r="364" spans="4:4">
      <c r="D364" s="5"/>
    </row>
    <row r="365" spans="4:4">
      <c r="D365" s="5"/>
    </row>
    <row r="366" spans="4:4">
      <c r="D366" s="5"/>
    </row>
    <row r="367" spans="4:4">
      <c r="D367" s="5"/>
    </row>
    <row r="368" spans="4:4">
      <c r="D368" s="5"/>
    </row>
    <row r="369" spans="4:4">
      <c r="D369" s="5"/>
    </row>
    <row r="370" spans="4:4">
      <c r="D370" s="5"/>
    </row>
    <row r="371" spans="4:4">
      <c r="D371" s="5"/>
    </row>
    <row r="372" spans="4:4">
      <c r="D372" s="5"/>
    </row>
    <row r="373" spans="4:4">
      <c r="D373" s="5"/>
    </row>
    <row r="374" spans="4:4">
      <c r="D374" s="5"/>
    </row>
    <row r="375" spans="4:4">
      <c r="D375" s="5"/>
    </row>
    <row r="376" spans="4:4">
      <c r="D376" s="5"/>
    </row>
    <row r="377" spans="4:4">
      <c r="D377" s="5"/>
    </row>
    <row r="378" spans="4:4">
      <c r="D378" s="5"/>
    </row>
    <row r="379" spans="4:4">
      <c r="D379" s="5"/>
    </row>
    <row r="380" spans="4:4">
      <c r="D380" s="5"/>
    </row>
    <row r="381" spans="4:4">
      <c r="D381" s="5"/>
    </row>
    <row r="382" spans="4:4">
      <c r="D382" s="5"/>
    </row>
    <row r="383" spans="4:4">
      <c r="D383" s="5"/>
    </row>
    <row r="384" spans="4:4">
      <c r="D384" s="5"/>
    </row>
    <row r="385" spans="4:4">
      <c r="D385" s="5"/>
    </row>
    <row r="386" spans="4:4">
      <c r="D386" s="5"/>
    </row>
    <row r="387" spans="4:4">
      <c r="D387" s="5"/>
    </row>
    <row r="388" spans="4:4">
      <c r="D388" s="5"/>
    </row>
    <row r="389" spans="4:4">
      <c r="D389" s="5"/>
    </row>
    <row r="390" spans="4:4">
      <c r="D390" s="5"/>
    </row>
    <row r="391" spans="4:4">
      <c r="D391" s="5"/>
    </row>
    <row r="392" spans="4:4">
      <c r="D392" s="5"/>
    </row>
    <row r="393" spans="4:4">
      <c r="D393" s="5"/>
    </row>
    <row r="394" spans="4:4">
      <c r="D394" s="5"/>
    </row>
    <row r="395" spans="4:4">
      <c r="D395" s="5"/>
    </row>
    <row r="396" spans="4:4">
      <c r="D396" s="5"/>
    </row>
    <row r="397" spans="4:4">
      <c r="D397" s="5"/>
    </row>
    <row r="398" spans="4:4">
      <c r="D398" s="5"/>
    </row>
    <row r="399" spans="4:4">
      <c r="D399" s="5"/>
    </row>
    <row r="400" spans="4:4">
      <c r="D400" s="5"/>
    </row>
    <row r="401" spans="4:4">
      <c r="D401" s="5"/>
    </row>
    <row r="402" spans="4:4">
      <c r="D402" s="5"/>
    </row>
    <row r="403" spans="4:4">
      <c r="D403" s="5"/>
    </row>
    <row r="404" spans="4:4">
      <c r="D404" s="5"/>
    </row>
    <row r="405" spans="4:4">
      <c r="D405" s="5"/>
    </row>
    <row r="406" spans="4:4">
      <c r="D406" s="5"/>
    </row>
    <row r="407" spans="4:4">
      <c r="D407" s="5"/>
    </row>
    <row r="408" spans="4:4">
      <c r="D408" s="5"/>
    </row>
    <row r="409" spans="4:4">
      <c r="D409" s="5"/>
    </row>
    <row r="410" spans="4:4">
      <c r="D410" s="5"/>
    </row>
    <row r="411" spans="4:4">
      <c r="D411" s="5"/>
    </row>
    <row r="412" spans="4:4">
      <c r="D412" s="5"/>
    </row>
    <row r="413" spans="4:4">
      <c r="D413" s="5"/>
    </row>
    <row r="414" spans="4:4">
      <c r="D414" s="5"/>
    </row>
    <row r="415" spans="4:4">
      <c r="D415" s="5"/>
    </row>
    <row r="416" spans="4:4">
      <c r="D416" s="5"/>
    </row>
    <row r="417" spans="4:4">
      <c r="D417" s="5"/>
    </row>
    <row r="418" spans="4:4">
      <c r="D418" s="5"/>
    </row>
    <row r="419" spans="4:4">
      <c r="D419" s="5"/>
    </row>
    <row r="420" spans="4:4">
      <c r="D420" s="5"/>
    </row>
    <row r="421" spans="4:4">
      <c r="D421" s="5"/>
    </row>
    <row r="422" spans="4:4">
      <c r="D422" s="5"/>
    </row>
    <row r="423" spans="4:4">
      <c r="D423" s="5"/>
    </row>
    <row r="424" spans="4:4">
      <c r="D424" s="5"/>
    </row>
    <row r="425" spans="4:4">
      <c r="D425" s="5"/>
    </row>
    <row r="426" spans="4:4">
      <c r="D426" s="5"/>
    </row>
    <row r="427" spans="4:4">
      <c r="D427" s="5"/>
    </row>
    <row r="428" spans="4:4">
      <c r="D428" s="5"/>
    </row>
    <row r="429" spans="4:4">
      <c r="D429" s="5"/>
    </row>
    <row r="430" spans="4:4">
      <c r="D430" s="5"/>
    </row>
    <row r="431" spans="4:4">
      <c r="D431" s="5"/>
    </row>
    <row r="432" spans="4:4">
      <c r="D432" s="5"/>
    </row>
    <row r="433" spans="4:4">
      <c r="D433" s="5"/>
    </row>
    <row r="434" spans="4:4">
      <c r="D434" s="5"/>
    </row>
    <row r="435" spans="4:4">
      <c r="D435" s="5"/>
    </row>
    <row r="436" spans="4:4">
      <c r="D436" s="5"/>
    </row>
    <row r="437" spans="4:4">
      <c r="D437" s="5"/>
    </row>
    <row r="438" spans="4:4">
      <c r="D438" s="5"/>
    </row>
    <row r="439" spans="4:4">
      <c r="D439" s="5"/>
    </row>
    <row r="440" spans="4:4">
      <c r="D440" s="5"/>
    </row>
    <row r="441" spans="4:4">
      <c r="D441" s="5"/>
    </row>
    <row r="442" spans="4:4">
      <c r="D442" s="5"/>
    </row>
    <row r="443" spans="4:4">
      <c r="D443" s="5"/>
    </row>
    <row r="444" spans="4:4">
      <c r="D444" s="5"/>
    </row>
    <row r="445" spans="4:4">
      <c r="D445" s="5"/>
    </row>
    <row r="446" spans="4:4">
      <c r="D446" s="5"/>
    </row>
    <row r="447" spans="4:4">
      <c r="D447" s="5"/>
    </row>
    <row r="448" spans="4:4">
      <c r="D448" s="5"/>
    </row>
    <row r="449" spans="4:4">
      <c r="D449" s="5"/>
    </row>
    <row r="450" spans="4:4">
      <c r="D450" s="5"/>
    </row>
    <row r="451" spans="4:4">
      <c r="D451" s="5"/>
    </row>
    <row r="452" spans="4:4">
      <c r="D452" s="5"/>
    </row>
    <row r="453" spans="4:4">
      <c r="D453" s="5"/>
    </row>
    <row r="454" spans="4:4">
      <c r="D454" s="5"/>
    </row>
    <row r="455" spans="4:4">
      <c r="D455" s="5"/>
    </row>
    <row r="456" spans="4:4">
      <c r="D456" s="5"/>
    </row>
    <row r="457" spans="4:4">
      <c r="D457" s="5"/>
    </row>
    <row r="458" spans="4:4">
      <c r="D458" s="5"/>
    </row>
    <row r="459" spans="4:4">
      <c r="D459" s="5"/>
    </row>
    <row r="460" spans="4:4">
      <c r="D460" s="5"/>
    </row>
    <row r="461" spans="4:4">
      <c r="D461" s="5"/>
    </row>
    <row r="462" spans="4:4">
      <c r="D462" s="5"/>
    </row>
    <row r="463" spans="4:4">
      <c r="D463" s="5"/>
    </row>
    <row r="464" spans="4:4">
      <c r="D464" s="5"/>
    </row>
    <row r="465" spans="4:4">
      <c r="D465" s="5"/>
    </row>
    <row r="466" spans="4:4">
      <c r="D466" s="5"/>
    </row>
    <row r="467" spans="4:4">
      <c r="D467" s="5"/>
    </row>
    <row r="468" spans="4:4">
      <c r="D468" s="5"/>
    </row>
    <row r="469" spans="4:4">
      <c r="D469" s="5"/>
    </row>
    <row r="470" spans="4:4">
      <c r="D470" s="5"/>
    </row>
    <row r="471" spans="4:4">
      <c r="D471" s="5"/>
    </row>
    <row r="472" spans="4:4">
      <c r="D472" s="5"/>
    </row>
    <row r="473" spans="4:4">
      <c r="D473" s="5"/>
    </row>
    <row r="474" spans="4:4">
      <c r="D474" s="5"/>
    </row>
    <row r="475" spans="4:4">
      <c r="D475" s="5"/>
    </row>
    <row r="476" spans="4:4">
      <c r="D476" s="5"/>
    </row>
    <row r="477" spans="4:4">
      <c r="D477" s="5"/>
    </row>
    <row r="478" spans="4:4">
      <c r="D478" s="5"/>
    </row>
    <row r="479" spans="4:4">
      <c r="D479" s="5"/>
    </row>
    <row r="480" spans="4:4">
      <c r="D480" s="5"/>
    </row>
    <row r="481" spans="4:4">
      <c r="D481" s="5"/>
    </row>
    <row r="482" spans="4:4">
      <c r="D482" s="5"/>
    </row>
    <row r="483" spans="4:4">
      <c r="D483" s="5"/>
    </row>
    <row r="484" spans="4:4">
      <c r="D484" s="5"/>
    </row>
    <row r="485" spans="4:4">
      <c r="D485" s="5"/>
    </row>
    <row r="486" spans="4:4">
      <c r="D486" s="5"/>
    </row>
    <row r="487" spans="4:4">
      <c r="D487" s="5"/>
    </row>
    <row r="488" spans="4:4">
      <c r="D488" s="5"/>
    </row>
    <row r="489" spans="4:4">
      <c r="D489" s="5"/>
    </row>
    <row r="490" spans="4:4">
      <c r="D490" s="5"/>
    </row>
    <row r="491" spans="4:4">
      <c r="D491" s="5"/>
    </row>
    <row r="492" spans="4:4">
      <c r="D492" s="5"/>
    </row>
    <row r="493" spans="4:4">
      <c r="D493" s="5"/>
    </row>
    <row r="494" spans="4:4">
      <c r="D494" s="5"/>
    </row>
    <row r="495" spans="4:4">
      <c r="D495" s="5"/>
    </row>
    <row r="496" spans="4:4">
      <c r="D496" s="5"/>
    </row>
    <row r="497" spans="4:4">
      <c r="D497" s="5"/>
    </row>
    <row r="498" spans="4:4">
      <c r="D498" s="5"/>
    </row>
    <row r="499" spans="4:4">
      <c r="D499" s="5"/>
    </row>
    <row r="500" spans="4:4">
      <c r="D500" s="5"/>
    </row>
  </sheetData>
  <phoneticPr fontId="6"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xr:uid="{00000000-0002-0000-0A00-000000000000}">
          <x14:formula1>
            <xm:f>Lists!$E$2:$E$11</xm:f>
          </x14:formula1>
          <xm:sqref>E2:E500</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O23"/>
  <sheetViews>
    <sheetView workbookViewId="0">
      <selection activeCell="C7" sqref="C7"/>
    </sheetView>
  </sheetViews>
  <sheetFormatPr defaultRowHeight="14.25"/>
  <cols>
    <col min="1" max="2" width="22" customWidth="1"/>
    <col min="3" max="3" width="34.875" customWidth="1"/>
    <col min="4" max="15" width="22" customWidth="1"/>
  </cols>
  <sheetData>
    <row r="1" spans="1:15" ht="15">
      <c r="A1" s="1" t="s">
        <v>50</v>
      </c>
      <c r="B1" s="1" t="s">
        <v>12</v>
      </c>
      <c r="C1" s="1" t="s">
        <v>2485</v>
      </c>
      <c r="D1" s="1" t="s">
        <v>90</v>
      </c>
      <c r="E1" s="1" t="s">
        <v>108</v>
      </c>
      <c r="F1" s="1" t="s">
        <v>51</v>
      </c>
      <c r="G1" s="1" t="s">
        <v>32</v>
      </c>
      <c r="H1" s="1" t="s">
        <v>34</v>
      </c>
      <c r="I1" s="1" t="s">
        <v>164</v>
      </c>
      <c r="J1" s="1" t="s">
        <v>195</v>
      </c>
      <c r="K1" s="1" t="s">
        <v>153</v>
      </c>
      <c r="L1" s="1" t="s">
        <v>196</v>
      </c>
      <c r="M1" s="1" t="s">
        <v>73</v>
      </c>
      <c r="N1" s="1" t="s">
        <v>78</v>
      </c>
      <c r="O1" s="1" t="s">
        <v>79</v>
      </c>
    </row>
    <row r="2" spans="1:15">
      <c r="A2" t="s">
        <v>197</v>
      </c>
      <c r="B2" t="s">
        <v>16</v>
      </c>
      <c r="C2" t="s">
        <v>2486</v>
      </c>
      <c r="D2" t="s">
        <v>101</v>
      </c>
      <c r="E2" t="s">
        <v>117</v>
      </c>
      <c r="F2" t="s">
        <v>66</v>
      </c>
      <c r="G2" t="s">
        <v>55</v>
      </c>
      <c r="H2" t="s">
        <v>1166</v>
      </c>
      <c r="I2" t="s">
        <v>132</v>
      </c>
      <c r="J2" t="s">
        <v>198</v>
      </c>
      <c r="K2" t="s">
        <v>199</v>
      </c>
      <c r="L2" t="s">
        <v>144</v>
      </c>
      <c r="M2" t="s">
        <v>36</v>
      </c>
      <c r="N2" t="s">
        <v>66</v>
      </c>
      <c r="O2" t="s">
        <v>86</v>
      </c>
    </row>
    <row r="3" spans="1:15">
      <c r="A3" t="s">
        <v>65</v>
      </c>
      <c r="B3" t="s">
        <v>17</v>
      </c>
      <c r="C3" t="s">
        <v>2487</v>
      </c>
      <c r="D3" t="s">
        <v>200</v>
      </c>
      <c r="E3" t="s">
        <v>74</v>
      </c>
      <c r="F3" t="s">
        <v>201</v>
      </c>
      <c r="G3" t="s">
        <v>202</v>
      </c>
      <c r="H3" t="s">
        <v>240</v>
      </c>
      <c r="I3" t="s">
        <v>204</v>
      </c>
      <c r="J3" t="s">
        <v>143</v>
      </c>
      <c r="K3" t="s">
        <v>157</v>
      </c>
      <c r="L3" t="s">
        <v>67</v>
      </c>
      <c r="M3" t="s">
        <v>37</v>
      </c>
      <c r="N3" t="s">
        <v>201</v>
      </c>
      <c r="O3" t="s">
        <v>205</v>
      </c>
    </row>
    <row r="4" spans="1:15">
      <c r="A4" t="s">
        <v>206</v>
      </c>
      <c r="B4" t="s">
        <v>18</v>
      </c>
      <c r="C4" t="s">
        <v>2797</v>
      </c>
      <c r="D4" t="s">
        <v>207</v>
      </c>
      <c r="E4" t="s">
        <v>208</v>
      </c>
      <c r="F4" t="s">
        <v>209</v>
      </c>
      <c r="G4" t="s">
        <v>210</v>
      </c>
      <c r="H4" t="s">
        <v>203</v>
      </c>
      <c r="I4" t="s">
        <v>212</v>
      </c>
      <c r="J4" t="s">
        <v>213</v>
      </c>
      <c r="K4" t="s">
        <v>214</v>
      </c>
      <c r="M4" t="s">
        <v>38</v>
      </c>
      <c r="N4" t="s">
        <v>209</v>
      </c>
      <c r="O4" t="s">
        <v>215</v>
      </c>
    </row>
    <row r="5" spans="1:15">
      <c r="A5" t="s">
        <v>216</v>
      </c>
      <c r="B5" t="s">
        <v>217</v>
      </c>
      <c r="C5" t="s">
        <v>2488</v>
      </c>
      <c r="D5" t="s">
        <v>218</v>
      </c>
      <c r="E5" t="s">
        <v>219</v>
      </c>
      <c r="G5" t="s">
        <v>220</v>
      </c>
      <c r="H5" t="s">
        <v>1167</v>
      </c>
      <c r="I5" t="s">
        <v>221</v>
      </c>
      <c r="J5" t="s">
        <v>222</v>
      </c>
      <c r="K5" t="s">
        <v>223</v>
      </c>
      <c r="M5" t="s">
        <v>224</v>
      </c>
      <c r="O5" t="s">
        <v>225</v>
      </c>
    </row>
    <row r="6" spans="1:15">
      <c r="A6" t="s">
        <v>226</v>
      </c>
      <c r="B6" t="s">
        <v>227</v>
      </c>
      <c r="C6" t="s">
        <v>2341</v>
      </c>
      <c r="D6" t="s">
        <v>228</v>
      </c>
      <c r="E6" t="s">
        <v>229</v>
      </c>
      <c r="G6" t="s">
        <v>230</v>
      </c>
      <c r="H6" t="s">
        <v>1168</v>
      </c>
      <c r="I6" t="s">
        <v>232</v>
      </c>
      <c r="J6" t="s">
        <v>233</v>
      </c>
      <c r="K6" t="s">
        <v>234</v>
      </c>
      <c r="M6" t="s">
        <v>39</v>
      </c>
      <c r="O6" t="s">
        <v>235</v>
      </c>
    </row>
    <row r="7" spans="1:15">
      <c r="A7" t="s">
        <v>236</v>
      </c>
      <c r="B7" t="s">
        <v>19</v>
      </c>
      <c r="C7" t="s">
        <v>2489</v>
      </c>
      <c r="D7" t="s">
        <v>237</v>
      </c>
      <c r="E7" t="s">
        <v>238</v>
      </c>
      <c r="G7" t="s">
        <v>239</v>
      </c>
      <c r="H7" t="s">
        <v>211</v>
      </c>
      <c r="I7" t="s">
        <v>241</v>
      </c>
      <c r="J7" t="s">
        <v>242</v>
      </c>
      <c r="M7" t="s">
        <v>40</v>
      </c>
    </row>
    <row r="8" spans="1:15">
      <c r="A8" t="s">
        <v>243</v>
      </c>
      <c r="B8" t="s">
        <v>20</v>
      </c>
      <c r="C8" t="s">
        <v>2490</v>
      </c>
      <c r="D8" t="s">
        <v>244</v>
      </c>
      <c r="E8" t="s">
        <v>245</v>
      </c>
      <c r="G8" t="s">
        <v>246</v>
      </c>
      <c r="H8" t="s">
        <v>56</v>
      </c>
      <c r="I8" t="s">
        <v>248</v>
      </c>
      <c r="M8" t="s">
        <v>249</v>
      </c>
    </row>
    <row r="9" spans="1:15">
      <c r="A9" t="s">
        <v>250</v>
      </c>
      <c r="B9" t="s">
        <v>21</v>
      </c>
      <c r="C9" t="s">
        <v>2491</v>
      </c>
      <c r="D9" t="s">
        <v>251</v>
      </c>
      <c r="E9" t="s">
        <v>252</v>
      </c>
      <c r="G9" t="s">
        <v>253</v>
      </c>
      <c r="H9" t="s">
        <v>1669</v>
      </c>
      <c r="M9" t="s">
        <v>254</v>
      </c>
    </row>
    <row r="10" spans="1:15">
      <c r="A10" t="s">
        <v>255</v>
      </c>
      <c r="B10" t="s">
        <v>22</v>
      </c>
      <c r="C10" t="s">
        <v>2361</v>
      </c>
      <c r="D10" t="s">
        <v>256</v>
      </c>
      <c r="E10" t="s">
        <v>257</v>
      </c>
      <c r="H10" t="s">
        <v>1169</v>
      </c>
      <c r="M10" t="s">
        <v>258</v>
      </c>
    </row>
    <row r="11" spans="1:15">
      <c r="A11" t="s">
        <v>259</v>
      </c>
      <c r="B11" t="s">
        <v>23</v>
      </c>
      <c r="C11" t="s">
        <v>2492</v>
      </c>
      <c r="D11" t="s">
        <v>260</v>
      </c>
      <c r="E11" t="s">
        <v>261</v>
      </c>
      <c r="H11" t="s">
        <v>1170</v>
      </c>
      <c r="M11" t="s">
        <v>253</v>
      </c>
    </row>
    <row r="12" spans="1:15">
      <c r="B12" t="s">
        <v>24</v>
      </c>
      <c r="C12" t="s">
        <v>2493</v>
      </c>
      <c r="H12" t="s">
        <v>231</v>
      </c>
    </row>
    <row r="13" spans="1:15">
      <c r="B13" t="s">
        <v>25</v>
      </c>
      <c r="C13" t="s">
        <v>2494</v>
      </c>
      <c r="H13" t="s">
        <v>247</v>
      </c>
    </row>
    <row r="14" spans="1:15">
      <c r="B14" t="s">
        <v>26</v>
      </c>
      <c r="C14" t="s">
        <v>2495</v>
      </c>
      <c r="H14" t="s">
        <v>1171</v>
      </c>
    </row>
    <row r="15" spans="1:15">
      <c r="B15" t="s">
        <v>27</v>
      </c>
      <c r="C15" t="s">
        <v>2496</v>
      </c>
    </row>
    <row r="16" spans="1:15">
      <c r="B16" t="s">
        <v>28</v>
      </c>
      <c r="C16" t="s">
        <v>2497</v>
      </c>
    </row>
    <row r="17" spans="2:3">
      <c r="B17" t="s">
        <v>29</v>
      </c>
      <c r="C17" t="s">
        <v>2498</v>
      </c>
    </row>
    <row r="18" spans="2:3">
      <c r="C18" t="s">
        <v>2499</v>
      </c>
    </row>
    <row r="19" spans="2:3">
      <c r="C19" t="s">
        <v>2500</v>
      </c>
    </row>
    <row r="20" spans="2:3">
      <c r="C20" t="s">
        <v>2501</v>
      </c>
    </row>
    <row r="21" spans="2:3">
      <c r="C21" t="s">
        <v>2502</v>
      </c>
    </row>
    <row r="22" spans="2:3">
      <c r="C22" t="s">
        <v>2503</v>
      </c>
    </row>
    <row r="23" spans="2:3">
      <c r="C23" t="s">
        <v>2504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12"/>
  <sheetViews>
    <sheetView workbookViewId="0"/>
  </sheetViews>
  <sheetFormatPr defaultRowHeight="14.25"/>
  <cols>
    <col min="1" max="1" width="18" customWidth="1"/>
    <col min="2" max="2" width="90" customWidth="1"/>
  </cols>
  <sheetData>
    <row r="1" spans="1:6" ht="20.25">
      <c r="A1" s="162" t="s">
        <v>262</v>
      </c>
      <c r="B1" s="161"/>
      <c r="C1" s="161"/>
      <c r="D1" s="161"/>
      <c r="E1" s="161"/>
      <c r="F1" s="161"/>
    </row>
    <row r="3" spans="1:6" ht="15">
      <c r="A3" s="2" t="s">
        <v>263</v>
      </c>
      <c r="B3" s="2" t="s">
        <v>264</v>
      </c>
    </row>
    <row r="4" spans="1:6">
      <c r="A4" s="3" t="s">
        <v>265</v>
      </c>
      <c r="B4" s="3" t="s">
        <v>266</v>
      </c>
    </row>
    <row r="5" spans="1:6">
      <c r="A5" s="3" t="s">
        <v>267</v>
      </c>
      <c r="B5" s="3" t="s">
        <v>268</v>
      </c>
    </row>
    <row r="6" spans="1:6" ht="28.5">
      <c r="A6" s="3" t="s">
        <v>269</v>
      </c>
      <c r="B6" s="3" t="s">
        <v>270</v>
      </c>
    </row>
    <row r="7" spans="1:6">
      <c r="A7" s="3" t="s">
        <v>271</v>
      </c>
      <c r="B7" s="3" t="s">
        <v>272</v>
      </c>
    </row>
    <row r="8" spans="1:6">
      <c r="A8" s="3" t="s">
        <v>273</v>
      </c>
      <c r="B8" s="3" t="s">
        <v>274</v>
      </c>
    </row>
    <row r="9" spans="1:6">
      <c r="A9" s="3" t="s">
        <v>275</v>
      </c>
      <c r="B9" s="3" t="s">
        <v>276</v>
      </c>
    </row>
    <row r="10" spans="1:6">
      <c r="A10" s="3" t="s">
        <v>277</v>
      </c>
      <c r="B10" s="3" t="s">
        <v>278</v>
      </c>
    </row>
    <row r="11" spans="1:6">
      <c r="A11" s="3" t="s">
        <v>279</v>
      </c>
      <c r="B11" s="3" t="s">
        <v>280</v>
      </c>
    </row>
    <row r="12" spans="1:6" ht="28.5">
      <c r="A12" s="3" t="s">
        <v>281</v>
      </c>
      <c r="B12" s="3" t="s">
        <v>282</v>
      </c>
    </row>
  </sheetData>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Dashboard</vt:lpstr>
      <vt:lpstr>Community Colleges </vt:lpstr>
      <vt:lpstr>College Associations</vt:lpstr>
      <vt:lpstr>Contacts</vt:lpstr>
      <vt:lpstr>Opportunities</vt:lpstr>
      <vt:lpstr>Outreach Activities</vt:lpstr>
      <vt:lpstr>Proposals</vt:lpstr>
      <vt:lpstr>Engagements</vt:lpstr>
      <vt:lpstr>Revenue</vt:lpstr>
      <vt:lpstr>Speaking</vt:lpstr>
      <vt:lpstr>Referrals</vt:lpstr>
      <vt:lpstr>Content Marketing</vt:lpstr>
      <vt:lpstr>Lists</vt:lpstr>
      <vt:lpstr>How to Use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Field Bennings</cp:lastModifiedBy>
  <dcterms:modified xsi:type="dcterms:W3CDTF">2026-07-07T01:15:06Z</dcterms:modified>
</cp:coreProperties>
</file>